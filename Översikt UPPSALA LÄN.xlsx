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45798</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45798</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45798</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45798</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45798</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45798</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45798</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45798</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45798</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45798</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45798</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45798</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45798</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45798</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45798</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45798</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45798</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45798</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45798</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45798</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45798</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45798</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45798</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45798</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45798</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45798</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45798</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45798</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45798</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45798</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45798</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45798</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45798</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45798</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45798</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45798</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45798</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45798</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45798</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45798</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45798</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45798</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45798</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45798</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45798</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45798</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45798</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45798</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45798</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45798</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45798</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45798</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45798</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45798</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45798</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45798</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45798</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45798</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45798</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45798</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45798</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45798</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45798</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45798</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45798</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45798</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45798</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45798</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45798</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45798</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45798</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45798</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45798</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45798</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45798</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45798</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45798</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45798</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45798</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45798</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45798</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45798</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45798</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45798</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45798</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45798</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45798</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45798</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45798</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45798</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45798</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45798</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45798</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45798</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45798</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45798</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45798</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45798</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45798</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45798</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45798</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45798</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45798</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45798</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45798</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45798</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45798</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45798</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45798</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45798</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45798</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45798</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45798</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45798</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45798</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45798</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45798</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45798</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45798</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45798</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45798</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45798</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45798</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45798</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45798</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45798</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45798</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45798</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45798</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45798</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45798</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45798</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45798</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45798</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45798</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45798</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45798</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45798</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45798</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45798</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45798</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45798</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45798</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45798</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45798</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45798</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45798</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45798</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45798</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45798</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45798</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45798</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45798</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45798</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45798</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45798</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45798</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45798</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45798</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45798</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45798</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45798</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45798</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45798</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45798</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45798</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45798</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45798</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45798</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45798</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45798</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45798</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45798</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45798</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45798</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45798</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45798</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45798</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45798</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45798</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45798</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45798</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45798</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45798</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45798</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45798</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45798</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45798</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45798</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45798</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45798</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45798</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45798</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45798</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45798</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45798</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45798</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45798</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45798</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45798</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45798</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45798</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45798</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45798</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45798</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45798</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45798</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45798</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45798</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45798</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45798</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45798</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45798</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45798</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45798</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45798</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45798</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45798</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45798</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45798</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45798</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45798</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45798</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45798</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45798</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45798</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45798</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45798</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45798</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45798</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45798</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45798</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45798</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45798</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45798</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45798</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45798</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70017-2021</t>
        </is>
      </c>
      <c r="B258" s="1" t="n">
        <v>44533</v>
      </c>
      <c r="C258" s="1" t="n">
        <v>45798</v>
      </c>
      <c r="D258" t="inlineStr">
        <is>
          <t>UPPSALA LÄN</t>
        </is>
      </c>
      <c r="E258" t="inlineStr">
        <is>
          <t>ÄLVKARLEBY</t>
        </is>
      </c>
      <c r="G258" t="n">
        <v>2.1</v>
      </c>
      <c r="H258" t="n">
        <v>3</v>
      </c>
      <c r="I258" t="n">
        <v>0</v>
      </c>
      <c r="J258" t="n">
        <v>0</v>
      </c>
      <c r="K258" t="n">
        <v>1</v>
      </c>
      <c r="L258" t="n">
        <v>0</v>
      </c>
      <c r="M258" t="n">
        <v>0</v>
      </c>
      <c r="N258" t="n">
        <v>0</v>
      </c>
      <c r="O258" t="n">
        <v>1</v>
      </c>
      <c r="P258" t="n">
        <v>1</v>
      </c>
      <c r="Q258" t="n">
        <v>3</v>
      </c>
      <c r="R258" s="2" t="inlineStr">
        <is>
          <t>Gölgroda
Trana
Mindre vattensalamander</t>
        </is>
      </c>
      <c r="S258">
        <f>HYPERLINK("https://klasma.github.io/Logging_0319/artfynd/A 70017-2021 artfynd.xlsx", "A 70017-2021")</f>
        <v/>
      </c>
      <c r="T258">
        <f>HYPERLINK("https://klasma.github.io/Logging_0319/kartor/A 70017-2021 karta.png", "A 70017-2021")</f>
        <v/>
      </c>
      <c r="V258">
        <f>HYPERLINK("https://klasma.github.io/Logging_0319/klagomål/A 70017-2021 FSC-klagomål.docx", "A 70017-2021")</f>
        <v/>
      </c>
      <c r="W258">
        <f>HYPERLINK("https://klasma.github.io/Logging_0319/klagomålsmail/A 70017-2021 FSC-klagomål mail.docx", "A 70017-2021")</f>
        <v/>
      </c>
      <c r="X258">
        <f>HYPERLINK("https://klasma.github.io/Logging_0319/tillsyn/A 70017-2021 tillsynsbegäran.docx", "A 70017-2021")</f>
        <v/>
      </c>
      <c r="Y258">
        <f>HYPERLINK("https://klasma.github.io/Logging_0319/tillsynsmail/A 70017-2021 tillsynsbegäran mail.docx", "A 70017-2021")</f>
        <v/>
      </c>
      <c r="Z258">
        <f>HYPERLINK("https://klasma.github.io/Logging_0319/fåglar/A 70017-2021 prioriterade fågelarter.docx", "A 70017-2021")</f>
        <v/>
      </c>
    </row>
    <row r="259" ht="15" customHeight="1">
      <c r="A259" t="inlineStr">
        <is>
          <t>A 73005-2021</t>
        </is>
      </c>
      <c r="B259" s="1" t="n">
        <v>44550</v>
      </c>
      <c r="C259" s="1" t="n">
        <v>45798</v>
      </c>
      <c r="D259" t="inlineStr">
        <is>
          <t>UPPSALA LÄN</t>
        </is>
      </c>
      <c r="E259" t="inlineStr">
        <is>
          <t>TIERP</t>
        </is>
      </c>
      <c r="F259" t="inlineStr">
        <is>
          <t>Bergvik skog väst AB</t>
        </is>
      </c>
      <c r="G259" t="n">
        <v>5.7</v>
      </c>
      <c r="H259" t="n">
        <v>0</v>
      </c>
      <c r="I259" t="n">
        <v>2</v>
      </c>
      <c r="J259" t="n">
        <v>1</v>
      </c>
      <c r="K259" t="n">
        <v>0</v>
      </c>
      <c r="L259" t="n">
        <v>0</v>
      </c>
      <c r="M259" t="n">
        <v>0</v>
      </c>
      <c r="N259" t="n">
        <v>0</v>
      </c>
      <c r="O259" t="n">
        <v>1</v>
      </c>
      <c r="P259" t="n">
        <v>0</v>
      </c>
      <c r="Q259" t="n">
        <v>3</v>
      </c>
      <c r="R259" s="2" t="inlineStr">
        <is>
          <t>Ekticka
Dvärghäxört
Jättesvampmal</t>
        </is>
      </c>
      <c r="S259">
        <f>HYPERLINK("https://klasma.github.io/Logging_0360/artfynd/A 73005-2021 artfynd.xlsx", "A 73005-2021")</f>
        <v/>
      </c>
      <c r="T259">
        <f>HYPERLINK("https://klasma.github.io/Logging_0360/kartor/A 73005-2021 karta.png", "A 73005-2021")</f>
        <v/>
      </c>
      <c r="V259">
        <f>HYPERLINK("https://klasma.github.io/Logging_0360/klagomål/A 73005-2021 FSC-klagomål.docx", "A 73005-2021")</f>
        <v/>
      </c>
      <c r="W259">
        <f>HYPERLINK("https://klasma.github.io/Logging_0360/klagomålsmail/A 73005-2021 FSC-klagomål mail.docx", "A 73005-2021")</f>
        <v/>
      </c>
      <c r="X259">
        <f>HYPERLINK("https://klasma.github.io/Logging_0360/tillsyn/A 73005-2021 tillsynsbegäran.docx", "A 73005-2021")</f>
        <v/>
      </c>
      <c r="Y259">
        <f>HYPERLINK("https://klasma.github.io/Logging_0360/tillsynsmail/A 73005-2021 tillsynsbegäran mail.docx", "A 73005-2021")</f>
        <v/>
      </c>
    </row>
    <row r="260" ht="15" customHeight="1">
      <c r="A260" t="inlineStr">
        <is>
          <t>A 73325-2021</t>
        </is>
      </c>
      <c r="B260" s="1" t="n">
        <v>44551</v>
      </c>
      <c r="C260" s="1" t="n">
        <v>45798</v>
      </c>
      <c r="D260" t="inlineStr">
        <is>
          <t>UPPSALA LÄN</t>
        </is>
      </c>
      <c r="E260" t="inlineStr">
        <is>
          <t>TIERP</t>
        </is>
      </c>
      <c r="G260" t="n">
        <v>3.7</v>
      </c>
      <c r="H260" t="n">
        <v>0</v>
      </c>
      <c r="I260" t="n">
        <v>1</v>
      </c>
      <c r="J260" t="n">
        <v>1</v>
      </c>
      <c r="K260" t="n">
        <v>1</v>
      </c>
      <c r="L260" t="n">
        <v>0</v>
      </c>
      <c r="M260" t="n">
        <v>0</v>
      </c>
      <c r="N260" t="n">
        <v>0</v>
      </c>
      <c r="O260" t="n">
        <v>2</v>
      </c>
      <c r="P260" t="n">
        <v>1</v>
      </c>
      <c r="Q260" t="n">
        <v>3</v>
      </c>
      <c r="R260" s="2" t="inlineStr">
        <is>
          <t>Taggfingersvamp
Äggspindling
Rödgul trumpetsvamp</t>
        </is>
      </c>
      <c r="S260">
        <f>HYPERLINK("https://klasma.github.io/Logging_0360/artfynd/A 73325-2021 artfynd.xlsx", "A 73325-2021")</f>
        <v/>
      </c>
      <c r="T260">
        <f>HYPERLINK("https://klasma.github.io/Logging_0360/kartor/A 73325-2021 karta.png", "A 73325-2021")</f>
        <v/>
      </c>
      <c r="V260">
        <f>HYPERLINK("https://klasma.github.io/Logging_0360/klagomål/A 73325-2021 FSC-klagomål.docx", "A 73325-2021")</f>
        <v/>
      </c>
      <c r="W260">
        <f>HYPERLINK("https://klasma.github.io/Logging_0360/klagomålsmail/A 73325-2021 FSC-klagomål mail.docx", "A 73325-2021")</f>
        <v/>
      </c>
      <c r="X260">
        <f>HYPERLINK("https://klasma.github.io/Logging_0360/tillsyn/A 73325-2021 tillsynsbegäran.docx", "A 73325-2021")</f>
        <v/>
      </c>
      <c r="Y260">
        <f>HYPERLINK("https://klasma.github.io/Logging_0360/tillsynsmail/A 73325-2021 tillsynsbegäran mail.docx", "A 73325-2021")</f>
        <v/>
      </c>
    </row>
    <row r="261" ht="15" customHeight="1">
      <c r="A261" t="inlineStr">
        <is>
          <t>A 2711-2022</t>
        </is>
      </c>
      <c r="B261" s="1" t="n">
        <v>44552</v>
      </c>
      <c r="C261" s="1" t="n">
        <v>45798</v>
      </c>
      <c r="D261" t="inlineStr">
        <is>
          <t>UPPSALA LÄN</t>
        </is>
      </c>
      <c r="E261" t="inlineStr">
        <is>
          <t>ENKÖPING</t>
        </is>
      </c>
      <c r="F261" t="inlineStr">
        <is>
          <t>Kommuner</t>
        </is>
      </c>
      <c r="G261" t="n">
        <v>2</v>
      </c>
      <c r="H261" t="n">
        <v>0</v>
      </c>
      <c r="I261" t="n">
        <v>2</v>
      </c>
      <c r="J261" t="n">
        <v>0</v>
      </c>
      <c r="K261" t="n">
        <v>1</v>
      </c>
      <c r="L261" t="n">
        <v>0</v>
      </c>
      <c r="M261" t="n">
        <v>0</v>
      </c>
      <c r="N261" t="n">
        <v>0</v>
      </c>
      <c r="O261" t="n">
        <v>1</v>
      </c>
      <c r="P261" t="n">
        <v>1</v>
      </c>
      <c r="Q261" t="n">
        <v>3</v>
      </c>
      <c r="R261" s="2" t="inlineStr">
        <is>
          <t>Grangråticka
Skarp dropptaggsvamp
Strimspindling</t>
        </is>
      </c>
      <c r="S261">
        <f>HYPERLINK("https://klasma.github.io/Logging_0381/artfynd/A 2711-2022 artfynd.xlsx", "A 2711-2022")</f>
        <v/>
      </c>
      <c r="T261">
        <f>HYPERLINK("https://klasma.github.io/Logging_0381/kartor/A 2711-2022 karta.png", "A 2711-2022")</f>
        <v/>
      </c>
      <c r="V261">
        <f>HYPERLINK("https://klasma.github.io/Logging_0381/klagomål/A 2711-2022 FSC-klagomål.docx", "A 2711-2022")</f>
        <v/>
      </c>
      <c r="W261">
        <f>HYPERLINK("https://klasma.github.io/Logging_0381/klagomålsmail/A 2711-2022 FSC-klagomål mail.docx", "A 2711-2022")</f>
        <v/>
      </c>
      <c r="X261">
        <f>HYPERLINK("https://klasma.github.io/Logging_0381/tillsyn/A 2711-2022 tillsynsbegäran.docx", "A 2711-2022")</f>
        <v/>
      </c>
      <c r="Y261">
        <f>HYPERLINK("https://klasma.github.io/Logging_0381/tillsynsmail/A 2711-2022 tillsynsbegäran mail.docx", "A 2711-2022")</f>
        <v/>
      </c>
    </row>
    <row r="262" ht="15" customHeight="1">
      <c r="A262" t="inlineStr">
        <is>
          <t>A 73903-2021</t>
        </is>
      </c>
      <c r="B262" s="1" t="n">
        <v>44552</v>
      </c>
      <c r="C262" s="1" t="n">
        <v>45798</v>
      </c>
      <c r="D262" t="inlineStr">
        <is>
          <t>UPPSALA LÄN</t>
        </is>
      </c>
      <c r="E262" t="inlineStr">
        <is>
          <t>ENKÖPING</t>
        </is>
      </c>
      <c r="F262" t="inlineStr">
        <is>
          <t>Kommuner</t>
        </is>
      </c>
      <c r="G262" t="n">
        <v>3.1</v>
      </c>
      <c r="H262" t="n">
        <v>0</v>
      </c>
      <c r="I262" t="n">
        <v>0</v>
      </c>
      <c r="J262" t="n">
        <v>2</v>
      </c>
      <c r="K262" t="n">
        <v>1</v>
      </c>
      <c r="L262" t="n">
        <v>0</v>
      </c>
      <c r="M262" t="n">
        <v>0</v>
      </c>
      <c r="N262" t="n">
        <v>0</v>
      </c>
      <c r="O262" t="n">
        <v>3</v>
      </c>
      <c r="P262" t="n">
        <v>1</v>
      </c>
      <c r="Q262" t="n">
        <v>3</v>
      </c>
      <c r="R262" s="2" t="inlineStr">
        <is>
          <t>Rynkskinn
Orange taggsvamp
Ullticka</t>
        </is>
      </c>
      <c r="S262">
        <f>HYPERLINK("https://klasma.github.io/Logging_0381/artfynd/A 73903-2021 artfynd.xlsx", "A 73903-2021")</f>
        <v/>
      </c>
      <c r="T262">
        <f>HYPERLINK("https://klasma.github.io/Logging_0381/kartor/A 73903-2021 karta.png", "A 73903-2021")</f>
        <v/>
      </c>
      <c r="V262">
        <f>HYPERLINK("https://klasma.github.io/Logging_0381/klagomål/A 73903-2021 FSC-klagomål.docx", "A 73903-2021")</f>
        <v/>
      </c>
      <c r="W262">
        <f>HYPERLINK("https://klasma.github.io/Logging_0381/klagomålsmail/A 73903-2021 FSC-klagomål mail.docx", "A 73903-2021")</f>
        <v/>
      </c>
      <c r="X262">
        <f>HYPERLINK("https://klasma.github.io/Logging_0381/tillsyn/A 73903-2021 tillsynsbegäran.docx", "A 73903-2021")</f>
        <v/>
      </c>
      <c r="Y262">
        <f>HYPERLINK("https://klasma.github.io/Logging_0381/tillsynsmail/A 73903-2021 tillsynsbegäran mail.docx", "A 73903-2021")</f>
        <v/>
      </c>
    </row>
    <row r="263" ht="15" customHeight="1">
      <c r="A263" t="inlineStr">
        <is>
          <t>A 1396-2022</t>
        </is>
      </c>
      <c r="B263" s="1" t="n">
        <v>44573</v>
      </c>
      <c r="C263" s="1" t="n">
        <v>45798</v>
      </c>
      <c r="D263" t="inlineStr">
        <is>
          <t>UPPSALA LÄN</t>
        </is>
      </c>
      <c r="E263" t="inlineStr">
        <is>
          <t>HEBY</t>
        </is>
      </c>
      <c r="F263" t="inlineStr">
        <is>
          <t>Allmännings- och besparingsskogar</t>
        </is>
      </c>
      <c r="G263" t="n">
        <v>2</v>
      </c>
      <c r="H263" t="n">
        <v>3</v>
      </c>
      <c r="I263" t="n">
        <v>0</v>
      </c>
      <c r="J263" t="n">
        <v>0</v>
      </c>
      <c r="K263" t="n">
        <v>0</v>
      </c>
      <c r="L263" t="n">
        <v>0</v>
      </c>
      <c r="M263" t="n">
        <v>0</v>
      </c>
      <c r="N263" t="n">
        <v>0</v>
      </c>
      <c r="O263" t="n">
        <v>0</v>
      </c>
      <c r="P263" t="n">
        <v>0</v>
      </c>
      <c r="Q263" t="n">
        <v>3</v>
      </c>
      <c r="R263" s="2" t="inlineStr">
        <is>
          <t>Åkergroda
Vanlig groda
Vanlig padda</t>
        </is>
      </c>
      <c r="S263">
        <f>HYPERLINK("https://klasma.github.io/Logging_0331/artfynd/A 1396-2022 artfynd.xlsx", "A 1396-2022")</f>
        <v/>
      </c>
      <c r="T263">
        <f>HYPERLINK("https://klasma.github.io/Logging_0331/kartor/A 1396-2022 karta.png", "A 1396-2022")</f>
        <v/>
      </c>
      <c r="V263">
        <f>HYPERLINK("https://klasma.github.io/Logging_0331/klagomål/A 1396-2022 FSC-klagomål.docx", "A 1396-2022")</f>
        <v/>
      </c>
      <c r="W263">
        <f>HYPERLINK("https://klasma.github.io/Logging_0331/klagomålsmail/A 1396-2022 FSC-klagomål mail.docx", "A 1396-2022")</f>
        <v/>
      </c>
      <c r="X263">
        <f>HYPERLINK("https://klasma.github.io/Logging_0331/tillsyn/A 1396-2022 tillsynsbegäran.docx", "A 1396-2022")</f>
        <v/>
      </c>
      <c r="Y263">
        <f>HYPERLINK("https://klasma.github.io/Logging_0331/tillsynsmail/A 1396-2022 tillsynsbegäran mail.docx", "A 1396-2022")</f>
        <v/>
      </c>
    </row>
    <row r="264" ht="15" customHeight="1">
      <c r="A264" t="inlineStr">
        <is>
          <t>A 14313-2022</t>
        </is>
      </c>
      <c r="B264" s="1" t="n">
        <v>44652</v>
      </c>
      <c r="C264" s="1" t="n">
        <v>45798</v>
      </c>
      <c r="D264" t="inlineStr">
        <is>
          <t>UPPSALA LÄN</t>
        </is>
      </c>
      <c r="E264" t="inlineStr">
        <is>
          <t>UPPSALA</t>
        </is>
      </c>
      <c r="F264" t="inlineStr">
        <is>
          <t>Holmen skog AB</t>
        </is>
      </c>
      <c r="G264" t="n">
        <v>1.7</v>
      </c>
      <c r="H264" t="n">
        <v>2</v>
      </c>
      <c r="I264" t="n">
        <v>1</v>
      </c>
      <c r="J264" t="n">
        <v>0</v>
      </c>
      <c r="K264" t="n">
        <v>0</v>
      </c>
      <c r="L264" t="n">
        <v>0</v>
      </c>
      <c r="M264" t="n">
        <v>0</v>
      </c>
      <c r="N264" t="n">
        <v>0</v>
      </c>
      <c r="O264" t="n">
        <v>0</v>
      </c>
      <c r="P264" t="n">
        <v>0</v>
      </c>
      <c r="Q264" t="n">
        <v>3</v>
      </c>
      <c r="R264" s="2" t="inlineStr">
        <is>
          <t>Vätteros
Blåsippa
Gullviva</t>
        </is>
      </c>
      <c r="S264">
        <f>HYPERLINK("https://klasma.github.io/Logging_0380/artfynd/A 14313-2022 artfynd.xlsx", "A 14313-2022")</f>
        <v/>
      </c>
      <c r="T264">
        <f>HYPERLINK("https://klasma.github.io/Logging_0380/kartor/A 14313-2022 karta.png", "A 14313-2022")</f>
        <v/>
      </c>
      <c r="V264">
        <f>HYPERLINK("https://klasma.github.io/Logging_0380/klagomål/A 14313-2022 FSC-klagomål.docx", "A 14313-2022")</f>
        <v/>
      </c>
      <c r="W264">
        <f>HYPERLINK("https://klasma.github.io/Logging_0380/klagomålsmail/A 14313-2022 FSC-klagomål mail.docx", "A 14313-2022")</f>
        <v/>
      </c>
      <c r="X264">
        <f>HYPERLINK("https://klasma.github.io/Logging_0380/tillsyn/A 14313-2022 tillsynsbegäran.docx", "A 14313-2022")</f>
        <v/>
      </c>
      <c r="Y264">
        <f>HYPERLINK("https://klasma.github.io/Logging_0380/tillsynsmail/A 14313-2022 tillsynsbegäran mail.docx", "A 14313-2022")</f>
        <v/>
      </c>
    </row>
    <row r="265" ht="15" customHeight="1">
      <c r="A265" t="inlineStr">
        <is>
          <t>A 15592-2022</t>
        </is>
      </c>
      <c r="B265" s="1" t="n">
        <v>44662</v>
      </c>
      <c r="C265" s="1" t="n">
        <v>45798</v>
      </c>
      <c r="D265" t="inlineStr">
        <is>
          <t>UPPSALA LÄN</t>
        </is>
      </c>
      <c r="E265" t="inlineStr">
        <is>
          <t>TIERP</t>
        </is>
      </c>
      <c r="F265" t="inlineStr">
        <is>
          <t>Bergvik skog väst AB</t>
        </is>
      </c>
      <c r="G265" t="n">
        <v>1.7</v>
      </c>
      <c r="H265" t="n">
        <v>2</v>
      </c>
      <c r="I265" t="n">
        <v>2</v>
      </c>
      <c r="J265" t="n">
        <v>0</v>
      </c>
      <c r="K265" t="n">
        <v>0</v>
      </c>
      <c r="L265" t="n">
        <v>0</v>
      </c>
      <c r="M265" t="n">
        <v>0</v>
      </c>
      <c r="N265" t="n">
        <v>0</v>
      </c>
      <c r="O265" t="n">
        <v>0</v>
      </c>
      <c r="P265" t="n">
        <v>0</v>
      </c>
      <c r="Q265" t="n">
        <v>3</v>
      </c>
      <c r="R265" s="2" t="inlineStr">
        <is>
          <t>Skogsknipprot
Tibast
Blåsippa</t>
        </is>
      </c>
      <c r="S265">
        <f>HYPERLINK("https://klasma.github.io/Logging_0360/artfynd/A 15592-2022 artfynd.xlsx", "A 15592-2022")</f>
        <v/>
      </c>
      <c r="T265">
        <f>HYPERLINK("https://klasma.github.io/Logging_0360/kartor/A 15592-2022 karta.png", "A 15592-2022")</f>
        <v/>
      </c>
      <c r="V265">
        <f>HYPERLINK("https://klasma.github.io/Logging_0360/klagomål/A 15592-2022 FSC-klagomål.docx", "A 15592-2022")</f>
        <v/>
      </c>
      <c r="W265">
        <f>HYPERLINK("https://klasma.github.io/Logging_0360/klagomålsmail/A 15592-2022 FSC-klagomål mail.docx", "A 15592-2022")</f>
        <v/>
      </c>
      <c r="X265">
        <f>HYPERLINK("https://klasma.github.io/Logging_0360/tillsyn/A 15592-2022 tillsynsbegäran.docx", "A 15592-2022")</f>
        <v/>
      </c>
      <c r="Y265">
        <f>HYPERLINK("https://klasma.github.io/Logging_0360/tillsynsmail/A 15592-2022 tillsynsbegäran mail.docx", "A 15592-2022")</f>
        <v/>
      </c>
    </row>
    <row r="266" ht="15" customHeight="1">
      <c r="A266" t="inlineStr">
        <is>
          <t>A 18079-2022</t>
        </is>
      </c>
      <c r="B266" s="1" t="n">
        <v>44684</v>
      </c>
      <c r="C266" s="1" t="n">
        <v>45798</v>
      </c>
      <c r="D266" t="inlineStr">
        <is>
          <t>UPPSALA LÄN</t>
        </is>
      </c>
      <c r="E266" t="inlineStr">
        <is>
          <t>UPPSALA</t>
        </is>
      </c>
      <c r="G266" t="n">
        <v>2</v>
      </c>
      <c r="H266" t="n">
        <v>0</v>
      </c>
      <c r="I266" t="n">
        <v>2</v>
      </c>
      <c r="J266" t="n">
        <v>0</v>
      </c>
      <c r="K266" t="n">
        <v>1</v>
      </c>
      <c r="L266" t="n">
        <v>0</v>
      </c>
      <c r="M266" t="n">
        <v>0</v>
      </c>
      <c r="N266" t="n">
        <v>0</v>
      </c>
      <c r="O266" t="n">
        <v>1</v>
      </c>
      <c r="P266" t="n">
        <v>1</v>
      </c>
      <c r="Q266" t="n">
        <v>3</v>
      </c>
      <c r="R266" s="2" t="inlineStr">
        <is>
          <t>Aspfjädermossa
Dvärgtufs
Skinnlav</t>
        </is>
      </c>
      <c r="S266">
        <f>HYPERLINK("https://klasma.github.io/Logging_0380/artfynd/A 18079-2022 artfynd.xlsx", "A 18079-2022")</f>
        <v/>
      </c>
      <c r="T266">
        <f>HYPERLINK("https://klasma.github.io/Logging_0380/kartor/A 18079-2022 karta.png", "A 18079-2022")</f>
        <v/>
      </c>
      <c r="V266">
        <f>HYPERLINK("https://klasma.github.io/Logging_0380/klagomål/A 18079-2022 FSC-klagomål.docx", "A 18079-2022")</f>
        <v/>
      </c>
      <c r="W266">
        <f>HYPERLINK("https://klasma.github.io/Logging_0380/klagomålsmail/A 18079-2022 FSC-klagomål mail.docx", "A 18079-2022")</f>
        <v/>
      </c>
      <c r="X266">
        <f>HYPERLINK("https://klasma.github.io/Logging_0380/tillsyn/A 18079-2022 tillsynsbegäran.docx", "A 18079-2022")</f>
        <v/>
      </c>
      <c r="Y266">
        <f>HYPERLINK("https://klasma.github.io/Logging_0380/tillsynsmail/A 18079-2022 tillsynsbegäran mail.docx", "A 18079-2022")</f>
        <v/>
      </c>
    </row>
    <row r="267" ht="15" customHeight="1">
      <c r="A267" t="inlineStr">
        <is>
          <t>A 19373-2022</t>
        </is>
      </c>
      <c r="B267" s="1" t="n">
        <v>44692</v>
      </c>
      <c r="C267" s="1" t="n">
        <v>45798</v>
      </c>
      <c r="D267" t="inlineStr">
        <is>
          <t>UPPSALA LÄN</t>
        </is>
      </c>
      <c r="E267" t="inlineStr">
        <is>
          <t>UPPSALA</t>
        </is>
      </c>
      <c r="F267" t="inlineStr">
        <is>
          <t>Bergvik skog öst AB</t>
        </is>
      </c>
      <c r="G267" t="n">
        <v>12.2</v>
      </c>
      <c r="H267" t="n">
        <v>1</v>
      </c>
      <c r="I267" t="n">
        <v>1</v>
      </c>
      <c r="J267" t="n">
        <v>0</v>
      </c>
      <c r="K267" t="n">
        <v>0</v>
      </c>
      <c r="L267" t="n">
        <v>1</v>
      </c>
      <c r="M267" t="n">
        <v>0</v>
      </c>
      <c r="N267" t="n">
        <v>0</v>
      </c>
      <c r="O267" t="n">
        <v>1</v>
      </c>
      <c r="P267" t="n">
        <v>1</v>
      </c>
      <c r="Q267" t="n">
        <v>3</v>
      </c>
      <c r="R267" s="2" t="inlineStr">
        <is>
          <t>Ask
Sårläka
Blåsippa</t>
        </is>
      </c>
      <c r="S267">
        <f>HYPERLINK("https://klasma.github.io/Logging_0380/artfynd/A 19373-2022 artfynd.xlsx", "A 19373-2022")</f>
        <v/>
      </c>
      <c r="T267">
        <f>HYPERLINK("https://klasma.github.io/Logging_0380/kartor/A 19373-2022 karta.png", "A 19373-2022")</f>
        <v/>
      </c>
      <c r="V267">
        <f>HYPERLINK("https://klasma.github.io/Logging_0380/klagomål/A 19373-2022 FSC-klagomål.docx", "A 19373-2022")</f>
        <v/>
      </c>
      <c r="W267">
        <f>HYPERLINK("https://klasma.github.io/Logging_0380/klagomålsmail/A 19373-2022 FSC-klagomål mail.docx", "A 19373-2022")</f>
        <v/>
      </c>
      <c r="X267">
        <f>HYPERLINK("https://klasma.github.io/Logging_0380/tillsyn/A 19373-2022 tillsynsbegäran.docx", "A 19373-2022")</f>
        <v/>
      </c>
      <c r="Y267">
        <f>HYPERLINK("https://klasma.github.io/Logging_0380/tillsynsmail/A 19373-2022 tillsynsbegäran mail.docx", "A 19373-2022")</f>
        <v/>
      </c>
    </row>
    <row r="268" ht="15" customHeight="1">
      <c r="A268" t="inlineStr">
        <is>
          <t>A 19960-2022</t>
        </is>
      </c>
      <c r="B268" s="1" t="n">
        <v>44697</v>
      </c>
      <c r="C268" s="1" t="n">
        <v>45798</v>
      </c>
      <c r="D268" t="inlineStr">
        <is>
          <t>UPPSALA LÄN</t>
        </is>
      </c>
      <c r="E268" t="inlineStr">
        <is>
          <t>ENKÖPING</t>
        </is>
      </c>
      <c r="G268" t="n">
        <v>3.7</v>
      </c>
      <c r="H268" t="n">
        <v>1</v>
      </c>
      <c r="I268" t="n">
        <v>0</v>
      </c>
      <c r="J268" t="n">
        <v>2</v>
      </c>
      <c r="K268" t="n">
        <v>0</v>
      </c>
      <c r="L268" t="n">
        <v>0</v>
      </c>
      <c r="M268" t="n">
        <v>0</v>
      </c>
      <c r="N268" t="n">
        <v>0</v>
      </c>
      <c r="O268" t="n">
        <v>2</v>
      </c>
      <c r="P268" t="n">
        <v>0</v>
      </c>
      <c r="Q268" t="n">
        <v>3</v>
      </c>
      <c r="R268" s="2" t="inlineStr">
        <is>
          <t>Ullticka
Vedtrappmossa
Blåsippa</t>
        </is>
      </c>
      <c r="S268">
        <f>HYPERLINK("https://klasma.github.io/Logging_0381/artfynd/A 19960-2022 artfynd.xlsx", "A 19960-2022")</f>
        <v/>
      </c>
      <c r="T268">
        <f>HYPERLINK("https://klasma.github.io/Logging_0381/kartor/A 19960-2022 karta.png", "A 19960-2022")</f>
        <v/>
      </c>
      <c r="V268">
        <f>HYPERLINK("https://klasma.github.io/Logging_0381/klagomål/A 19960-2022 FSC-klagomål.docx", "A 19960-2022")</f>
        <v/>
      </c>
      <c r="W268">
        <f>HYPERLINK("https://klasma.github.io/Logging_0381/klagomålsmail/A 19960-2022 FSC-klagomål mail.docx", "A 19960-2022")</f>
        <v/>
      </c>
      <c r="X268">
        <f>HYPERLINK("https://klasma.github.io/Logging_0381/tillsyn/A 19960-2022 tillsynsbegäran.docx", "A 19960-2022")</f>
        <v/>
      </c>
      <c r="Y268">
        <f>HYPERLINK("https://klasma.github.io/Logging_0381/tillsynsmail/A 19960-2022 tillsynsbegäran mail.docx", "A 19960-2022")</f>
        <v/>
      </c>
    </row>
    <row r="269" ht="15" customHeight="1">
      <c r="A269" t="inlineStr">
        <is>
          <t>A 26557-2022</t>
        </is>
      </c>
      <c r="B269" s="1" t="n">
        <v>44739</v>
      </c>
      <c r="C269" s="1" t="n">
        <v>45798</v>
      </c>
      <c r="D269" t="inlineStr">
        <is>
          <t>UPPSALA LÄN</t>
        </is>
      </c>
      <c r="E269" t="inlineStr">
        <is>
          <t>ÖSTHAMMAR</t>
        </is>
      </c>
      <c r="F269" t="inlineStr">
        <is>
          <t>Övriga statliga verk och myndigheter</t>
        </is>
      </c>
      <c r="G269" t="n">
        <v>1.7</v>
      </c>
      <c r="H269" t="n">
        <v>3</v>
      </c>
      <c r="I269" t="n">
        <v>0</v>
      </c>
      <c r="J269" t="n">
        <v>3</v>
      </c>
      <c r="K269" t="n">
        <v>0</v>
      </c>
      <c r="L269" t="n">
        <v>0</v>
      </c>
      <c r="M269" t="n">
        <v>0</v>
      </c>
      <c r="N269" t="n">
        <v>0</v>
      </c>
      <c r="O269" t="n">
        <v>3</v>
      </c>
      <c r="P269" t="n">
        <v>0</v>
      </c>
      <c r="Q269" t="n">
        <v>3</v>
      </c>
      <c r="R269" s="2" t="inlineStr">
        <is>
          <t>Järpe
Mindre hackspett
Spillkråka</t>
        </is>
      </c>
      <c r="S269">
        <f>HYPERLINK("https://klasma.github.io/Logging_0382/artfynd/A 26557-2022 artfynd.xlsx", "A 26557-2022")</f>
        <v/>
      </c>
      <c r="T269">
        <f>HYPERLINK("https://klasma.github.io/Logging_0382/kartor/A 26557-2022 karta.png", "A 26557-2022")</f>
        <v/>
      </c>
      <c r="V269">
        <f>HYPERLINK("https://klasma.github.io/Logging_0382/klagomål/A 26557-2022 FSC-klagomål.docx", "A 26557-2022")</f>
        <v/>
      </c>
      <c r="W269">
        <f>HYPERLINK("https://klasma.github.io/Logging_0382/klagomålsmail/A 26557-2022 FSC-klagomål mail.docx", "A 26557-2022")</f>
        <v/>
      </c>
      <c r="X269">
        <f>HYPERLINK("https://klasma.github.io/Logging_0382/tillsyn/A 26557-2022 tillsynsbegäran.docx", "A 26557-2022")</f>
        <v/>
      </c>
      <c r="Y269">
        <f>HYPERLINK("https://klasma.github.io/Logging_0382/tillsynsmail/A 26557-2022 tillsynsbegäran mail.docx", "A 26557-2022")</f>
        <v/>
      </c>
      <c r="Z269">
        <f>HYPERLINK("https://klasma.github.io/Logging_0382/fåglar/A 26557-2022 prioriterade fågelarter.docx", "A 26557-2022")</f>
        <v/>
      </c>
    </row>
    <row r="270" ht="15" customHeight="1">
      <c r="A270" t="inlineStr">
        <is>
          <t>A 34147-2022</t>
        </is>
      </c>
      <c r="B270" s="1" t="n">
        <v>44791</v>
      </c>
      <c r="C270" s="1" t="n">
        <v>45798</v>
      </c>
      <c r="D270" t="inlineStr">
        <is>
          <t>UPPSALA LÄN</t>
        </is>
      </c>
      <c r="E270" t="inlineStr">
        <is>
          <t>UPPSALA</t>
        </is>
      </c>
      <c r="G270" t="n">
        <v>1.9</v>
      </c>
      <c r="H270" t="n">
        <v>0</v>
      </c>
      <c r="I270" t="n">
        <v>2</v>
      </c>
      <c r="J270" t="n">
        <v>1</v>
      </c>
      <c r="K270" t="n">
        <v>0</v>
      </c>
      <c r="L270" t="n">
        <v>0</v>
      </c>
      <c r="M270" t="n">
        <v>0</v>
      </c>
      <c r="N270" t="n">
        <v>0</v>
      </c>
      <c r="O270" t="n">
        <v>1</v>
      </c>
      <c r="P270" t="n">
        <v>0</v>
      </c>
      <c r="Q270" t="n">
        <v>3</v>
      </c>
      <c r="R270" s="2" t="inlineStr">
        <is>
          <t>Granticka
Kamjordstjärna
Stor aspticka</t>
        </is>
      </c>
      <c r="S270">
        <f>HYPERLINK("https://klasma.github.io/Logging_0380/artfynd/A 34147-2022 artfynd.xlsx", "A 34147-2022")</f>
        <v/>
      </c>
      <c r="T270">
        <f>HYPERLINK("https://klasma.github.io/Logging_0380/kartor/A 34147-2022 karta.png", "A 34147-2022")</f>
        <v/>
      </c>
      <c r="V270">
        <f>HYPERLINK("https://klasma.github.io/Logging_0380/klagomål/A 34147-2022 FSC-klagomål.docx", "A 34147-2022")</f>
        <v/>
      </c>
      <c r="W270">
        <f>HYPERLINK("https://klasma.github.io/Logging_0380/klagomålsmail/A 34147-2022 FSC-klagomål mail.docx", "A 34147-2022")</f>
        <v/>
      </c>
      <c r="X270">
        <f>HYPERLINK("https://klasma.github.io/Logging_0380/tillsyn/A 34147-2022 tillsynsbegäran.docx", "A 34147-2022")</f>
        <v/>
      </c>
      <c r="Y270">
        <f>HYPERLINK("https://klasma.github.io/Logging_0380/tillsynsmail/A 34147-2022 tillsynsbegäran mail.docx", "A 34147-2022")</f>
        <v/>
      </c>
    </row>
    <row r="271" ht="15" customHeight="1">
      <c r="A271" t="inlineStr">
        <is>
          <t>A 36471-2022</t>
        </is>
      </c>
      <c r="B271" s="1" t="n">
        <v>44804</v>
      </c>
      <c r="C271" s="1" t="n">
        <v>45798</v>
      </c>
      <c r="D271" t="inlineStr">
        <is>
          <t>UPPSALA LÄN</t>
        </is>
      </c>
      <c r="E271" t="inlineStr">
        <is>
          <t>UPPSALA</t>
        </is>
      </c>
      <c r="G271" t="n">
        <v>4.2</v>
      </c>
      <c r="H271" t="n">
        <v>0</v>
      </c>
      <c r="I271" t="n">
        <v>3</v>
      </c>
      <c r="J271" t="n">
        <v>0</v>
      </c>
      <c r="K271" t="n">
        <v>0</v>
      </c>
      <c r="L271" t="n">
        <v>0</v>
      </c>
      <c r="M271" t="n">
        <v>0</v>
      </c>
      <c r="N271" t="n">
        <v>0</v>
      </c>
      <c r="O271" t="n">
        <v>0</v>
      </c>
      <c r="P271" t="n">
        <v>0</v>
      </c>
      <c r="Q271" t="n">
        <v>3</v>
      </c>
      <c r="R271" s="2" t="inlineStr">
        <is>
          <t>Bronshjon
Spindelbock
Stor aspticka</t>
        </is>
      </c>
      <c r="S271">
        <f>HYPERLINK("https://klasma.github.io/Logging_0380/artfynd/A 36471-2022 artfynd.xlsx", "A 36471-2022")</f>
        <v/>
      </c>
      <c r="T271">
        <f>HYPERLINK("https://klasma.github.io/Logging_0380/kartor/A 36471-2022 karta.png", "A 36471-2022")</f>
        <v/>
      </c>
      <c r="V271">
        <f>HYPERLINK("https://klasma.github.io/Logging_0380/klagomål/A 36471-2022 FSC-klagomål.docx", "A 36471-2022")</f>
        <v/>
      </c>
      <c r="W271">
        <f>HYPERLINK("https://klasma.github.io/Logging_0380/klagomålsmail/A 36471-2022 FSC-klagomål mail.docx", "A 36471-2022")</f>
        <v/>
      </c>
      <c r="X271">
        <f>HYPERLINK("https://klasma.github.io/Logging_0380/tillsyn/A 36471-2022 tillsynsbegäran.docx", "A 36471-2022")</f>
        <v/>
      </c>
      <c r="Y271">
        <f>HYPERLINK("https://klasma.github.io/Logging_0380/tillsynsmail/A 36471-2022 tillsynsbegäran mail.docx", "A 36471-2022")</f>
        <v/>
      </c>
    </row>
    <row r="272" ht="15" customHeight="1">
      <c r="A272" t="inlineStr">
        <is>
          <t>A 52951-2022</t>
        </is>
      </c>
      <c r="B272" s="1" t="n">
        <v>44875</v>
      </c>
      <c r="C272" s="1" t="n">
        <v>45798</v>
      </c>
      <c r="D272" t="inlineStr">
        <is>
          <t>UPPSALA LÄN</t>
        </is>
      </c>
      <c r="E272" t="inlineStr">
        <is>
          <t>TIERP</t>
        </is>
      </c>
      <c r="F272" t="inlineStr">
        <is>
          <t>Bergvik skog öst AB</t>
        </is>
      </c>
      <c r="G272" t="n">
        <v>13.5</v>
      </c>
      <c r="H272" t="n">
        <v>0</v>
      </c>
      <c r="I272" t="n">
        <v>3</v>
      </c>
      <c r="J272" t="n">
        <v>0</v>
      </c>
      <c r="K272" t="n">
        <v>0</v>
      </c>
      <c r="L272" t="n">
        <v>0</v>
      </c>
      <c r="M272" t="n">
        <v>0</v>
      </c>
      <c r="N272" t="n">
        <v>0</v>
      </c>
      <c r="O272" t="n">
        <v>0</v>
      </c>
      <c r="P272" t="n">
        <v>0</v>
      </c>
      <c r="Q272" t="n">
        <v>3</v>
      </c>
      <c r="R272" s="2" t="inlineStr">
        <is>
          <t>Myskmadra
Rödgul trumpetsvamp
Sårläka</t>
        </is>
      </c>
      <c r="S272">
        <f>HYPERLINK("https://klasma.github.io/Logging_0360/artfynd/A 52951-2022 artfynd.xlsx", "A 52951-2022")</f>
        <v/>
      </c>
      <c r="T272">
        <f>HYPERLINK("https://klasma.github.io/Logging_0360/kartor/A 52951-2022 karta.png", "A 52951-2022")</f>
        <v/>
      </c>
      <c r="V272">
        <f>HYPERLINK("https://klasma.github.io/Logging_0360/klagomål/A 52951-2022 FSC-klagomål.docx", "A 52951-2022")</f>
        <v/>
      </c>
      <c r="W272">
        <f>HYPERLINK("https://klasma.github.io/Logging_0360/klagomålsmail/A 52951-2022 FSC-klagomål mail.docx", "A 52951-2022")</f>
        <v/>
      </c>
      <c r="X272">
        <f>HYPERLINK("https://klasma.github.io/Logging_0360/tillsyn/A 52951-2022 tillsynsbegäran.docx", "A 52951-2022")</f>
        <v/>
      </c>
      <c r="Y272">
        <f>HYPERLINK("https://klasma.github.io/Logging_0360/tillsynsmail/A 52951-2022 tillsynsbegäran mail.docx", "A 52951-2022")</f>
        <v/>
      </c>
    </row>
    <row r="273" ht="15" customHeight="1">
      <c r="A273" t="inlineStr">
        <is>
          <t>A 4586-2023</t>
        </is>
      </c>
      <c r="B273" s="1" t="n">
        <v>44956</v>
      </c>
      <c r="C273" s="1" t="n">
        <v>45798</v>
      </c>
      <c r="D273" t="inlineStr">
        <is>
          <t>UPPSALA LÄN</t>
        </is>
      </c>
      <c r="E273" t="inlineStr">
        <is>
          <t>UPPSALA</t>
        </is>
      </c>
      <c r="G273" t="n">
        <v>12.2</v>
      </c>
      <c r="H273" t="n">
        <v>1</v>
      </c>
      <c r="I273" t="n">
        <v>2</v>
      </c>
      <c r="J273" t="n">
        <v>0</v>
      </c>
      <c r="K273" t="n">
        <v>0</v>
      </c>
      <c r="L273" t="n">
        <v>0</v>
      </c>
      <c r="M273" t="n">
        <v>0</v>
      </c>
      <c r="N273" t="n">
        <v>0</v>
      </c>
      <c r="O273" t="n">
        <v>0</v>
      </c>
      <c r="P273" t="n">
        <v>0</v>
      </c>
      <c r="Q273" t="n">
        <v>3</v>
      </c>
      <c r="R273" s="2" t="inlineStr">
        <is>
          <t>Barkticka
Vedticka
Vanlig padda</t>
        </is>
      </c>
      <c r="S273">
        <f>HYPERLINK("https://klasma.github.io/Logging_0380/artfynd/A 4586-2023 artfynd.xlsx", "A 4586-2023")</f>
        <v/>
      </c>
      <c r="T273">
        <f>HYPERLINK("https://klasma.github.io/Logging_0380/kartor/A 4586-2023 karta.png", "A 4586-2023")</f>
        <v/>
      </c>
      <c r="V273">
        <f>HYPERLINK("https://klasma.github.io/Logging_0380/klagomål/A 4586-2023 FSC-klagomål.docx", "A 4586-2023")</f>
        <v/>
      </c>
      <c r="W273">
        <f>HYPERLINK("https://klasma.github.io/Logging_0380/klagomålsmail/A 4586-2023 FSC-klagomål mail.docx", "A 4586-2023")</f>
        <v/>
      </c>
      <c r="X273">
        <f>HYPERLINK("https://klasma.github.io/Logging_0380/tillsyn/A 4586-2023 tillsynsbegäran.docx", "A 4586-2023")</f>
        <v/>
      </c>
      <c r="Y273">
        <f>HYPERLINK("https://klasma.github.io/Logging_0380/tillsynsmail/A 4586-2023 tillsynsbegäran mail.docx", "A 4586-2023")</f>
        <v/>
      </c>
    </row>
    <row r="274" ht="15" customHeight="1">
      <c r="A274" t="inlineStr">
        <is>
          <t>A 7366-2023</t>
        </is>
      </c>
      <c r="B274" s="1" t="n">
        <v>44966</v>
      </c>
      <c r="C274" s="1" t="n">
        <v>45798</v>
      </c>
      <c r="D274" t="inlineStr">
        <is>
          <t>UPPSALA LÄN</t>
        </is>
      </c>
      <c r="E274" t="inlineStr">
        <is>
          <t>TIERP</t>
        </is>
      </c>
      <c r="G274" t="n">
        <v>10.3</v>
      </c>
      <c r="H274" t="n">
        <v>2</v>
      </c>
      <c r="I274" t="n">
        <v>1</v>
      </c>
      <c r="J274" t="n">
        <v>0</v>
      </c>
      <c r="K274" t="n">
        <v>1</v>
      </c>
      <c r="L274" t="n">
        <v>0</v>
      </c>
      <c r="M274" t="n">
        <v>0</v>
      </c>
      <c r="N274" t="n">
        <v>0</v>
      </c>
      <c r="O274" t="n">
        <v>1</v>
      </c>
      <c r="P274" t="n">
        <v>1</v>
      </c>
      <c r="Q274" t="n">
        <v>3</v>
      </c>
      <c r="R274" s="2" t="inlineStr">
        <is>
          <t>Knärot
Grönpyrola
Revlummer</t>
        </is>
      </c>
      <c r="S274">
        <f>HYPERLINK("https://klasma.github.io/Logging_0360/artfynd/A 7366-2023 artfynd.xlsx", "A 7366-2023")</f>
        <v/>
      </c>
      <c r="T274">
        <f>HYPERLINK("https://klasma.github.io/Logging_0360/kartor/A 7366-2023 karta.png", "A 7366-2023")</f>
        <v/>
      </c>
      <c r="U274">
        <f>HYPERLINK("https://klasma.github.io/Logging_0360/knärot/A 7366-2023 karta knärot.png", "A 7366-2023")</f>
        <v/>
      </c>
      <c r="V274">
        <f>HYPERLINK("https://klasma.github.io/Logging_0360/klagomål/A 7366-2023 FSC-klagomål.docx", "A 7366-2023")</f>
        <v/>
      </c>
      <c r="W274">
        <f>HYPERLINK("https://klasma.github.io/Logging_0360/klagomålsmail/A 7366-2023 FSC-klagomål mail.docx", "A 7366-2023")</f>
        <v/>
      </c>
      <c r="X274">
        <f>HYPERLINK("https://klasma.github.io/Logging_0360/tillsyn/A 7366-2023 tillsynsbegäran.docx", "A 7366-2023")</f>
        <v/>
      </c>
      <c r="Y274">
        <f>HYPERLINK("https://klasma.github.io/Logging_0360/tillsynsmail/A 7366-2023 tillsynsbegäran mail.docx", "A 7366-2023")</f>
        <v/>
      </c>
    </row>
    <row r="275" ht="15" customHeight="1">
      <c r="A275" t="inlineStr">
        <is>
          <t>A 6832-2023</t>
        </is>
      </c>
      <c r="B275" s="1" t="n">
        <v>44967</v>
      </c>
      <c r="C275" s="1" t="n">
        <v>45798</v>
      </c>
      <c r="D275" t="inlineStr">
        <is>
          <t>UPPSALA LÄN</t>
        </is>
      </c>
      <c r="E275" t="inlineStr">
        <is>
          <t>ÄLVKARLEBY</t>
        </is>
      </c>
      <c r="F275" t="inlineStr">
        <is>
          <t>Bergvik skog väst AB</t>
        </is>
      </c>
      <c r="G275" t="n">
        <v>8.9</v>
      </c>
      <c r="H275" t="n">
        <v>1</v>
      </c>
      <c r="I275" t="n">
        <v>0</v>
      </c>
      <c r="J275" t="n">
        <v>1</v>
      </c>
      <c r="K275" t="n">
        <v>2</v>
      </c>
      <c r="L275" t="n">
        <v>0</v>
      </c>
      <c r="M275" t="n">
        <v>0</v>
      </c>
      <c r="N275" t="n">
        <v>0</v>
      </c>
      <c r="O275" t="n">
        <v>3</v>
      </c>
      <c r="P275" t="n">
        <v>2</v>
      </c>
      <c r="Q275" t="n">
        <v>3</v>
      </c>
      <c r="R275" s="2" t="inlineStr">
        <is>
          <t>Grangråticka
Koppartaggsvamp
Grönsångare</t>
        </is>
      </c>
      <c r="S275">
        <f>HYPERLINK("https://klasma.github.io/Logging_0319/artfynd/A 6832-2023 artfynd.xlsx", "A 6832-2023")</f>
        <v/>
      </c>
      <c r="T275">
        <f>HYPERLINK("https://klasma.github.io/Logging_0319/kartor/A 6832-2023 karta.png", "A 6832-2023")</f>
        <v/>
      </c>
      <c r="V275">
        <f>HYPERLINK("https://klasma.github.io/Logging_0319/klagomål/A 6832-2023 FSC-klagomål.docx", "A 6832-2023")</f>
        <v/>
      </c>
      <c r="W275">
        <f>HYPERLINK("https://klasma.github.io/Logging_0319/klagomålsmail/A 6832-2023 FSC-klagomål mail.docx", "A 6832-2023")</f>
        <v/>
      </c>
      <c r="X275">
        <f>HYPERLINK("https://klasma.github.io/Logging_0319/tillsyn/A 6832-2023 tillsynsbegäran.docx", "A 6832-2023")</f>
        <v/>
      </c>
      <c r="Y275">
        <f>HYPERLINK("https://klasma.github.io/Logging_0319/tillsynsmail/A 6832-2023 tillsynsbegäran mail.docx", "A 6832-2023")</f>
        <v/>
      </c>
      <c r="Z275">
        <f>HYPERLINK("https://klasma.github.io/Logging_0319/fåglar/A 6832-2023 prioriterade fågelarter.docx", "A 6832-2023")</f>
        <v/>
      </c>
    </row>
    <row r="276" ht="15" customHeight="1">
      <c r="A276" t="inlineStr">
        <is>
          <t>A 7309-2023</t>
        </is>
      </c>
      <c r="B276" s="1" t="n">
        <v>44970</v>
      </c>
      <c r="C276" s="1" t="n">
        <v>45798</v>
      </c>
      <c r="D276" t="inlineStr">
        <is>
          <t>UPPSALA LÄN</t>
        </is>
      </c>
      <c r="E276" t="inlineStr">
        <is>
          <t>TIERP</t>
        </is>
      </c>
      <c r="F276" t="inlineStr">
        <is>
          <t>Bergvik skog öst AB</t>
        </is>
      </c>
      <c r="G276" t="n">
        <v>13.7</v>
      </c>
      <c r="H276" t="n">
        <v>3</v>
      </c>
      <c r="I276" t="n">
        <v>1</v>
      </c>
      <c r="J276" t="n">
        <v>0</v>
      </c>
      <c r="K276" t="n">
        <v>0</v>
      </c>
      <c r="L276" t="n">
        <v>0</v>
      </c>
      <c r="M276" t="n">
        <v>0</v>
      </c>
      <c r="N276" t="n">
        <v>0</v>
      </c>
      <c r="O276" t="n">
        <v>0</v>
      </c>
      <c r="P276" t="n">
        <v>0</v>
      </c>
      <c r="Q276" t="n">
        <v>3</v>
      </c>
      <c r="R276" s="2" t="inlineStr">
        <is>
          <t>Skogsknipprot
Blåsippa
Revlummer</t>
        </is>
      </c>
      <c r="S276">
        <f>HYPERLINK("https://klasma.github.io/Logging_0360/artfynd/A 7309-2023 artfynd.xlsx", "A 7309-2023")</f>
        <v/>
      </c>
      <c r="T276">
        <f>HYPERLINK("https://klasma.github.io/Logging_0360/kartor/A 7309-2023 karta.png", "A 7309-2023")</f>
        <v/>
      </c>
      <c r="V276">
        <f>HYPERLINK("https://klasma.github.io/Logging_0360/klagomål/A 7309-2023 FSC-klagomål.docx", "A 7309-2023")</f>
        <v/>
      </c>
      <c r="W276">
        <f>HYPERLINK("https://klasma.github.io/Logging_0360/klagomålsmail/A 7309-2023 FSC-klagomål mail.docx", "A 7309-2023")</f>
        <v/>
      </c>
      <c r="X276">
        <f>HYPERLINK("https://klasma.github.io/Logging_0360/tillsyn/A 7309-2023 tillsynsbegäran.docx", "A 7309-2023")</f>
        <v/>
      </c>
      <c r="Y276">
        <f>HYPERLINK("https://klasma.github.io/Logging_0360/tillsynsmail/A 7309-2023 tillsynsbegäran mail.docx", "A 7309-2023")</f>
        <v/>
      </c>
    </row>
    <row r="277" ht="15" customHeight="1">
      <c r="A277" t="inlineStr">
        <is>
          <t>A 7752-2023</t>
        </is>
      </c>
      <c r="B277" s="1" t="n">
        <v>44973</v>
      </c>
      <c r="C277" s="1" t="n">
        <v>45798</v>
      </c>
      <c r="D277" t="inlineStr">
        <is>
          <t>UPPSALA LÄN</t>
        </is>
      </c>
      <c r="E277" t="inlineStr">
        <is>
          <t>UPPSALA</t>
        </is>
      </c>
      <c r="F277" t="inlineStr">
        <is>
          <t>Sveaskog</t>
        </is>
      </c>
      <c r="G277" t="n">
        <v>0.6</v>
      </c>
      <c r="H277" t="n">
        <v>1</v>
      </c>
      <c r="I277" t="n">
        <v>2</v>
      </c>
      <c r="J277" t="n">
        <v>0</v>
      </c>
      <c r="K277" t="n">
        <v>0</v>
      </c>
      <c r="L277" t="n">
        <v>0</v>
      </c>
      <c r="M277" t="n">
        <v>0</v>
      </c>
      <c r="N277" t="n">
        <v>0</v>
      </c>
      <c r="O277" t="n">
        <v>0</v>
      </c>
      <c r="P277" t="n">
        <v>0</v>
      </c>
      <c r="Q277" t="n">
        <v>3</v>
      </c>
      <c r="R277" s="2" t="inlineStr">
        <is>
          <t>Fjällig taggsvamp s.str.
Skogshakmossa
Blåsippa</t>
        </is>
      </c>
      <c r="S277">
        <f>HYPERLINK("https://klasma.github.io/Logging_0380/artfynd/A 7752-2023 artfynd.xlsx", "A 7752-2023")</f>
        <v/>
      </c>
      <c r="T277">
        <f>HYPERLINK("https://klasma.github.io/Logging_0380/kartor/A 7752-2023 karta.png", "A 7752-2023")</f>
        <v/>
      </c>
      <c r="V277">
        <f>HYPERLINK("https://klasma.github.io/Logging_0380/klagomål/A 7752-2023 FSC-klagomål.docx", "A 7752-2023")</f>
        <v/>
      </c>
      <c r="W277">
        <f>HYPERLINK("https://klasma.github.io/Logging_0380/klagomålsmail/A 7752-2023 FSC-klagomål mail.docx", "A 7752-2023")</f>
        <v/>
      </c>
      <c r="X277">
        <f>HYPERLINK("https://klasma.github.io/Logging_0380/tillsyn/A 7752-2023 tillsynsbegäran.docx", "A 7752-2023")</f>
        <v/>
      </c>
      <c r="Y277">
        <f>HYPERLINK("https://klasma.github.io/Logging_0380/tillsynsmail/A 7752-2023 tillsynsbegäran mail.docx", "A 7752-2023")</f>
        <v/>
      </c>
    </row>
    <row r="278" ht="15" customHeight="1">
      <c r="A278" t="inlineStr">
        <is>
          <t>A 9706-2023</t>
        </is>
      </c>
      <c r="B278" s="1" t="n">
        <v>44984</v>
      </c>
      <c r="C278" s="1" t="n">
        <v>45798</v>
      </c>
      <c r="D278" t="inlineStr">
        <is>
          <t>UPPSALA LÄN</t>
        </is>
      </c>
      <c r="E278" t="inlineStr">
        <is>
          <t>TIERP</t>
        </is>
      </c>
      <c r="F278" t="inlineStr">
        <is>
          <t>Bergvik skog öst AB</t>
        </is>
      </c>
      <c r="G278" t="n">
        <v>12.2</v>
      </c>
      <c r="H278" t="n">
        <v>1</v>
      </c>
      <c r="I278" t="n">
        <v>2</v>
      </c>
      <c r="J278" t="n">
        <v>1</v>
      </c>
      <c r="K278" t="n">
        <v>0</v>
      </c>
      <c r="L278" t="n">
        <v>0</v>
      </c>
      <c r="M278" t="n">
        <v>0</v>
      </c>
      <c r="N278" t="n">
        <v>0</v>
      </c>
      <c r="O278" t="n">
        <v>1</v>
      </c>
      <c r="P278" t="n">
        <v>0</v>
      </c>
      <c r="Q278" t="n">
        <v>3</v>
      </c>
      <c r="R278" s="2" t="inlineStr">
        <is>
          <t>Klasefibbla
Rödgul trumpetsvamp
Skogsknipprot</t>
        </is>
      </c>
      <c r="S278">
        <f>HYPERLINK("https://klasma.github.io/Logging_0360/artfynd/A 9706-2023 artfynd.xlsx", "A 9706-2023")</f>
        <v/>
      </c>
      <c r="T278">
        <f>HYPERLINK("https://klasma.github.io/Logging_0360/kartor/A 9706-2023 karta.png", "A 9706-2023")</f>
        <v/>
      </c>
      <c r="V278">
        <f>HYPERLINK("https://klasma.github.io/Logging_0360/klagomål/A 9706-2023 FSC-klagomål.docx", "A 9706-2023")</f>
        <v/>
      </c>
      <c r="W278">
        <f>HYPERLINK("https://klasma.github.io/Logging_0360/klagomålsmail/A 9706-2023 FSC-klagomål mail.docx", "A 9706-2023")</f>
        <v/>
      </c>
      <c r="X278">
        <f>HYPERLINK("https://klasma.github.io/Logging_0360/tillsyn/A 9706-2023 tillsynsbegäran.docx", "A 9706-2023")</f>
        <v/>
      </c>
      <c r="Y278">
        <f>HYPERLINK("https://klasma.github.io/Logging_0360/tillsynsmail/A 9706-2023 tillsynsbegäran mail.docx", "A 9706-2023")</f>
        <v/>
      </c>
    </row>
    <row r="279" ht="15" customHeight="1">
      <c r="A279" t="inlineStr">
        <is>
          <t>A 9683-2023</t>
        </is>
      </c>
      <c r="B279" s="1" t="n">
        <v>44984</v>
      </c>
      <c r="C279" s="1" t="n">
        <v>45798</v>
      </c>
      <c r="D279" t="inlineStr">
        <is>
          <t>UPPSALA LÄN</t>
        </is>
      </c>
      <c r="E279" t="inlineStr">
        <is>
          <t>ÖSTHAMMAR</t>
        </is>
      </c>
      <c r="G279" t="n">
        <v>4</v>
      </c>
      <c r="H279" t="n">
        <v>3</v>
      </c>
      <c r="I279" t="n">
        <v>1</v>
      </c>
      <c r="J279" t="n">
        <v>0</v>
      </c>
      <c r="K279" t="n">
        <v>0</v>
      </c>
      <c r="L279" t="n">
        <v>0</v>
      </c>
      <c r="M279" t="n">
        <v>0</v>
      </c>
      <c r="N279" t="n">
        <v>0</v>
      </c>
      <c r="O279" t="n">
        <v>0</v>
      </c>
      <c r="P279" t="n">
        <v>0</v>
      </c>
      <c r="Q279" t="n">
        <v>3</v>
      </c>
      <c r="R279" s="2" t="inlineStr">
        <is>
          <t>Tvåblad
Blåsippa
Gullviva</t>
        </is>
      </c>
      <c r="S279">
        <f>HYPERLINK("https://klasma.github.io/Logging_0382/artfynd/A 9683-2023 artfynd.xlsx", "A 9683-2023")</f>
        <v/>
      </c>
      <c r="T279">
        <f>HYPERLINK("https://klasma.github.io/Logging_0382/kartor/A 9683-2023 karta.png", "A 9683-2023")</f>
        <v/>
      </c>
      <c r="V279">
        <f>HYPERLINK("https://klasma.github.io/Logging_0382/klagomål/A 9683-2023 FSC-klagomål.docx", "A 9683-2023")</f>
        <v/>
      </c>
      <c r="W279">
        <f>HYPERLINK("https://klasma.github.io/Logging_0382/klagomålsmail/A 9683-2023 FSC-klagomål mail.docx", "A 9683-2023")</f>
        <v/>
      </c>
      <c r="X279">
        <f>HYPERLINK("https://klasma.github.io/Logging_0382/tillsyn/A 9683-2023 tillsynsbegäran.docx", "A 9683-2023")</f>
        <v/>
      </c>
      <c r="Y279">
        <f>HYPERLINK("https://klasma.github.io/Logging_0382/tillsynsmail/A 9683-2023 tillsynsbegäran mail.docx", "A 9683-2023")</f>
        <v/>
      </c>
    </row>
    <row r="280" ht="15" customHeight="1">
      <c r="A280" t="inlineStr">
        <is>
          <t>A 12485-2023</t>
        </is>
      </c>
      <c r="B280" s="1" t="n">
        <v>44998</v>
      </c>
      <c r="C280" s="1" t="n">
        <v>45798</v>
      </c>
      <c r="D280" t="inlineStr">
        <is>
          <t>UPPSALA LÄN</t>
        </is>
      </c>
      <c r="E280" t="inlineStr">
        <is>
          <t>ÖSTHAMMAR</t>
        </is>
      </c>
      <c r="G280" t="n">
        <v>4.3</v>
      </c>
      <c r="H280" t="n">
        <v>0</v>
      </c>
      <c r="I280" t="n">
        <v>0</v>
      </c>
      <c r="J280" t="n">
        <v>3</v>
      </c>
      <c r="K280" t="n">
        <v>0</v>
      </c>
      <c r="L280" t="n">
        <v>0</v>
      </c>
      <c r="M280" t="n">
        <v>0</v>
      </c>
      <c r="N280" t="n">
        <v>0</v>
      </c>
      <c r="O280" t="n">
        <v>3</v>
      </c>
      <c r="P280" t="n">
        <v>0</v>
      </c>
      <c r="Q280" t="n">
        <v>3</v>
      </c>
      <c r="R280" s="2" t="inlineStr">
        <is>
          <t>Backklöver
Slåtterfibbla
Solvända</t>
        </is>
      </c>
      <c r="S280">
        <f>HYPERLINK("https://klasma.github.io/Logging_0382/artfynd/A 12485-2023 artfynd.xlsx", "A 12485-2023")</f>
        <v/>
      </c>
      <c r="T280">
        <f>HYPERLINK("https://klasma.github.io/Logging_0382/kartor/A 12485-2023 karta.png", "A 12485-2023")</f>
        <v/>
      </c>
      <c r="V280">
        <f>HYPERLINK("https://klasma.github.io/Logging_0382/klagomål/A 12485-2023 FSC-klagomål.docx", "A 12485-2023")</f>
        <v/>
      </c>
      <c r="W280">
        <f>HYPERLINK("https://klasma.github.io/Logging_0382/klagomålsmail/A 12485-2023 FSC-klagomål mail.docx", "A 12485-2023")</f>
        <v/>
      </c>
      <c r="X280">
        <f>HYPERLINK("https://klasma.github.io/Logging_0382/tillsyn/A 12485-2023 tillsynsbegäran.docx", "A 12485-2023")</f>
        <v/>
      </c>
      <c r="Y280">
        <f>HYPERLINK("https://klasma.github.io/Logging_0382/tillsynsmail/A 12485-2023 tillsynsbegäran mail.docx", "A 12485-2023")</f>
        <v/>
      </c>
    </row>
    <row r="281" ht="15" customHeight="1">
      <c r="A281" t="inlineStr">
        <is>
          <t>A 13120-2023</t>
        </is>
      </c>
      <c r="B281" s="1" t="n">
        <v>45002</v>
      </c>
      <c r="C281" s="1" t="n">
        <v>45798</v>
      </c>
      <c r="D281" t="inlineStr">
        <is>
          <t>UPPSALA LÄN</t>
        </is>
      </c>
      <c r="E281" t="inlineStr">
        <is>
          <t>ÖSTHAMMAR</t>
        </is>
      </c>
      <c r="G281" t="n">
        <v>5.8</v>
      </c>
      <c r="H281" t="n">
        <v>0</v>
      </c>
      <c r="I281" t="n">
        <v>3</v>
      </c>
      <c r="J281" t="n">
        <v>0</v>
      </c>
      <c r="K281" t="n">
        <v>0</v>
      </c>
      <c r="L281" t="n">
        <v>0</v>
      </c>
      <c r="M281" t="n">
        <v>0</v>
      </c>
      <c r="N281" t="n">
        <v>0</v>
      </c>
      <c r="O281" t="n">
        <v>0</v>
      </c>
      <c r="P281" t="n">
        <v>0</v>
      </c>
      <c r="Q281" t="n">
        <v>3</v>
      </c>
      <c r="R281" s="2" t="inlineStr">
        <is>
          <t>Anisspindling
Olivspindling
Rödgul trumpetsvamp</t>
        </is>
      </c>
      <c r="S281">
        <f>HYPERLINK("https://klasma.github.io/Logging_0382/artfynd/A 13120-2023 artfynd.xlsx", "A 13120-2023")</f>
        <v/>
      </c>
      <c r="T281">
        <f>HYPERLINK("https://klasma.github.io/Logging_0382/kartor/A 13120-2023 karta.png", "A 13120-2023")</f>
        <v/>
      </c>
      <c r="V281">
        <f>HYPERLINK("https://klasma.github.io/Logging_0382/klagomål/A 13120-2023 FSC-klagomål.docx", "A 13120-2023")</f>
        <v/>
      </c>
      <c r="W281">
        <f>HYPERLINK("https://klasma.github.io/Logging_0382/klagomålsmail/A 13120-2023 FSC-klagomål mail.docx", "A 13120-2023")</f>
        <v/>
      </c>
      <c r="X281">
        <f>HYPERLINK("https://klasma.github.io/Logging_0382/tillsyn/A 13120-2023 tillsynsbegäran.docx", "A 13120-2023")</f>
        <v/>
      </c>
      <c r="Y281">
        <f>HYPERLINK("https://klasma.github.io/Logging_0382/tillsynsmail/A 13120-2023 tillsynsbegäran mail.docx", "A 13120-2023")</f>
        <v/>
      </c>
    </row>
    <row r="282" ht="15" customHeight="1">
      <c r="A282" t="inlineStr">
        <is>
          <t>A 15179-2023</t>
        </is>
      </c>
      <c r="B282" s="1" t="n">
        <v>45016</v>
      </c>
      <c r="C282" s="1" t="n">
        <v>45798</v>
      </c>
      <c r="D282" t="inlineStr">
        <is>
          <t>UPPSALA LÄN</t>
        </is>
      </c>
      <c r="E282" t="inlineStr">
        <is>
          <t>ÖSTHAMMAR</t>
        </is>
      </c>
      <c r="G282" t="n">
        <v>6.1</v>
      </c>
      <c r="H282" t="n">
        <v>1</v>
      </c>
      <c r="I282" t="n">
        <v>3</v>
      </c>
      <c r="J282" t="n">
        <v>0</v>
      </c>
      <c r="K282" t="n">
        <v>0</v>
      </c>
      <c r="L282" t="n">
        <v>0</v>
      </c>
      <c r="M282" t="n">
        <v>0</v>
      </c>
      <c r="N282" t="n">
        <v>0</v>
      </c>
      <c r="O282" t="n">
        <v>0</v>
      </c>
      <c r="P282" t="n">
        <v>0</v>
      </c>
      <c r="Q282" t="n">
        <v>3</v>
      </c>
      <c r="R282" s="2" t="inlineStr">
        <is>
          <t>Skogsknipprot
Tibast
Vårärt</t>
        </is>
      </c>
      <c r="S282">
        <f>HYPERLINK("https://klasma.github.io/Logging_0382/artfynd/A 15179-2023 artfynd.xlsx", "A 15179-2023")</f>
        <v/>
      </c>
      <c r="T282">
        <f>HYPERLINK("https://klasma.github.io/Logging_0382/kartor/A 15179-2023 karta.png", "A 15179-2023")</f>
        <v/>
      </c>
      <c r="V282">
        <f>HYPERLINK("https://klasma.github.io/Logging_0382/klagomål/A 15179-2023 FSC-klagomål.docx", "A 15179-2023")</f>
        <v/>
      </c>
      <c r="W282">
        <f>HYPERLINK("https://klasma.github.io/Logging_0382/klagomålsmail/A 15179-2023 FSC-klagomål mail.docx", "A 15179-2023")</f>
        <v/>
      </c>
      <c r="X282">
        <f>HYPERLINK("https://klasma.github.io/Logging_0382/tillsyn/A 15179-2023 tillsynsbegäran.docx", "A 15179-2023")</f>
        <v/>
      </c>
      <c r="Y282">
        <f>HYPERLINK("https://klasma.github.io/Logging_0382/tillsynsmail/A 15179-2023 tillsynsbegäran mail.docx", "A 15179-2023")</f>
        <v/>
      </c>
    </row>
    <row r="283" ht="15" customHeight="1">
      <c r="A283" t="inlineStr">
        <is>
          <t>A 19884-2023</t>
        </is>
      </c>
      <c r="B283" s="1" t="n">
        <v>45054</v>
      </c>
      <c r="C283" s="1" t="n">
        <v>45798</v>
      </c>
      <c r="D283" t="inlineStr">
        <is>
          <t>UPPSALA LÄN</t>
        </is>
      </c>
      <c r="E283" t="inlineStr">
        <is>
          <t>ÖSTHAMMAR</t>
        </is>
      </c>
      <c r="G283" t="n">
        <v>2.5</v>
      </c>
      <c r="H283" t="n">
        <v>3</v>
      </c>
      <c r="I283" t="n">
        <v>0</v>
      </c>
      <c r="J283" t="n">
        <v>2</v>
      </c>
      <c r="K283" t="n">
        <v>0</v>
      </c>
      <c r="L283" t="n">
        <v>1</v>
      </c>
      <c r="M283" t="n">
        <v>0</v>
      </c>
      <c r="N283" t="n">
        <v>0</v>
      </c>
      <c r="O283" t="n">
        <v>3</v>
      </c>
      <c r="P283" t="n">
        <v>1</v>
      </c>
      <c r="Q283" t="n">
        <v>3</v>
      </c>
      <c r="R283" s="2" t="inlineStr">
        <is>
          <t>Grönfink
Grönsångare
Rödvingetrast</t>
        </is>
      </c>
      <c r="S283">
        <f>HYPERLINK("https://klasma.github.io/Logging_0382/artfynd/A 19884-2023 artfynd.xlsx", "A 19884-2023")</f>
        <v/>
      </c>
      <c r="T283">
        <f>HYPERLINK("https://klasma.github.io/Logging_0382/kartor/A 19884-2023 karta.png", "A 19884-2023")</f>
        <v/>
      </c>
      <c r="V283">
        <f>HYPERLINK("https://klasma.github.io/Logging_0382/klagomål/A 19884-2023 FSC-klagomål.docx", "A 19884-2023")</f>
        <v/>
      </c>
      <c r="W283">
        <f>HYPERLINK("https://klasma.github.io/Logging_0382/klagomålsmail/A 19884-2023 FSC-klagomål mail.docx", "A 19884-2023")</f>
        <v/>
      </c>
      <c r="X283">
        <f>HYPERLINK("https://klasma.github.io/Logging_0382/tillsyn/A 19884-2023 tillsynsbegäran.docx", "A 19884-2023")</f>
        <v/>
      </c>
      <c r="Y283">
        <f>HYPERLINK("https://klasma.github.io/Logging_0382/tillsynsmail/A 19884-2023 tillsynsbegäran mail.docx", "A 19884-2023")</f>
        <v/>
      </c>
      <c r="Z283">
        <f>HYPERLINK("https://klasma.github.io/Logging_0382/fåglar/A 19884-2023 prioriterade fågelarter.docx", "A 19884-2023")</f>
        <v/>
      </c>
    </row>
    <row r="284" ht="15" customHeight="1">
      <c r="A284" t="inlineStr">
        <is>
          <t>A 20115-2023</t>
        </is>
      </c>
      <c r="B284" s="1" t="n">
        <v>45055</v>
      </c>
      <c r="C284" s="1" t="n">
        <v>45798</v>
      </c>
      <c r="D284" t="inlineStr">
        <is>
          <t>UPPSALA LÄN</t>
        </is>
      </c>
      <c r="E284" t="inlineStr">
        <is>
          <t>ÖSTHAMMAR</t>
        </is>
      </c>
      <c r="G284" t="n">
        <v>13.4</v>
      </c>
      <c r="H284" t="n">
        <v>0</v>
      </c>
      <c r="I284" t="n">
        <v>0</v>
      </c>
      <c r="J284" t="n">
        <v>3</v>
      </c>
      <c r="K284" t="n">
        <v>0</v>
      </c>
      <c r="L284" t="n">
        <v>0</v>
      </c>
      <c r="M284" t="n">
        <v>0</v>
      </c>
      <c r="N284" t="n">
        <v>0</v>
      </c>
      <c r="O284" t="n">
        <v>3</v>
      </c>
      <c r="P284" t="n">
        <v>0</v>
      </c>
      <c r="Q284" t="n">
        <v>3</v>
      </c>
      <c r="R284" s="2" t="inlineStr">
        <is>
          <t>Grantaggsvamp
Leopardsköldbagge
Orange taggsvamp</t>
        </is>
      </c>
      <c r="S284">
        <f>HYPERLINK("https://klasma.github.io/Logging_0382/artfynd/A 20115-2023 artfynd.xlsx", "A 20115-2023")</f>
        <v/>
      </c>
      <c r="T284">
        <f>HYPERLINK("https://klasma.github.io/Logging_0382/kartor/A 20115-2023 karta.png", "A 20115-2023")</f>
        <v/>
      </c>
      <c r="U284">
        <f>HYPERLINK("https://klasma.github.io/Logging_0382/knärot/A 20115-2023 karta knärot.png", "A 20115-2023")</f>
        <v/>
      </c>
      <c r="V284">
        <f>HYPERLINK("https://klasma.github.io/Logging_0382/klagomål/A 20115-2023 FSC-klagomål.docx", "A 20115-2023")</f>
        <v/>
      </c>
      <c r="W284">
        <f>HYPERLINK("https://klasma.github.io/Logging_0382/klagomålsmail/A 20115-2023 FSC-klagomål mail.docx", "A 20115-2023")</f>
        <v/>
      </c>
      <c r="X284">
        <f>HYPERLINK("https://klasma.github.io/Logging_0382/tillsyn/A 20115-2023 tillsynsbegäran.docx", "A 20115-2023")</f>
        <v/>
      </c>
      <c r="Y284">
        <f>HYPERLINK("https://klasma.github.io/Logging_0382/tillsynsmail/A 20115-2023 tillsynsbegäran mail.docx", "A 20115-2023")</f>
        <v/>
      </c>
    </row>
    <row r="285" ht="15" customHeight="1">
      <c r="A285" t="inlineStr">
        <is>
          <t>A 25724-2023</t>
        </is>
      </c>
      <c r="B285" s="1" t="n">
        <v>45090</v>
      </c>
      <c r="C285" s="1" t="n">
        <v>45798</v>
      </c>
      <c r="D285" t="inlineStr">
        <is>
          <t>UPPSALA LÄN</t>
        </is>
      </c>
      <c r="E285" t="inlineStr">
        <is>
          <t>ÄLVKARLEBY</t>
        </is>
      </c>
      <c r="F285" t="inlineStr">
        <is>
          <t>Bergvik skog väst AB</t>
        </is>
      </c>
      <c r="G285" t="n">
        <v>18.6</v>
      </c>
      <c r="H285" t="n">
        <v>1</v>
      </c>
      <c r="I285" t="n">
        <v>2</v>
      </c>
      <c r="J285" t="n">
        <v>0</v>
      </c>
      <c r="K285" t="n">
        <v>1</v>
      </c>
      <c r="L285" t="n">
        <v>0</v>
      </c>
      <c r="M285" t="n">
        <v>0</v>
      </c>
      <c r="N285" t="n">
        <v>0</v>
      </c>
      <c r="O285" t="n">
        <v>1</v>
      </c>
      <c r="P285" t="n">
        <v>1</v>
      </c>
      <c r="Q285" t="n">
        <v>3</v>
      </c>
      <c r="R285" s="2" t="inlineStr">
        <is>
          <t>Väddnätfjäril
Anisspindling
Tibast</t>
        </is>
      </c>
      <c r="S285">
        <f>HYPERLINK("https://klasma.github.io/Logging_0319/artfynd/A 25724-2023 artfynd.xlsx", "A 25724-2023")</f>
        <v/>
      </c>
      <c r="T285">
        <f>HYPERLINK("https://klasma.github.io/Logging_0319/kartor/A 25724-2023 karta.png", "A 25724-2023")</f>
        <v/>
      </c>
      <c r="V285">
        <f>HYPERLINK("https://klasma.github.io/Logging_0319/klagomål/A 25724-2023 FSC-klagomål.docx", "A 25724-2023")</f>
        <v/>
      </c>
      <c r="W285">
        <f>HYPERLINK("https://klasma.github.io/Logging_0319/klagomålsmail/A 25724-2023 FSC-klagomål mail.docx", "A 25724-2023")</f>
        <v/>
      </c>
      <c r="X285">
        <f>HYPERLINK("https://klasma.github.io/Logging_0319/tillsyn/A 25724-2023 tillsynsbegäran.docx", "A 25724-2023")</f>
        <v/>
      </c>
      <c r="Y285">
        <f>HYPERLINK("https://klasma.github.io/Logging_0319/tillsynsmail/A 25724-2023 tillsynsbegäran mail.docx", "A 25724-2023")</f>
        <v/>
      </c>
    </row>
    <row r="286" ht="15" customHeight="1">
      <c r="A286" t="inlineStr">
        <is>
          <t>A 25943-2023</t>
        </is>
      </c>
      <c r="B286" s="1" t="n">
        <v>45090</v>
      </c>
      <c r="C286" s="1" t="n">
        <v>45798</v>
      </c>
      <c r="D286" t="inlineStr">
        <is>
          <t>UPPSALA LÄN</t>
        </is>
      </c>
      <c r="E286" t="inlineStr">
        <is>
          <t>UPPSALA</t>
        </is>
      </c>
      <c r="F286" t="inlineStr">
        <is>
          <t>Holmen skog AB</t>
        </is>
      </c>
      <c r="G286" t="n">
        <v>2.7</v>
      </c>
      <c r="H286" t="n">
        <v>1</v>
      </c>
      <c r="I286" t="n">
        <v>1</v>
      </c>
      <c r="J286" t="n">
        <v>2</v>
      </c>
      <c r="K286" t="n">
        <v>0</v>
      </c>
      <c r="L286" t="n">
        <v>0</v>
      </c>
      <c r="M286" t="n">
        <v>0</v>
      </c>
      <c r="N286" t="n">
        <v>0</v>
      </c>
      <c r="O286" t="n">
        <v>2</v>
      </c>
      <c r="P286" t="n">
        <v>0</v>
      </c>
      <c r="Q286" t="n">
        <v>3</v>
      </c>
      <c r="R286" s="2" t="inlineStr">
        <is>
          <t>Mindre hackspett
Vedtrappmossa
Vedticka</t>
        </is>
      </c>
      <c r="S286">
        <f>HYPERLINK("https://klasma.github.io/Logging_0380/artfynd/A 25943-2023 artfynd.xlsx", "A 25943-2023")</f>
        <v/>
      </c>
      <c r="T286">
        <f>HYPERLINK("https://klasma.github.io/Logging_0380/kartor/A 25943-2023 karta.png", "A 25943-2023")</f>
        <v/>
      </c>
      <c r="V286">
        <f>HYPERLINK("https://klasma.github.io/Logging_0380/klagomål/A 25943-2023 FSC-klagomål.docx", "A 25943-2023")</f>
        <v/>
      </c>
      <c r="W286">
        <f>HYPERLINK("https://klasma.github.io/Logging_0380/klagomålsmail/A 25943-2023 FSC-klagomål mail.docx", "A 25943-2023")</f>
        <v/>
      </c>
      <c r="X286">
        <f>HYPERLINK("https://klasma.github.io/Logging_0380/tillsyn/A 25943-2023 tillsynsbegäran.docx", "A 25943-2023")</f>
        <v/>
      </c>
      <c r="Y286">
        <f>HYPERLINK("https://klasma.github.io/Logging_0380/tillsynsmail/A 25943-2023 tillsynsbegäran mail.docx", "A 25943-2023")</f>
        <v/>
      </c>
      <c r="Z286">
        <f>HYPERLINK("https://klasma.github.io/Logging_0380/fåglar/A 25943-2023 prioriterade fågelarter.docx", "A 25943-2023")</f>
        <v/>
      </c>
    </row>
    <row r="287" ht="15" customHeight="1">
      <c r="A287" t="inlineStr">
        <is>
          <t>A 31552-2023</t>
        </is>
      </c>
      <c r="B287" s="1" t="n">
        <v>45104</v>
      </c>
      <c r="C287" s="1" t="n">
        <v>45798</v>
      </c>
      <c r="D287" t="inlineStr">
        <is>
          <t>UPPSALA LÄN</t>
        </is>
      </c>
      <c r="E287" t="inlineStr">
        <is>
          <t>ENKÖPING</t>
        </is>
      </c>
      <c r="G287" t="n">
        <v>2.6</v>
      </c>
      <c r="H287" t="n">
        <v>1</v>
      </c>
      <c r="I287" t="n">
        <v>1</v>
      </c>
      <c r="J287" t="n">
        <v>1</v>
      </c>
      <c r="K287" t="n">
        <v>1</v>
      </c>
      <c r="L287" t="n">
        <v>0</v>
      </c>
      <c r="M287" t="n">
        <v>0</v>
      </c>
      <c r="N287" t="n">
        <v>0</v>
      </c>
      <c r="O287" t="n">
        <v>2</v>
      </c>
      <c r="P287" t="n">
        <v>1</v>
      </c>
      <c r="Q287" t="n">
        <v>3</v>
      </c>
      <c r="R287" s="2" t="inlineStr">
        <is>
          <t>Bombmurkla
Fyrflikig jordstjärna
Grönpyrola</t>
        </is>
      </c>
      <c r="S287">
        <f>HYPERLINK("https://klasma.github.io/Logging_0381/artfynd/A 31552-2023 artfynd.xlsx", "A 31552-2023")</f>
        <v/>
      </c>
      <c r="T287">
        <f>HYPERLINK("https://klasma.github.io/Logging_0381/kartor/A 31552-2023 karta.png", "A 31552-2023")</f>
        <v/>
      </c>
      <c r="V287">
        <f>HYPERLINK("https://klasma.github.io/Logging_0381/klagomål/A 31552-2023 FSC-klagomål.docx", "A 31552-2023")</f>
        <v/>
      </c>
      <c r="W287">
        <f>HYPERLINK("https://klasma.github.io/Logging_0381/klagomålsmail/A 31552-2023 FSC-klagomål mail.docx", "A 31552-2023")</f>
        <v/>
      </c>
      <c r="X287">
        <f>HYPERLINK("https://klasma.github.io/Logging_0381/tillsyn/A 31552-2023 tillsynsbegäran.docx", "A 31552-2023")</f>
        <v/>
      </c>
      <c r="Y287">
        <f>HYPERLINK("https://klasma.github.io/Logging_0381/tillsynsmail/A 31552-2023 tillsynsbegäran mail.docx", "A 31552-2023")</f>
        <v/>
      </c>
    </row>
    <row r="288" ht="15" customHeight="1">
      <c r="A288" t="inlineStr">
        <is>
          <t>A 32759-2023</t>
        </is>
      </c>
      <c r="B288" s="1" t="n">
        <v>45123</v>
      </c>
      <c r="C288" s="1" t="n">
        <v>45798</v>
      </c>
      <c r="D288" t="inlineStr">
        <is>
          <t>UPPSALA LÄN</t>
        </is>
      </c>
      <c r="E288" t="inlineStr">
        <is>
          <t>HEBY</t>
        </is>
      </c>
      <c r="G288" t="n">
        <v>23.9</v>
      </c>
      <c r="H288" t="n">
        <v>2</v>
      </c>
      <c r="I288" t="n">
        <v>2</v>
      </c>
      <c r="J288" t="n">
        <v>0</v>
      </c>
      <c r="K288" t="n">
        <v>1</v>
      </c>
      <c r="L288" t="n">
        <v>0</v>
      </c>
      <c r="M288" t="n">
        <v>0</v>
      </c>
      <c r="N288" t="n">
        <v>0</v>
      </c>
      <c r="O288" t="n">
        <v>1</v>
      </c>
      <c r="P288" t="n">
        <v>1</v>
      </c>
      <c r="Q288" t="n">
        <v>3</v>
      </c>
      <c r="R288" s="2" t="inlineStr">
        <is>
          <t>Knärot
Grön sköldmossa
Vedticka</t>
        </is>
      </c>
      <c r="S288">
        <f>HYPERLINK("https://klasma.github.io/Logging_0331/artfynd/A 32759-2023 artfynd.xlsx", "A 32759-2023")</f>
        <v/>
      </c>
      <c r="T288">
        <f>HYPERLINK("https://klasma.github.io/Logging_0331/kartor/A 32759-2023 karta.png", "A 32759-2023")</f>
        <v/>
      </c>
      <c r="U288">
        <f>HYPERLINK("https://klasma.github.io/Logging_0331/knärot/A 32759-2023 karta knärot.png", "A 32759-2023")</f>
        <v/>
      </c>
      <c r="V288">
        <f>HYPERLINK("https://klasma.github.io/Logging_0331/klagomål/A 32759-2023 FSC-klagomål.docx", "A 32759-2023")</f>
        <v/>
      </c>
      <c r="W288">
        <f>HYPERLINK("https://klasma.github.io/Logging_0331/klagomålsmail/A 32759-2023 FSC-klagomål mail.docx", "A 32759-2023")</f>
        <v/>
      </c>
      <c r="X288">
        <f>HYPERLINK("https://klasma.github.io/Logging_0331/tillsyn/A 32759-2023 tillsynsbegäran.docx", "A 32759-2023")</f>
        <v/>
      </c>
      <c r="Y288">
        <f>HYPERLINK("https://klasma.github.io/Logging_0331/tillsynsmail/A 32759-2023 tillsynsbegäran mail.docx", "A 32759-2023")</f>
        <v/>
      </c>
    </row>
    <row r="289" ht="15" customHeight="1">
      <c r="A289" t="inlineStr">
        <is>
          <t>A 36531-2023</t>
        </is>
      </c>
      <c r="B289" s="1" t="n">
        <v>45153</v>
      </c>
      <c r="C289" s="1" t="n">
        <v>45798</v>
      </c>
      <c r="D289" t="inlineStr">
        <is>
          <t>UPPSALA LÄN</t>
        </is>
      </c>
      <c r="E289" t="inlineStr">
        <is>
          <t>HEBY</t>
        </is>
      </c>
      <c r="G289" t="n">
        <v>4.8</v>
      </c>
      <c r="H289" t="n">
        <v>0</v>
      </c>
      <c r="I289" t="n">
        <v>0</v>
      </c>
      <c r="J289" t="n">
        <v>2</v>
      </c>
      <c r="K289" t="n">
        <v>1</v>
      </c>
      <c r="L289" t="n">
        <v>0</v>
      </c>
      <c r="M289" t="n">
        <v>0</v>
      </c>
      <c r="N289" t="n">
        <v>0</v>
      </c>
      <c r="O289" t="n">
        <v>3</v>
      </c>
      <c r="P289" t="n">
        <v>1</v>
      </c>
      <c r="Q289" t="n">
        <v>3</v>
      </c>
      <c r="R289" s="2" t="inlineStr">
        <is>
          <t>Lammticka
Motaggsvamp
Skrovlig taggsvamp</t>
        </is>
      </c>
      <c r="S289">
        <f>HYPERLINK("https://klasma.github.io/Logging_0331/artfynd/A 36531-2023 artfynd.xlsx", "A 36531-2023")</f>
        <v/>
      </c>
      <c r="T289">
        <f>HYPERLINK("https://klasma.github.io/Logging_0331/kartor/A 36531-2023 karta.png", "A 36531-2023")</f>
        <v/>
      </c>
      <c r="V289">
        <f>HYPERLINK("https://klasma.github.io/Logging_0331/klagomål/A 36531-2023 FSC-klagomål.docx", "A 36531-2023")</f>
        <v/>
      </c>
      <c r="W289">
        <f>HYPERLINK("https://klasma.github.io/Logging_0331/klagomålsmail/A 36531-2023 FSC-klagomål mail.docx", "A 36531-2023")</f>
        <v/>
      </c>
      <c r="X289">
        <f>HYPERLINK("https://klasma.github.io/Logging_0331/tillsyn/A 36531-2023 tillsynsbegäran.docx", "A 36531-2023")</f>
        <v/>
      </c>
      <c r="Y289">
        <f>HYPERLINK("https://klasma.github.io/Logging_0331/tillsynsmail/A 36531-2023 tillsynsbegäran mail.docx", "A 36531-2023")</f>
        <v/>
      </c>
    </row>
    <row r="290" ht="15" customHeight="1">
      <c r="A290" t="inlineStr">
        <is>
          <t>A 37417-2023</t>
        </is>
      </c>
      <c r="B290" s="1" t="n">
        <v>45155</v>
      </c>
      <c r="C290" s="1" t="n">
        <v>45798</v>
      </c>
      <c r="D290" t="inlineStr">
        <is>
          <t>UPPSALA LÄN</t>
        </is>
      </c>
      <c r="E290" t="inlineStr">
        <is>
          <t>HÅBO</t>
        </is>
      </c>
      <c r="G290" t="n">
        <v>12.9</v>
      </c>
      <c r="H290" t="n">
        <v>2</v>
      </c>
      <c r="I290" t="n">
        <v>0</v>
      </c>
      <c r="J290" t="n">
        <v>1</v>
      </c>
      <c r="K290" t="n">
        <v>1</v>
      </c>
      <c r="L290" t="n">
        <v>0</v>
      </c>
      <c r="M290" t="n">
        <v>0</v>
      </c>
      <c r="N290" t="n">
        <v>0</v>
      </c>
      <c r="O290" t="n">
        <v>2</v>
      </c>
      <c r="P290" t="n">
        <v>1</v>
      </c>
      <c r="Q290" t="n">
        <v>3</v>
      </c>
      <c r="R290" s="2" t="inlineStr">
        <is>
          <t>Knärot
Ullticka
Blåsippa</t>
        </is>
      </c>
      <c r="S290">
        <f>HYPERLINK("https://klasma.github.io/Logging_0305/artfynd/A 37417-2023 artfynd.xlsx", "A 37417-2023")</f>
        <v/>
      </c>
      <c r="T290">
        <f>HYPERLINK("https://klasma.github.io/Logging_0305/kartor/A 37417-2023 karta.png", "A 37417-2023")</f>
        <v/>
      </c>
      <c r="U290">
        <f>HYPERLINK("https://klasma.github.io/Logging_0305/knärot/A 37417-2023 karta knärot.png", "A 37417-2023")</f>
        <v/>
      </c>
      <c r="V290">
        <f>HYPERLINK("https://klasma.github.io/Logging_0305/klagomål/A 37417-2023 FSC-klagomål.docx", "A 37417-2023")</f>
        <v/>
      </c>
      <c r="W290">
        <f>HYPERLINK("https://klasma.github.io/Logging_0305/klagomålsmail/A 37417-2023 FSC-klagomål mail.docx", "A 37417-2023")</f>
        <v/>
      </c>
      <c r="X290">
        <f>HYPERLINK("https://klasma.github.io/Logging_0305/tillsyn/A 37417-2023 tillsynsbegäran.docx", "A 37417-2023")</f>
        <v/>
      </c>
      <c r="Y290">
        <f>HYPERLINK("https://klasma.github.io/Logging_0305/tillsynsmail/A 37417-2023 tillsynsbegäran mail.docx", "A 37417-2023")</f>
        <v/>
      </c>
    </row>
    <row r="291" ht="15" customHeight="1">
      <c r="A291" t="inlineStr">
        <is>
          <t>A 39917-2023</t>
        </is>
      </c>
      <c r="B291" s="1" t="n">
        <v>45166</v>
      </c>
      <c r="C291" s="1" t="n">
        <v>45798</v>
      </c>
      <c r="D291" t="inlineStr">
        <is>
          <t>UPPSALA LÄN</t>
        </is>
      </c>
      <c r="E291" t="inlineStr">
        <is>
          <t>HÅBO</t>
        </is>
      </c>
      <c r="G291" t="n">
        <v>3.6</v>
      </c>
      <c r="H291" t="n">
        <v>0</v>
      </c>
      <c r="I291" t="n">
        <v>2</v>
      </c>
      <c r="J291" t="n">
        <v>1</v>
      </c>
      <c r="K291" t="n">
        <v>0</v>
      </c>
      <c r="L291" t="n">
        <v>0</v>
      </c>
      <c r="M291" t="n">
        <v>0</v>
      </c>
      <c r="N291" t="n">
        <v>0</v>
      </c>
      <c r="O291" t="n">
        <v>1</v>
      </c>
      <c r="P291" t="n">
        <v>0</v>
      </c>
      <c r="Q291" t="n">
        <v>3</v>
      </c>
      <c r="R291" s="2" t="inlineStr">
        <is>
          <t>Oxtungssvamp
Kryddspindling
Strimspindling</t>
        </is>
      </c>
      <c r="S291">
        <f>HYPERLINK("https://klasma.github.io/Logging_0305/artfynd/A 39917-2023 artfynd.xlsx", "A 39917-2023")</f>
        <v/>
      </c>
      <c r="T291">
        <f>HYPERLINK("https://klasma.github.io/Logging_0305/kartor/A 39917-2023 karta.png", "A 39917-2023")</f>
        <v/>
      </c>
      <c r="V291">
        <f>HYPERLINK("https://klasma.github.io/Logging_0305/klagomål/A 39917-2023 FSC-klagomål.docx", "A 39917-2023")</f>
        <v/>
      </c>
      <c r="W291">
        <f>HYPERLINK("https://klasma.github.io/Logging_0305/klagomålsmail/A 39917-2023 FSC-klagomål mail.docx", "A 39917-2023")</f>
        <v/>
      </c>
      <c r="X291">
        <f>HYPERLINK("https://klasma.github.io/Logging_0305/tillsyn/A 39917-2023 tillsynsbegäran.docx", "A 39917-2023")</f>
        <v/>
      </c>
      <c r="Y291">
        <f>HYPERLINK("https://klasma.github.io/Logging_0305/tillsynsmail/A 39917-2023 tillsynsbegäran mail.docx", "A 39917-2023")</f>
        <v/>
      </c>
    </row>
    <row r="292" ht="15" customHeight="1">
      <c r="A292" t="inlineStr">
        <is>
          <t>A 40637-2023</t>
        </is>
      </c>
      <c r="B292" s="1" t="n">
        <v>45170</v>
      </c>
      <c r="C292" s="1" t="n">
        <v>45798</v>
      </c>
      <c r="D292" t="inlineStr">
        <is>
          <t>UPPSALA LÄN</t>
        </is>
      </c>
      <c r="E292" t="inlineStr">
        <is>
          <t>HEBY</t>
        </is>
      </c>
      <c r="F292" t="inlineStr">
        <is>
          <t>Övriga Aktiebolag</t>
        </is>
      </c>
      <c r="G292" t="n">
        <v>3.4</v>
      </c>
      <c r="H292" t="n">
        <v>0</v>
      </c>
      <c r="I292" t="n">
        <v>1</v>
      </c>
      <c r="J292" t="n">
        <v>2</v>
      </c>
      <c r="K292" t="n">
        <v>0</v>
      </c>
      <c r="L292" t="n">
        <v>0</v>
      </c>
      <c r="M292" t="n">
        <v>0</v>
      </c>
      <c r="N292" t="n">
        <v>0</v>
      </c>
      <c r="O292" t="n">
        <v>2</v>
      </c>
      <c r="P292" t="n">
        <v>0</v>
      </c>
      <c r="Q292" t="n">
        <v>3</v>
      </c>
      <c r="R292" s="2" t="inlineStr">
        <is>
          <t>Garnlav
Tallticka
Vedticka</t>
        </is>
      </c>
      <c r="S292">
        <f>HYPERLINK("https://klasma.github.io/Logging_0331/artfynd/A 40637-2023 artfynd.xlsx", "A 40637-2023")</f>
        <v/>
      </c>
      <c r="T292">
        <f>HYPERLINK("https://klasma.github.io/Logging_0331/kartor/A 40637-2023 karta.png", "A 40637-2023")</f>
        <v/>
      </c>
      <c r="V292">
        <f>HYPERLINK("https://klasma.github.io/Logging_0331/klagomål/A 40637-2023 FSC-klagomål.docx", "A 40637-2023")</f>
        <v/>
      </c>
      <c r="W292">
        <f>HYPERLINK("https://klasma.github.io/Logging_0331/klagomålsmail/A 40637-2023 FSC-klagomål mail.docx", "A 40637-2023")</f>
        <v/>
      </c>
      <c r="X292">
        <f>HYPERLINK("https://klasma.github.io/Logging_0331/tillsyn/A 40637-2023 tillsynsbegäran.docx", "A 40637-2023")</f>
        <v/>
      </c>
      <c r="Y292">
        <f>HYPERLINK("https://klasma.github.io/Logging_0331/tillsynsmail/A 40637-2023 tillsynsbegäran mail.docx", "A 40637-2023")</f>
        <v/>
      </c>
    </row>
    <row r="293" ht="15" customHeight="1">
      <c r="A293" t="inlineStr">
        <is>
          <t>A 43942-2023</t>
        </is>
      </c>
      <c r="B293" s="1" t="n">
        <v>45187</v>
      </c>
      <c r="C293" s="1" t="n">
        <v>45798</v>
      </c>
      <c r="D293" t="inlineStr">
        <is>
          <t>UPPSALA LÄN</t>
        </is>
      </c>
      <c r="E293" t="inlineStr">
        <is>
          <t>UPPSALA</t>
        </is>
      </c>
      <c r="F293" t="inlineStr">
        <is>
          <t>Allmännings- och besparingsskogar</t>
        </is>
      </c>
      <c r="G293" t="n">
        <v>31.6</v>
      </c>
      <c r="H293" t="n">
        <v>3</v>
      </c>
      <c r="I293" t="n">
        <v>1</v>
      </c>
      <c r="J293" t="n">
        <v>1</v>
      </c>
      <c r="K293" t="n">
        <v>0</v>
      </c>
      <c r="L293" t="n">
        <v>0</v>
      </c>
      <c r="M293" t="n">
        <v>1</v>
      </c>
      <c r="N293" t="n">
        <v>0</v>
      </c>
      <c r="O293" t="n">
        <v>2</v>
      </c>
      <c r="P293" t="n">
        <v>1</v>
      </c>
      <c r="Q293" t="n">
        <v>3</v>
      </c>
      <c r="R293" s="2" t="inlineStr">
        <is>
          <t>Vedtrådmossa
Slaguggla
Grön sköldmossa</t>
        </is>
      </c>
      <c r="S293">
        <f>HYPERLINK("https://klasma.github.io/Logging_0380/artfynd/A 43942-2023 artfynd.xlsx", "A 43942-2023")</f>
        <v/>
      </c>
      <c r="T293">
        <f>HYPERLINK("https://klasma.github.io/Logging_0380/kartor/A 43942-2023 karta.png", "A 43942-2023")</f>
        <v/>
      </c>
      <c r="V293">
        <f>HYPERLINK("https://klasma.github.io/Logging_0380/klagomål/A 43942-2023 FSC-klagomål.docx", "A 43942-2023")</f>
        <v/>
      </c>
      <c r="W293">
        <f>HYPERLINK("https://klasma.github.io/Logging_0380/klagomålsmail/A 43942-2023 FSC-klagomål mail.docx", "A 43942-2023")</f>
        <v/>
      </c>
      <c r="X293">
        <f>HYPERLINK("https://klasma.github.io/Logging_0380/tillsyn/A 43942-2023 tillsynsbegäran.docx", "A 43942-2023")</f>
        <v/>
      </c>
      <c r="Y293">
        <f>HYPERLINK("https://klasma.github.io/Logging_0380/tillsynsmail/A 43942-2023 tillsynsbegäran mail.docx", "A 43942-2023")</f>
        <v/>
      </c>
      <c r="Z293">
        <f>HYPERLINK("https://klasma.github.io/Logging_0380/fåglar/A 43942-2023 prioriterade fågelarter.docx", "A 43942-2023")</f>
        <v/>
      </c>
    </row>
    <row r="294" ht="15" customHeight="1">
      <c r="A294" t="inlineStr">
        <is>
          <t>A 46204-2023</t>
        </is>
      </c>
      <c r="B294" s="1" t="n">
        <v>45190</v>
      </c>
      <c r="C294" s="1" t="n">
        <v>45798</v>
      </c>
      <c r="D294" t="inlineStr">
        <is>
          <t>UPPSALA LÄN</t>
        </is>
      </c>
      <c r="E294" t="inlineStr">
        <is>
          <t>ÖSTHAMMAR</t>
        </is>
      </c>
      <c r="F294" t="inlineStr">
        <is>
          <t>Övriga statliga verk och myndigheter</t>
        </is>
      </c>
      <c r="G294" t="n">
        <v>3.5</v>
      </c>
      <c r="H294" t="n">
        <v>3</v>
      </c>
      <c r="I294" t="n">
        <v>0</v>
      </c>
      <c r="J294" t="n">
        <v>3</v>
      </c>
      <c r="K294" t="n">
        <v>0</v>
      </c>
      <c r="L294" t="n">
        <v>0</v>
      </c>
      <c r="M294" t="n">
        <v>0</v>
      </c>
      <c r="N294" t="n">
        <v>0</v>
      </c>
      <c r="O294" t="n">
        <v>3</v>
      </c>
      <c r="P294" t="n">
        <v>0</v>
      </c>
      <c r="Q294" t="n">
        <v>3</v>
      </c>
      <c r="R294" s="2" t="inlineStr">
        <is>
          <t>Grönsångare
Gulsparv
Ärtsångare</t>
        </is>
      </c>
      <c r="S294">
        <f>HYPERLINK("https://klasma.github.io/Logging_0382/artfynd/A 46204-2023 artfynd.xlsx", "A 46204-2023")</f>
        <v/>
      </c>
      <c r="T294">
        <f>HYPERLINK("https://klasma.github.io/Logging_0382/kartor/A 46204-2023 karta.png", "A 46204-2023")</f>
        <v/>
      </c>
      <c r="V294">
        <f>HYPERLINK("https://klasma.github.io/Logging_0382/klagomål/A 46204-2023 FSC-klagomål.docx", "A 46204-2023")</f>
        <v/>
      </c>
      <c r="W294">
        <f>HYPERLINK("https://klasma.github.io/Logging_0382/klagomålsmail/A 46204-2023 FSC-klagomål mail.docx", "A 46204-2023")</f>
        <v/>
      </c>
      <c r="X294">
        <f>HYPERLINK("https://klasma.github.io/Logging_0382/tillsyn/A 46204-2023 tillsynsbegäran.docx", "A 46204-2023")</f>
        <v/>
      </c>
      <c r="Y294">
        <f>HYPERLINK("https://klasma.github.io/Logging_0382/tillsynsmail/A 46204-2023 tillsynsbegäran mail.docx", "A 46204-2023")</f>
        <v/>
      </c>
      <c r="Z294">
        <f>HYPERLINK("https://klasma.github.io/Logging_0382/fåglar/A 46204-2023 prioriterade fågelarter.docx", "A 46204-2023")</f>
        <v/>
      </c>
    </row>
    <row r="295" ht="15" customHeight="1">
      <c r="A295" t="inlineStr">
        <is>
          <t>A 45895-2023</t>
        </is>
      </c>
      <c r="B295" s="1" t="n">
        <v>45195</v>
      </c>
      <c r="C295" s="1" t="n">
        <v>45798</v>
      </c>
      <c r="D295" t="inlineStr">
        <is>
          <t>UPPSALA LÄN</t>
        </is>
      </c>
      <c r="E295" t="inlineStr">
        <is>
          <t>ÄLVKARLEBY</t>
        </is>
      </c>
      <c r="G295" t="n">
        <v>6.7</v>
      </c>
      <c r="H295" t="n">
        <v>0</v>
      </c>
      <c r="I295" t="n">
        <v>2</v>
      </c>
      <c r="J295" t="n">
        <v>1</v>
      </c>
      <c r="K295" t="n">
        <v>0</v>
      </c>
      <c r="L295" t="n">
        <v>0</v>
      </c>
      <c r="M295" t="n">
        <v>0</v>
      </c>
      <c r="N295" t="n">
        <v>0</v>
      </c>
      <c r="O295" t="n">
        <v>1</v>
      </c>
      <c r="P295" t="n">
        <v>0</v>
      </c>
      <c r="Q295" t="n">
        <v>3</v>
      </c>
      <c r="R295" s="2" t="inlineStr">
        <is>
          <t>Flattoppad klubbsvamp
Sårläka
Trådfräken</t>
        </is>
      </c>
      <c r="S295">
        <f>HYPERLINK("https://klasma.github.io/Logging_0319/artfynd/A 45895-2023 artfynd.xlsx", "A 45895-2023")</f>
        <v/>
      </c>
      <c r="T295">
        <f>HYPERLINK("https://klasma.github.io/Logging_0319/kartor/A 45895-2023 karta.png", "A 45895-2023")</f>
        <v/>
      </c>
      <c r="V295">
        <f>HYPERLINK("https://klasma.github.io/Logging_0319/klagomål/A 45895-2023 FSC-klagomål.docx", "A 45895-2023")</f>
        <v/>
      </c>
      <c r="W295">
        <f>HYPERLINK("https://klasma.github.io/Logging_0319/klagomålsmail/A 45895-2023 FSC-klagomål mail.docx", "A 45895-2023")</f>
        <v/>
      </c>
      <c r="X295">
        <f>HYPERLINK("https://klasma.github.io/Logging_0319/tillsyn/A 45895-2023 tillsynsbegäran.docx", "A 45895-2023")</f>
        <v/>
      </c>
      <c r="Y295">
        <f>HYPERLINK("https://klasma.github.io/Logging_0319/tillsynsmail/A 45895-2023 tillsynsbegäran mail.docx", "A 45895-2023")</f>
        <v/>
      </c>
    </row>
    <row r="296" ht="15" customHeight="1">
      <c r="A296" t="inlineStr">
        <is>
          <t>A 49990-2023</t>
        </is>
      </c>
      <c r="B296" s="1" t="n">
        <v>45215</v>
      </c>
      <c r="C296" s="1" t="n">
        <v>45798</v>
      </c>
      <c r="D296" t="inlineStr">
        <is>
          <t>UPPSALA LÄN</t>
        </is>
      </c>
      <c r="E296" t="inlineStr">
        <is>
          <t>UPPSALA</t>
        </is>
      </c>
      <c r="G296" t="n">
        <v>2</v>
      </c>
      <c r="H296" t="n">
        <v>3</v>
      </c>
      <c r="I296" t="n">
        <v>0</v>
      </c>
      <c r="J296" t="n">
        <v>1</v>
      </c>
      <c r="K296" t="n">
        <v>0</v>
      </c>
      <c r="L296" t="n">
        <v>0</v>
      </c>
      <c r="M296" t="n">
        <v>0</v>
      </c>
      <c r="N296" t="n">
        <v>0</v>
      </c>
      <c r="O296" t="n">
        <v>1</v>
      </c>
      <c r="P296" t="n">
        <v>0</v>
      </c>
      <c r="Q296" t="n">
        <v>3</v>
      </c>
      <c r="R296" s="2" t="inlineStr">
        <is>
          <t>Nordfladdermus
Järnsparv
Större brunfladdermus</t>
        </is>
      </c>
      <c r="S296">
        <f>HYPERLINK("https://klasma.github.io/Logging_0380/artfynd/A 49990-2023 artfynd.xlsx", "A 49990-2023")</f>
        <v/>
      </c>
      <c r="T296">
        <f>HYPERLINK("https://klasma.github.io/Logging_0380/kartor/A 49990-2023 karta.png", "A 49990-2023")</f>
        <v/>
      </c>
      <c r="V296">
        <f>HYPERLINK("https://klasma.github.io/Logging_0380/klagomål/A 49990-2023 FSC-klagomål.docx", "A 49990-2023")</f>
        <v/>
      </c>
      <c r="W296">
        <f>HYPERLINK("https://klasma.github.io/Logging_0380/klagomålsmail/A 49990-2023 FSC-klagomål mail.docx", "A 49990-2023")</f>
        <v/>
      </c>
      <c r="X296">
        <f>HYPERLINK("https://klasma.github.io/Logging_0380/tillsyn/A 49990-2023 tillsynsbegäran.docx", "A 49990-2023")</f>
        <v/>
      </c>
      <c r="Y296">
        <f>HYPERLINK("https://klasma.github.io/Logging_0380/tillsynsmail/A 49990-2023 tillsynsbegäran mail.docx", "A 49990-2023")</f>
        <v/>
      </c>
      <c r="Z296">
        <f>HYPERLINK("https://klasma.github.io/Logging_0380/fåglar/A 49990-2023 prioriterade fågelarter.docx", "A 49990-2023")</f>
        <v/>
      </c>
    </row>
    <row r="297" ht="15" customHeight="1">
      <c r="A297" t="inlineStr">
        <is>
          <t>A 51733-2023</t>
        </is>
      </c>
      <c r="B297" s="1" t="n">
        <v>45222</v>
      </c>
      <c r="C297" s="1" t="n">
        <v>45798</v>
      </c>
      <c r="D297" t="inlineStr">
        <is>
          <t>UPPSALA LÄN</t>
        </is>
      </c>
      <c r="E297" t="inlineStr">
        <is>
          <t>HEBY</t>
        </is>
      </c>
      <c r="F297" t="inlineStr">
        <is>
          <t>Allmännings- och besparingsskogar</t>
        </is>
      </c>
      <c r="G297" t="n">
        <v>17.7</v>
      </c>
      <c r="H297" t="n">
        <v>3</v>
      </c>
      <c r="I297" t="n">
        <v>0</v>
      </c>
      <c r="J297" t="n">
        <v>0</v>
      </c>
      <c r="K297" t="n">
        <v>1</v>
      </c>
      <c r="L297" t="n">
        <v>0</v>
      </c>
      <c r="M297" t="n">
        <v>0</v>
      </c>
      <c r="N297" t="n">
        <v>0</v>
      </c>
      <c r="O297" t="n">
        <v>1</v>
      </c>
      <c r="P297" t="n">
        <v>1</v>
      </c>
      <c r="Q297" t="n">
        <v>3</v>
      </c>
      <c r="R297" s="2" t="inlineStr">
        <is>
          <t>Knärot
Blåsippa
Revlummer</t>
        </is>
      </c>
      <c r="S297">
        <f>HYPERLINK("https://klasma.github.io/Logging_0331/artfynd/A 51733-2023 artfynd.xlsx", "A 51733-2023")</f>
        <v/>
      </c>
      <c r="T297">
        <f>HYPERLINK("https://klasma.github.io/Logging_0331/kartor/A 51733-2023 karta.png", "A 51733-2023")</f>
        <v/>
      </c>
      <c r="U297">
        <f>HYPERLINK("https://klasma.github.io/Logging_0331/knärot/A 51733-2023 karta knärot.png", "A 51733-2023")</f>
        <v/>
      </c>
      <c r="V297">
        <f>HYPERLINK("https://klasma.github.io/Logging_0331/klagomål/A 51733-2023 FSC-klagomål.docx", "A 51733-2023")</f>
        <v/>
      </c>
      <c r="W297">
        <f>HYPERLINK("https://klasma.github.io/Logging_0331/klagomålsmail/A 51733-2023 FSC-klagomål mail.docx", "A 51733-2023")</f>
        <v/>
      </c>
      <c r="X297">
        <f>HYPERLINK("https://klasma.github.io/Logging_0331/tillsyn/A 51733-2023 tillsynsbegäran.docx", "A 51733-2023")</f>
        <v/>
      </c>
      <c r="Y297">
        <f>HYPERLINK("https://klasma.github.io/Logging_0331/tillsynsmail/A 51733-2023 tillsynsbegäran mail.docx", "A 51733-2023")</f>
        <v/>
      </c>
    </row>
    <row r="298" ht="15" customHeight="1">
      <c r="A298" t="inlineStr">
        <is>
          <t>A 53731-2023</t>
        </is>
      </c>
      <c r="B298" s="1" t="n">
        <v>45230</v>
      </c>
      <c r="C298" s="1" t="n">
        <v>45798</v>
      </c>
      <c r="D298" t="inlineStr">
        <is>
          <t>UPPSALA LÄN</t>
        </is>
      </c>
      <c r="E298" t="inlineStr">
        <is>
          <t>ÖSTHAMMAR</t>
        </is>
      </c>
      <c r="G298" t="n">
        <v>3.2</v>
      </c>
      <c r="H298" t="n">
        <v>0</v>
      </c>
      <c r="I298" t="n">
        <v>1</v>
      </c>
      <c r="J298" t="n">
        <v>1</v>
      </c>
      <c r="K298" t="n">
        <v>1</v>
      </c>
      <c r="L298" t="n">
        <v>0</v>
      </c>
      <c r="M298" t="n">
        <v>0</v>
      </c>
      <c r="N298" t="n">
        <v>0</v>
      </c>
      <c r="O298" t="n">
        <v>2</v>
      </c>
      <c r="P298" t="n">
        <v>1</v>
      </c>
      <c r="Q298" t="n">
        <v>3</v>
      </c>
      <c r="R298" s="2" t="inlineStr">
        <is>
          <t>Taggfingersvamp
Äggspindling
Sårläka</t>
        </is>
      </c>
      <c r="S298">
        <f>HYPERLINK("https://klasma.github.io/Logging_0382/artfynd/A 53731-2023 artfynd.xlsx", "A 53731-2023")</f>
        <v/>
      </c>
      <c r="T298">
        <f>HYPERLINK("https://klasma.github.io/Logging_0382/kartor/A 53731-2023 karta.png", "A 53731-2023")</f>
        <v/>
      </c>
      <c r="V298">
        <f>HYPERLINK("https://klasma.github.io/Logging_0382/klagomål/A 53731-2023 FSC-klagomål.docx", "A 53731-2023")</f>
        <v/>
      </c>
      <c r="W298">
        <f>HYPERLINK("https://klasma.github.io/Logging_0382/klagomålsmail/A 53731-2023 FSC-klagomål mail.docx", "A 53731-2023")</f>
        <v/>
      </c>
      <c r="X298">
        <f>HYPERLINK("https://klasma.github.io/Logging_0382/tillsyn/A 53731-2023 tillsynsbegäran.docx", "A 53731-2023")</f>
        <v/>
      </c>
      <c r="Y298">
        <f>HYPERLINK("https://klasma.github.io/Logging_0382/tillsynsmail/A 53731-2023 tillsynsbegäran mail.docx", "A 53731-2023")</f>
        <v/>
      </c>
    </row>
    <row r="299" ht="15" customHeight="1">
      <c r="A299" t="inlineStr">
        <is>
          <t>A 55535-2023</t>
        </is>
      </c>
      <c r="B299" s="1" t="n">
        <v>45238</v>
      </c>
      <c r="C299" s="1" t="n">
        <v>45798</v>
      </c>
      <c r="D299" t="inlineStr">
        <is>
          <t>UPPSALA LÄN</t>
        </is>
      </c>
      <c r="E299" t="inlineStr">
        <is>
          <t>KNIVSTA</t>
        </is>
      </c>
      <c r="G299" t="n">
        <v>5.7</v>
      </c>
      <c r="H299" t="n">
        <v>1</v>
      </c>
      <c r="I299" t="n">
        <v>1</v>
      </c>
      <c r="J299" t="n">
        <v>1</v>
      </c>
      <c r="K299" t="n">
        <v>0</v>
      </c>
      <c r="L299" t="n">
        <v>0</v>
      </c>
      <c r="M299" t="n">
        <v>0</v>
      </c>
      <c r="N299" t="n">
        <v>0</v>
      </c>
      <c r="O299" t="n">
        <v>1</v>
      </c>
      <c r="P299" t="n">
        <v>0</v>
      </c>
      <c r="Q299" t="n">
        <v>3</v>
      </c>
      <c r="R299" s="2" t="inlineStr">
        <is>
          <t>Fyrflikig jordstjärna
Svavelriska
Blåsippa</t>
        </is>
      </c>
      <c r="S299">
        <f>HYPERLINK("https://klasma.github.io/Logging_0330/artfynd/A 55535-2023 artfynd.xlsx", "A 55535-2023")</f>
        <v/>
      </c>
      <c r="T299">
        <f>HYPERLINK("https://klasma.github.io/Logging_0330/kartor/A 55535-2023 karta.png", "A 55535-2023")</f>
        <v/>
      </c>
      <c r="V299">
        <f>HYPERLINK("https://klasma.github.io/Logging_0330/klagomål/A 55535-2023 FSC-klagomål.docx", "A 55535-2023")</f>
        <v/>
      </c>
      <c r="W299">
        <f>HYPERLINK("https://klasma.github.io/Logging_0330/klagomålsmail/A 55535-2023 FSC-klagomål mail.docx", "A 55535-2023")</f>
        <v/>
      </c>
      <c r="X299">
        <f>HYPERLINK("https://klasma.github.io/Logging_0330/tillsyn/A 55535-2023 tillsynsbegäran.docx", "A 55535-2023")</f>
        <v/>
      </c>
      <c r="Y299">
        <f>HYPERLINK("https://klasma.github.io/Logging_0330/tillsynsmail/A 55535-2023 tillsynsbegäran mail.docx", "A 55535-2023")</f>
        <v/>
      </c>
    </row>
    <row r="300" ht="15" customHeight="1">
      <c r="A300" t="inlineStr">
        <is>
          <t>A 57633-2023</t>
        </is>
      </c>
      <c r="B300" s="1" t="n">
        <v>45246</v>
      </c>
      <c r="C300" s="1" t="n">
        <v>45798</v>
      </c>
      <c r="D300" t="inlineStr">
        <is>
          <t>UPPSALA LÄN</t>
        </is>
      </c>
      <c r="E300" t="inlineStr">
        <is>
          <t>ÖSTHAMMAR</t>
        </is>
      </c>
      <c r="F300" t="inlineStr">
        <is>
          <t>Bergvik skog öst AB</t>
        </is>
      </c>
      <c r="G300" t="n">
        <v>1</v>
      </c>
      <c r="H300" t="n">
        <v>1</v>
      </c>
      <c r="I300" t="n">
        <v>3</v>
      </c>
      <c r="J300" t="n">
        <v>0</v>
      </c>
      <c r="K300" t="n">
        <v>0</v>
      </c>
      <c r="L300" t="n">
        <v>0</v>
      </c>
      <c r="M300" t="n">
        <v>0</v>
      </c>
      <c r="N300" t="n">
        <v>0</v>
      </c>
      <c r="O300" t="n">
        <v>0</v>
      </c>
      <c r="P300" t="n">
        <v>0</v>
      </c>
      <c r="Q300" t="n">
        <v>3</v>
      </c>
      <c r="R300" s="2" t="inlineStr">
        <is>
          <t>Skogsknipprot
Svart trolldruva
Svavelriska</t>
        </is>
      </c>
      <c r="S300">
        <f>HYPERLINK("https://klasma.github.io/Logging_0382/artfynd/A 57633-2023 artfynd.xlsx", "A 57633-2023")</f>
        <v/>
      </c>
      <c r="T300">
        <f>HYPERLINK("https://klasma.github.io/Logging_0382/kartor/A 57633-2023 karta.png", "A 57633-2023")</f>
        <v/>
      </c>
      <c r="V300">
        <f>HYPERLINK("https://klasma.github.io/Logging_0382/klagomål/A 57633-2023 FSC-klagomål.docx", "A 57633-2023")</f>
        <v/>
      </c>
      <c r="W300">
        <f>HYPERLINK("https://klasma.github.io/Logging_0382/klagomålsmail/A 57633-2023 FSC-klagomål mail.docx", "A 57633-2023")</f>
        <v/>
      </c>
      <c r="X300">
        <f>HYPERLINK("https://klasma.github.io/Logging_0382/tillsyn/A 57633-2023 tillsynsbegäran.docx", "A 57633-2023")</f>
        <v/>
      </c>
      <c r="Y300">
        <f>HYPERLINK("https://klasma.github.io/Logging_0382/tillsynsmail/A 57633-2023 tillsynsbegäran mail.docx", "A 57633-2023")</f>
        <v/>
      </c>
    </row>
    <row r="301" ht="15" customHeight="1">
      <c r="A301" t="inlineStr">
        <is>
          <t>A 57636-2023</t>
        </is>
      </c>
      <c r="B301" s="1" t="n">
        <v>45246</v>
      </c>
      <c r="C301" s="1" t="n">
        <v>45798</v>
      </c>
      <c r="D301" t="inlineStr">
        <is>
          <t>UPPSALA LÄN</t>
        </is>
      </c>
      <c r="E301" t="inlineStr">
        <is>
          <t>ÖSTHAMMAR</t>
        </is>
      </c>
      <c r="F301" t="inlineStr">
        <is>
          <t>Bergvik skog öst AB</t>
        </is>
      </c>
      <c r="G301" t="n">
        <v>9.800000000000001</v>
      </c>
      <c r="H301" t="n">
        <v>1</v>
      </c>
      <c r="I301" t="n">
        <v>3</v>
      </c>
      <c r="J301" t="n">
        <v>0</v>
      </c>
      <c r="K301" t="n">
        <v>0</v>
      </c>
      <c r="L301" t="n">
        <v>0</v>
      </c>
      <c r="M301" t="n">
        <v>0</v>
      </c>
      <c r="N301" t="n">
        <v>0</v>
      </c>
      <c r="O301" t="n">
        <v>0</v>
      </c>
      <c r="P301" t="n">
        <v>0</v>
      </c>
      <c r="Q301" t="n">
        <v>3</v>
      </c>
      <c r="R301" s="2" t="inlineStr">
        <is>
          <t>Skogsknipprot
Svavelriska
Tibast</t>
        </is>
      </c>
      <c r="S301">
        <f>HYPERLINK("https://klasma.github.io/Logging_0382/artfynd/A 57636-2023 artfynd.xlsx", "A 57636-2023")</f>
        <v/>
      </c>
      <c r="T301">
        <f>HYPERLINK("https://klasma.github.io/Logging_0382/kartor/A 57636-2023 karta.png", "A 57636-2023")</f>
        <v/>
      </c>
      <c r="V301">
        <f>HYPERLINK("https://klasma.github.io/Logging_0382/klagomål/A 57636-2023 FSC-klagomål.docx", "A 57636-2023")</f>
        <v/>
      </c>
      <c r="W301">
        <f>HYPERLINK("https://klasma.github.io/Logging_0382/klagomålsmail/A 57636-2023 FSC-klagomål mail.docx", "A 57636-2023")</f>
        <v/>
      </c>
      <c r="X301">
        <f>HYPERLINK("https://klasma.github.io/Logging_0382/tillsyn/A 57636-2023 tillsynsbegäran.docx", "A 57636-2023")</f>
        <v/>
      </c>
      <c r="Y301">
        <f>HYPERLINK("https://klasma.github.io/Logging_0382/tillsynsmail/A 57636-2023 tillsynsbegäran mail.docx", "A 57636-2023")</f>
        <v/>
      </c>
    </row>
    <row r="302" ht="15" customHeight="1">
      <c r="A302" t="inlineStr">
        <is>
          <t>A 9715-2024</t>
        </is>
      </c>
      <c r="B302" s="1" t="n">
        <v>45362</v>
      </c>
      <c r="C302" s="1" t="n">
        <v>45798</v>
      </c>
      <c r="D302" t="inlineStr">
        <is>
          <t>UPPSALA LÄN</t>
        </is>
      </c>
      <c r="E302" t="inlineStr">
        <is>
          <t>ÖSTHAMMAR</t>
        </is>
      </c>
      <c r="G302" t="n">
        <v>4.7</v>
      </c>
      <c r="H302" t="n">
        <v>2</v>
      </c>
      <c r="I302" t="n">
        <v>2</v>
      </c>
      <c r="J302" t="n">
        <v>0</v>
      </c>
      <c r="K302" t="n">
        <v>1</v>
      </c>
      <c r="L302" t="n">
        <v>0</v>
      </c>
      <c r="M302" t="n">
        <v>0</v>
      </c>
      <c r="N302" t="n">
        <v>0</v>
      </c>
      <c r="O302" t="n">
        <v>1</v>
      </c>
      <c r="P302" t="n">
        <v>1</v>
      </c>
      <c r="Q302" t="n">
        <v>3</v>
      </c>
      <c r="R302" s="2" t="inlineStr">
        <is>
          <t>Knärot
Skogsknipprot
Vedticka</t>
        </is>
      </c>
      <c r="S302">
        <f>HYPERLINK("https://klasma.github.io/Logging_0382/artfynd/A 9715-2024 artfynd.xlsx", "A 9715-2024")</f>
        <v/>
      </c>
      <c r="T302">
        <f>HYPERLINK("https://klasma.github.io/Logging_0382/kartor/A 9715-2024 karta.png", "A 9715-2024")</f>
        <v/>
      </c>
      <c r="U302">
        <f>HYPERLINK("https://klasma.github.io/Logging_0382/knärot/A 9715-2024 karta knärot.png", "A 9715-2024")</f>
        <v/>
      </c>
      <c r="V302">
        <f>HYPERLINK("https://klasma.github.io/Logging_0382/klagomål/A 9715-2024 FSC-klagomål.docx", "A 9715-2024")</f>
        <v/>
      </c>
      <c r="W302">
        <f>HYPERLINK("https://klasma.github.io/Logging_0382/klagomålsmail/A 9715-2024 FSC-klagomål mail.docx", "A 9715-2024")</f>
        <v/>
      </c>
      <c r="X302">
        <f>HYPERLINK("https://klasma.github.io/Logging_0382/tillsyn/A 9715-2024 tillsynsbegäran.docx", "A 9715-2024")</f>
        <v/>
      </c>
      <c r="Y302">
        <f>HYPERLINK("https://klasma.github.io/Logging_0382/tillsynsmail/A 9715-2024 tillsynsbegäran mail.docx", "A 9715-2024")</f>
        <v/>
      </c>
    </row>
    <row r="303" ht="15" customHeight="1">
      <c r="A303" t="inlineStr">
        <is>
          <t>A 17004-2024</t>
        </is>
      </c>
      <c r="B303" s="1" t="n">
        <v>45412</v>
      </c>
      <c r="C303" s="1" t="n">
        <v>45798</v>
      </c>
      <c r="D303" t="inlineStr">
        <is>
          <t>UPPSALA LÄN</t>
        </is>
      </c>
      <c r="E303" t="inlineStr">
        <is>
          <t>ÖSTHAMMAR</t>
        </is>
      </c>
      <c r="F303" t="inlineStr">
        <is>
          <t>Bergvik skog öst AB</t>
        </is>
      </c>
      <c r="G303" t="n">
        <v>24.4</v>
      </c>
      <c r="H303" t="n">
        <v>0</v>
      </c>
      <c r="I303" t="n">
        <v>2</v>
      </c>
      <c r="J303" t="n">
        <v>0</v>
      </c>
      <c r="K303" t="n">
        <v>0</v>
      </c>
      <c r="L303" t="n">
        <v>0</v>
      </c>
      <c r="M303" t="n">
        <v>1</v>
      </c>
      <c r="N303" t="n">
        <v>0</v>
      </c>
      <c r="O303" t="n">
        <v>1</v>
      </c>
      <c r="P303" t="n">
        <v>1</v>
      </c>
      <c r="Q303" t="n">
        <v>3</v>
      </c>
      <c r="R303" s="2" t="inlineStr">
        <is>
          <t>Skogsalm
Myskmadra
Underviol</t>
        </is>
      </c>
      <c r="S303">
        <f>HYPERLINK("https://klasma.github.io/Logging_0382/artfynd/A 17004-2024 artfynd.xlsx", "A 17004-2024")</f>
        <v/>
      </c>
      <c r="T303">
        <f>HYPERLINK("https://klasma.github.io/Logging_0382/kartor/A 17004-2024 karta.png", "A 17004-2024")</f>
        <v/>
      </c>
      <c r="V303">
        <f>HYPERLINK("https://klasma.github.io/Logging_0382/klagomål/A 17004-2024 FSC-klagomål.docx", "A 17004-2024")</f>
        <v/>
      </c>
      <c r="W303">
        <f>HYPERLINK("https://klasma.github.io/Logging_0382/klagomålsmail/A 17004-2024 FSC-klagomål mail.docx", "A 17004-2024")</f>
        <v/>
      </c>
      <c r="X303">
        <f>HYPERLINK("https://klasma.github.io/Logging_0382/tillsyn/A 17004-2024 tillsynsbegäran.docx", "A 17004-2024")</f>
        <v/>
      </c>
      <c r="Y303">
        <f>HYPERLINK("https://klasma.github.io/Logging_0382/tillsynsmail/A 17004-2024 tillsynsbegäran mail.docx", "A 17004-2024")</f>
        <v/>
      </c>
    </row>
    <row r="304" ht="15" customHeight="1">
      <c r="A304" t="inlineStr">
        <is>
          <t>A 22185-2024</t>
        </is>
      </c>
      <c r="B304" s="1" t="n">
        <v>45446</v>
      </c>
      <c r="C304" s="1" t="n">
        <v>45798</v>
      </c>
      <c r="D304" t="inlineStr">
        <is>
          <t>UPPSALA LÄN</t>
        </is>
      </c>
      <c r="E304" t="inlineStr">
        <is>
          <t>HEBY</t>
        </is>
      </c>
      <c r="F304" t="inlineStr">
        <is>
          <t>Bergvik skog väst AB</t>
        </is>
      </c>
      <c r="G304" t="n">
        <v>17.3</v>
      </c>
      <c r="H304" t="n">
        <v>0</v>
      </c>
      <c r="I304" t="n">
        <v>2</v>
      </c>
      <c r="J304" t="n">
        <v>0</v>
      </c>
      <c r="K304" t="n">
        <v>1</v>
      </c>
      <c r="L304" t="n">
        <v>0</v>
      </c>
      <c r="M304" t="n">
        <v>0</v>
      </c>
      <c r="N304" t="n">
        <v>0</v>
      </c>
      <c r="O304" t="n">
        <v>1</v>
      </c>
      <c r="P304" t="n">
        <v>1</v>
      </c>
      <c r="Q304" t="n">
        <v>3</v>
      </c>
      <c r="R304" s="2" t="inlineStr">
        <is>
          <t>Aspsplintbock
Aspvedgnagare
Myskbock</t>
        </is>
      </c>
      <c r="S304">
        <f>HYPERLINK("https://klasma.github.io/Logging_0331/artfynd/A 22185-2024 artfynd.xlsx", "A 22185-2024")</f>
        <v/>
      </c>
      <c r="T304">
        <f>HYPERLINK("https://klasma.github.io/Logging_0331/kartor/A 22185-2024 karta.png", "A 22185-2024")</f>
        <v/>
      </c>
      <c r="V304">
        <f>HYPERLINK("https://klasma.github.io/Logging_0331/klagomål/A 22185-2024 FSC-klagomål.docx", "A 22185-2024")</f>
        <v/>
      </c>
      <c r="W304">
        <f>HYPERLINK("https://klasma.github.io/Logging_0331/klagomålsmail/A 22185-2024 FSC-klagomål mail.docx", "A 22185-2024")</f>
        <v/>
      </c>
      <c r="X304">
        <f>HYPERLINK("https://klasma.github.io/Logging_0331/tillsyn/A 22185-2024 tillsynsbegäran.docx", "A 22185-2024")</f>
        <v/>
      </c>
      <c r="Y304">
        <f>HYPERLINK("https://klasma.github.io/Logging_0331/tillsynsmail/A 22185-2024 tillsynsbegäran mail.docx", "A 22185-2024")</f>
        <v/>
      </c>
    </row>
    <row r="305" ht="15" customHeight="1">
      <c r="A305" t="inlineStr">
        <is>
          <t>A 29322-2024</t>
        </is>
      </c>
      <c r="B305" s="1" t="n">
        <v>45483</v>
      </c>
      <c r="C305" s="1" t="n">
        <v>45798</v>
      </c>
      <c r="D305" t="inlineStr">
        <is>
          <t>UPPSALA LÄN</t>
        </is>
      </c>
      <c r="E305" t="inlineStr">
        <is>
          <t>ÖSTHAMMAR</t>
        </is>
      </c>
      <c r="G305" t="n">
        <v>11.9</v>
      </c>
      <c r="H305" t="n">
        <v>0</v>
      </c>
      <c r="I305" t="n">
        <v>2</v>
      </c>
      <c r="J305" t="n">
        <v>1</v>
      </c>
      <c r="K305" t="n">
        <v>0</v>
      </c>
      <c r="L305" t="n">
        <v>0</v>
      </c>
      <c r="M305" t="n">
        <v>0</v>
      </c>
      <c r="N305" t="n">
        <v>0</v>
      </c>
      <c r="O305" t="n">
        <v>1</v>
      </c>
      <c r="P305" t="n">
        <v>0</v>
      </c>
      <c r="Q305" t="n">
        <v>3</v>
      </c>
      <c r="R305" s="2" t="inlineStr">
        <is>
          <t>Äggspindling
Anisspindling
Guldkremla</t>
        </is>
      </c>
      <c r="S305">
        <f>HYPERLINK("https://klasma.github.io/Logging_0382/artfynd/A 29322-2024 artfynd.xlsx", "A 29322-2024")</f>
        <v/>
      </c>
      <c r="T305">
        <f>HYPERLINK("https://klasma.github.io/Logging_0382/kartor/A 29322-2024 karta.png", "A 29322-2024")</f>
        <v/>
      </c>
      <c r="V305">
        <f>HYPERLINK("https://klasma.github.io/Logging_0382/klagomål/A 29322-2024 FSC-klagomål.docx", "A 29322-2024")</f>
        <v/>
      </c>
      <c r="W305">
        <f>HYPERLINK("https://klasma.github.io/Logging_0382/klagomålsmail/A 29322-2024 FSC-klagomål mail.docx", "A 29322-2024")</f>
        <v/>
      </c>
      <c r="X305">
        <f>HYPERLINK("https://klasma.github.io/Logging_0382/tillsyn/A 29322-2024 tillsynsbegäran.docx", "A 29322-2024")</f>
        <v/>
      </c>
      <c r="Y305">
        <f>HYPERLINK("https://klasma.github.io/Logging_0382/tillsynsmail/A 29322-2024 tillsynsbegäran mail.docx", "A 29322-2024")</f>
        <v/>
      </c>
    </row>
    <row r="306" ht="15" customHeight="1">
      <c r="A306" t="inlineStr">
        <is>
          <t>A 31174-2024</t>
        </is>
      </c>
      <c r="B306" s="1" t="n">
        <v>45503</v>
      </c>
      <c r="C306" s="1" t="n">
        <v>45798</v>
      </c>
      <c r="D306" t="inlineStr">
        <is>
          <t>UPPSALA LÄN</t>
        </is>
      </c>
      <c r="E306" t="inlineStr">
        <is>
          <t>HEBY</t>
        </is>
      </c>
      <c r="G306" t="n">
        <v>4.5</v>
      </c>
      <c r="H306" t="n">
        <v>1</v>
      </c>
      <c r="I306" t="n">
        <v>0</v>
      </c>
      <c r="J306" t="n">
        <v>1</v>
      </c>
      <c r="K306" t="n">
        <v>1</v>
      </c>
      <c r="L306" t="n">
        <v>0</v>
      </c>
      <c r="M306" t="n">
        <v>0</v>
      </c>
      <c r="N306" t="n">
        <v>0</v>
      </c>
      <c r="O306" t="n">
        <v>2</v>
      </c>
      <c r="P306" t="n">
        <v>1</v>
      </c>
      <c r="Q306" t="n">
        <v>3</v>
      </c>
      <c r="R306" s="2" t="inlineStr">
        <is>
          <t>Lammticka
Motaggsvamp
Vanlig snok</t>
        </is>
      </c>
      <c r="S306">
        <f>HYPERLINK("https://klasma.github.io/Logging_0331/artfynd/A 31174-2024 artfynd.xlsx", "A 31174-2024")</f>
        <v/>
      </c>
      <c r="T306">
        <f>HYPERLINK("https://klasma.github.io/Logging_0331/kartor/A 31174-2024 karta.png", "A 31174-2024")</f>
        <v/>
      </c>
      <c r="V306">
        <f>HYPERLINK("https://klasma.github.io/Logging_0331/klagomål/A 31174-2024 FSC-klagomål.docx", "A 31174-2024")</f>
        <v/>
      </c>
      <c r="W306">
        <f>HYPERLINK("https://klasma.github.io/Logging_0331/klagomålsmail/A 31174-2024 FSC-klagomål mail.docx", "A 31174-2024")</f>
        <v/>
      </c>
      <c r="X306">
        <f>HYPERLINK("https://klasma.github.io/Logging_0331/tillsyn/A 31174-2024 tillsynsbegäran.docx", "A 31174-2024")</f>
        <v/>
      </c>
      <c r="Y306">
        <f>HYPERLINK("https://klasma.github.io/Logging_0331/tillsynsmail/A 31174-2024 tillsynsbegäran mail.docx", "A 31174-2024")</f>
        <v/>
      </c>
    </row>
    <row r="307" ht="15" customHeight="1">
      <c r="A307" t="inlineStr">
        <is>
          <t>A 31758-2024</t>
        </is>
      </c>
      <c r="B307" s="1" t="n">
        <v>45509</v>
      </c>
      <c r="C307" s="1" t="n">
        <v>45798</v>
      </c>
      <c r="D307" t="inlineStr">
        <is>
          <t>UPPSALA LÄN</t>
        </is>
      </c>
      <c r="E307" t="inlineStr">
        <is>
          <t>HEBY</t>
        </is>
      </c>
      <c r="G307" t="n">
        <v>5</v>
      </c>
      <c r="H307" t="n">
        <v>0</v>
      </c>
      <c r="I307" t="n">
        <v>0</v>
      </c>
      <c r="J307" t="n">
        <v>2</v>
      </c>
      <c r="K307" t="n">
        <v>1</v>
      </c>
      <c r="L307" t="n">
        <v>0</v>
      </c>
      <c r="M307" t="n">
        <v>0</v>
      </c>
      <c r="N307" t="n">
        <v>0</v>
      </c>
      <c r="O307" t="n">
        <v>3</v>
      </c>
      <c r="P307" t="n">
        <v>1</v>
      </c>
      <c r="Q307" t="n">
        <v>3</v>
      </c>
      <c r="R307" s="2" t="inlineStr">
        <is>
          <t>Lammticka
Druvfingersvamp
Motaggsvamp</t>
        </is>
      </c>
      <c r="S307">
        <f>HYPERLINK("https://klasma.github.io/Logging_0331/artfynd/A 31758-2024 artfynd.xlsx", "A 31758-2024")</f>
        <v/>
      </c>
      <c r="T307">
        <f>HYPERLINK("https://klasma.github.io/Logging_0331/kartor/A 31758-2024 karta.png", "A 31758-2024")</f>
        <v/>
      </c>
      <c r="V307">
        <f>HYPERLINK("https://klasma.github.io/Logging_0331/klagomål/A 31758-2024 FSC-klagomål.docx", "A 31758-2024")</f>
        <v/>
      </c>
      <c r="W307">
        <f>HYPERLINK("https://klasma.github.io/Logging_0331/klagomålsmail/A 31758-2024 FSC-klagomål mail.docx", "A 31758-2024")</f>
        <v/>
      </c>
      <c r="X307">
        <f>HYPERLINK("https://klasma.github.io/Logging_0331/tillsyn/A 31758-2024 tillsynsbegäran.docx", "A 31758-2024")</f>
        <v/>
      </c>
      <c r="Y307">
        <f>HYPERLINK("https://klasma.github.io/Logging_0331/tillsynsmail/A 31758-2024 tillsynsbegäran mail.docx", "A 31758-2024")</f>
        <v/>
      </c>
    </row>
    <row r="308" ht="15" customHeight="1">
      <c r="A308" t="inlineStr">
        <is>
          <t>A 33803-2024</t>
        </is>
      </c>
      <c r="B308" s="1" t="n">
        <v>45520</v>
      </c>
      <c r="C308" s="1" t="n">
        <v>45798</v>
      </c>
      <c r="D308" t="inlineStr">
        <is>
          <t>UPPSALA LÄN</t>
        </is>
      </c>
      <c r="E308" t="inlineStr">
        <is>
          <t>ÄLVKARLEBY</t>
        </is>
      </c>
      <c r="F308" t="inlineStr">
        <is>
          <t>Bergvik skog väst AB</t>
        </is>
      </c>
      <c r="G308" t="n">
        <v>1.6</v>
      </c>
      <c r="H308" t="n">
        <v>0</v>
      </c>
      <c r="I308" t="n">
        <v>3</v>
      </c>
      <c r="J308" t="n">
        <v>0</v>
      </c>
      <c r="K308" t="n">
        <v>0</v>
      </c>
      <c r="L308" t="n">
        <v>0</v>
      </c>
      <c r="M308" t="n">
        <v>0</v>
      </c>
      <c r="N308" t="n">
        <v>0</v>
      </c>
      <c r="O308" t="n">
        <v>0</v>
      </c>
      <c r="P308" t="n">
        <v>0</v>
      </c>
      <c r="Q308" t="n">
        <v>3</v>
      </c>
      <c r="R308" s="2" t="inlineStr">
        <is>
          <t>Bronshjon
Thomsons trägnagare
Tibast</t>
        </is>
      </c>
      <c r="S308">
        <f>HYPERLINK("https://klasma.github.io/Logging_0319/artfynd/A 33803-2024 artfynd.xlsx", "A 33803-2024")</f>
        <v/>
      </c>
      <c r="T308">
        <f>HYPERLINK("https://klasma.github.io/Logging_0319/kartor/A 33803-2024 karta.png", "A 33803-2024")</f>
        <v/>
      </c>
      <c r="V308">
        <f>HYPERLINK("https://klasma.github.io/Logging_0319/klagomål/A 33803-2024 FSC-klagomål.docx", "A 33803-2024")</f>
        <v/>
      </c>
      <c r="W308">
        <f>HYPERLINK("https://klasma.github.io/Logging_0319/klagomålsmail/A 33803-2024 FSC-klagomål mail.docx", "A 33803-2024")</f>
        <v/>
      </c>
      <c r="X308">
        <f>HYPERLINK("https://klasma.github.io/Logging_0319/tillsyn/A 33803-2024 tillsynsbegäran.docx", "A 33803-2024")</f>
        <v/>
      </c>
      <c r="Y308">
        <f>HYPERLINK("https://klasma.github.io/Logging_0319/tillsynsmail/A 33803-2024 tillsynsbegäran mail.docx", "A 33803-2024")</f>
        <v/>
      </c>
    </row>
    <row r="309" ht="15" customHeight="1">
      <c r="A309" t="inlineStr">
        <is>
          <t>A 34798-2024</t>
        </is>
      </c>
      <c r="B309" s="1" t="n">
        <v>45526</v>
      </c>
      <c r="C309" s="1" t="n">
        <v>45798</v>
      </c>
      <c r="D309" t="inlineStr">
        <is>
          <t>UPPSALA LÄN</t>
        </is>
      </c>
      <c r="E309" t="inlineStr">
        <is>
          <t>ÄLVKARLEBY</t>
        </is>
      </c>
      <c r="F309" t="inlineStr">
        <is>
          <t>Bergvik skog väst AB</t>
        </is>
      </c>
      <c r="G309" t="n">
        <v>13.8</v>
      </c>
      <c r="H309" t="n">
        <v>0</v>
      </c>
      <c r="I309" t="n">
        <v>3</v>
      </c>
      <c r="J309" t="n">
        <v>0</v>
      </c>
      <c r="K309" t="n">
        <v>0</v>
      </c>
      <c r="L309" t="n">
        <v>0</v>
      </c>
      <c r="M309" t="n">
        <v>0</v>
      </c>
      <c r="N309" t="n">
        <v>0</v>
      </c>
      <c r="O309" t="n">
        <v>0</v>
      </c>
      <c r="P309" t="n">
        <v>0</v>
      </c>
      <c r="Q309" t="n">
        <v>3</v>
      </c>
      <c r="R309" s="2" t="inlineStr">
        <is>
          <t>Rödgul trumpetsvamp
Tibast
Vätteros</t>
        </is>
      </c>
      <c r="S309">
        <f>HYPERLINK("https://klasma.github.io/Logging_0319/artfynd/A 34798-2024 artfynd.xlsx", "A 34798-2024")</f>
        <v/>
      </c>
      <c r="T309">
        <f>HYPERLINK("https://klasma.github.io/Logging_0319/kartor/A 34798-2024 karta.png", "A 34798-2024")</f>
        <v/>
      </c>
      <c r="V309">
        <f>HYPERLINK("https://klasma.github.io/Logging_0319/klagomål/A 34798-2024 FSC-klagomål.docx", "A 34798-2024")</f>
        <v/>
      </c>
      <c r="W309">
        <f>HYPERLINK("https://klasma.github.io/Logging_0319/klagomålsmail/A 34798-2024 FSC-klagomål mail.docx", "A 34798-2024")</f>
        <v/>
      </c>
      <c r="X309">
        <f>HYPERLINK("https://klasma.github.io/Logging_0319/tillsyn/A 34798-2024 tillsynsbegäran.docx", "A 34798-2024")</f>
        <v/>
      </c>
      <c r="Y309">
        <f>HYPERLINK("https://klasma.github.io/Logging_0319/tillsynsmail/A 34798-2024 tillsynsbegäran mail.docx", "A 34798-2024")</f>
        <v/>
      </c>
    </row>
    <row r="310" ht="15" customHeight="1">
      <c r="A310" t="inlineStr">
        <is>
          <t>A 39228-2024</t>
        </is>
      </c>
      <c r="B310" s="1" t="n">
        <v>45550</v>
      </c>
      <c r="C310" s="1" t="n">
        <v>45798</v>
      </c>
      <c r="D310" t="inlineStr">
        <is>
          <t>UPPSALA LÄN</t>
        </is>
      </c>
      <c r="E310" t="inlineStr">
        <is>
          <t>UPPSALA</t>
        </is>
      </c>
      <c r="G310" t="n">
        <v>2</v>
      </c>
      <c r="H310" t="n">
        <v>2</v>
      </c>
      <c r="I310" t="n">
        <v>1</v>
      </c>
      <c r="J310" t="n">
        <v>0</v>
      </c>
      <c r="K310" t="n">
        <v>0</v>
      </c>
      <c r="L310" t="n">
        <v>0</v>
      </c>
      <c r="M310" t="n">
        <v>0</v>
      </c>
      <c r="N310" t="n">
        <v>0</v>
      </c>
      <c r="O310" t="n">
        <v>0</v>
      </c>
      <c r="P310" t="n">
        <v>0</v>
      </c>
      <c r="Q310" t="n">
        <v>3</v>
      </c>
      <c r="R310" s="2" t="inlineStr">
        <is>
          <t>Sotlav
Fläcknycklar
Blåsippa</t>
        </is>
      </c>
      <c r="S310">
        <f>HYPERLINK("https://klasma.github.io/Logging_0380/artfynd/A 39228-2024 artfynd.xlsx", "A 39228-2024")</f>
        <v/>
      </c>
      <c r="T310">
        <f>HYPERLINK("https://klasma.github.io/Logging_0380/kartor/A 39228-2024 karta.png", "A 39228-2024")</f>
        <v/>
      </c>
      <c r="V310">
        <f>HYPERLINK("https://klasma.github.io/Logging_0380/klagomål/A 39228-2024 FSC-klagomål.docx", "A 39228-2024")</f>
        <v/>
      </c>
      <c r="W310">
        <f>HYPERLINK("https://klasma.github.io/Logging_0380/klagomålsmail/A 39228-2024 FSC-klagomål mail.docx", "A 39228-2024")</f>
        <v/>
      </c>
      <c r="X310">
        <f>HYPERLINK("https://klasma.github.io/Logging_0380/tillsyn/A 39228-2024 tillsynsbegäran.docx", "A 39228-2024")</f>
        <v/>
      </c>
      <c r="Y310">
        <f>HYPERLINK("https://klasma.github.io/Logging_0380/tillsynsmail/A 39228-2024 tillsynsbegäran mail.docx", "A 39228-2024")</f>
        <v/>
      </c>
    </row>
    <row r="311" ht="15" customHeight="1">
      <c r="A311" t="inlineStr">
        <is>
          <t>A 41443-2024</t>
        </is>
      </c>
      <c r="B311" s="1" t="n">
        <v>45560</v>
      </c>
      <c r="C311" s="1" t="n">
        <v>45798</v>
      </c>
      <c r="D311" t="inlineStr">
        <is>
          <t>UPPSALA LÄN</t>
        </is>
      </c>
      <c r="E311" t="inlineStr">
        <is>
          <t>ÖSTHAMMAR</t>
        </is>
      </c>
      <c r="F311" t="inlineStr">
        <is>
          <t>Bergvik skog väst AB</t>
        </is>
      </c>
      <c r="G311" t="n">
        <v>10.7</v>
      </c>
      <c r="H311" t="n">
        <v>2</v>
      </c>
      <c r="I311" t="n">
        <v>1</v>
      </c>
      <c r="J311" t="n">
        <v>1</v>
      </c>
      <c r="K311" t="n">
        <v>0</v>
      </c>
      <c r="L311" t="n">
        <v>0</v>
      </c>
      <c r="M311" t="n">
        <v>0</v>
      </c>
      <c r="N311" t="n">
        <v>0</v>
      </c>
      <c r="O311" t="n">
        <v>1</v>
      </c>
      <c r="P311" t="n">
        <v>0</v>
      </c>
      <c r="Q311" t="n">
        <v>3</v>
      </c>
      <c r="R311" s="2" t="inlineStr">
        <is>
          <t>Spillkråka
Brandticka
Blåsippa</t>
        </is>
      </c>
      <c r="S311">
        <f>HYPERLINK("https://klasma.github.io/Logging_0382/artfynd/A 41443-2024 artfynd.xlsx", "A 41443-2024")</f>
        <v/>
      </c>
      <c r="T311">
        <f>HYPERLINK("https://klasma.github.io/Logging_0382/kartor/A 41443-2024 karta.png", "A 41443-2024")</f>
        <v/>
      </c>
      <c r="V311">
        <f>HYPERLINK("https://klasma.github.io/Logging_0382/klagomål/A 41443-2024 FSC-klagomål.docx", "A 41443-2024")</f>
        <v/>
      </c>
      <c r="W311">
        <f>HYPERLINK("https://klasma.github.io/Logging_0382/klagomålsmail/A 41443-2024 FSC-klagomål mail.docx", "A 41443-2024")</f>
        <v/>
      </c>
      <c r="X311">
        <f>HYPERLINK("https://klasma.github.io/Logging_0382/tillsyn/A 41443-2024 tillsynsbegäran.docx", "A 41443-2024")</f>
        <v/>
      </c>
      <c r="Y311">
        <f>HYPERLINK("https://klasma.github.io/Logging_0382/tillsynsmail/A 41443-2024 tillsynsbegäran mail.docx", "A 41443-2024")</f>
        <v/>
      </c>
      <c r="Z311">
        <f>HYPERLINK("https://klasma.github.io/Logging_0382/fåglar/A 41443-2024 prioriterade fågelarter.docx", "A 41443-2024")</f>
        <v/>
      </c>
    </row>
    <row r="312" ht="15" customHeight="1">
      <c r="A312" t="inlineStr">
        <is>
          <t>A 46735-2024</t>
        </is>
      </c>
      <c r="B312" s="1" t="n">
        <v>45583</v>
      </c>
      <c r="C312" s="1" t="n">
        <v>45798</v>
      </c>
      <c r="D312" t="inlineStr">
        <is>
          <t>UPPSALA LÄN</t>
        </is>
      </c>
      <c r="E312" t="inlineStr">
        <is>
          <t>UPPSALA</t>
        </is>
      </c>
      <c r="F312" t="inlineStr">
        <is>
          <t>Sveaskog</t>
        </is>
      </c>
      <c r="G312" t="n">
        <v>2.3</v>
      </c>
      <c r="H312" t="n">
        <v>1</v>
      </c>
      <c r="I312" t="n">
        <v>1</v>
      </c>
      <c r="J312" t="n">
        <v>1</v>
      </c>
      <c r="K312" t="n">
        <v>1</v>
      </c>
      <c r="L312" t="n">
        <v>0</v>
      </c>
      <c r="M312" t="n">
        <v>0</v>
      </c>
      <c r="N312" t="n">
        <v>0</v>
      </c>
      <c r="O312" t="n">
        <v>2</v>
      </c>
      <c r="P312" t="n">
        <v>1</v>
      </c>
      <c r="Q312" t="n">
        <v>3</v>
      </c>
      <c r="R312" s="2" t="inlineStr">
        <is>
          <t>Knärot
Vedtrappmossa
Mörk husmossa</t>
        </is>
      </c>
      <c r="S312">
        <f>HYPERLINK("https://klasma.github.io/Logging_0380/artfynd/A 46735-2024 artfynd.xlsx", "A 46735-2024")</f>
        <v/>
      </c>
      <c r="T312">
        <f>HYPERLINK("https://klasma.github.io/Logging_0380/kartor/A 46735-2024 karta.png", "A 46735-2024")</f>
        <v/>
      </c>
      <c r="U312">
        <f>HYPERLINK("https://klasma.github.io/Logging_0380/knärot/A 46735-2024 karta knärot.png", "A 46735-2024")</f>
        <v/>
      </c>
      <c r="V312">
        <f>HYPERLINK("https://klasma.github.io/Logging_0380/klagomål/A 46735-2024 FSC-klagomål.docx", "A 46735-2024")</f>
        <v/>
      </c>
      <c r="W312">
        <f>HYPERLINK("https://klasma.github.io/Logging_0380/klagomålsmail/A 46735-2024 FSC-klagomål mail.docx", "A 46735-2024")</f>
        <v/>
      </c>
      <c r="X312">
        <f>HYPERLINK("https://klasma.github.io/Logging_0380/tillsyn/A 46735-2024 tillsynsbegäran.docx", "A 46735-2024")</f>
        <v/>
      </c>
      <c r="Y312">
        <f>HYPERLINK("https://klasma.github.io/Logging_0380/tillsynsmail/A 46735-2024 tillsynsbegäran mail.docx", "A 46735-2024")</f>
        <v/>
      </c>
    </row>
    <row r="313" ht="15" customHeight="1">
      <c r="A313" t="inlineStr">
        <is>
          <t>A 47653-2024</t>
        </is>
      </c>
      <c r="B313" s="1" t="n">
        <v>45588</v>
      </c>
      <c r="C313" s="1" t="n">
        <v>45798</v>
      </c>
      <c r="D313" t="inlineStr">
        <is>
          <t>UPPSALA LÄN</t>
        </is>
      </c>
      <c r="E313" t="inlineStr">
        <is>
          <t>HÅBO</t>
        </is>
      </c>
      <c r="G313" t="n">
        <v>3</v>
      </c>
      <c r="H313" t="n">
        <v>2</v>
      </c>
      <c r="I313" t="n">
        <v>1</v>
      </c>
      <c r="J313" t="n">
        <v>1</v>
      </c>
      <c r="K313" t="n">
        <v>0</v>
      </c>
      <c r="L313" t="n">
        <v>0</v>
      </c>
      <c r="M313" t="n">
        <v>0</v>
      </c>
      <c r="N313" t="n">
        <v>0</v>
      </c>
      <c r="O313" t="n">
        <v>1</v>
      </c>
      <c r="P313" t="n">
        <v>0</v>
      </c>
      <c r="Q313" t="n">
        <v>3</v>
      </c>
      <c r="R313" s="2" t="inlineStr">
        <is>
          <t>Backklöver
Nästrot
Blåsippa</t>
        </is>
      </c>
      <c r="S313">
        <f>HYPERLINK("https://klasma.github.io/Logging_0305/artfynd/A 47653-2024 artfynd.xlsx", "A 47653-2024")</f>
        <v/>
      </c>
      <c r="T313">
        <f>HYPERLINK("https://klasma.github.io/Logging_0305/kartor/A 47653-2024 karta.png", "A 47653-2024")</f>
        <v/>
      </c>
      <c r="V313">
        <f>HYPERLINK("https://klasma.github.io/Logging_0305/klagomål/A 47653-2024 FSC-klagomål.docx", "A 47653-2024")</f>
        <v/>
      </c>
      <c r="W313">
        <f>HYPERLINK("https://klasma.github.io/Logging_0305/klagomålsmail/A 47653-2024 FSC-klagomål mail.docx", "A 47653-2024")</f>
        <v/>
      </c>
      <c r="X313">
        <f>HYPERLINK("https://klasma.github.io/Logging_0305/tillsyn/A 47653-2024 tillsynsbegäran.docx", "A 47653-2024")</f>
        <v/>
      </c>
      <c r="Y313">
        <f>HYPERLINK("https://klasma.github.io/Logging_0305/tillsynsmail/A 47653-2024 tillsynsbegäran mail.docx", "A 47653-2024")</f>
        <v/>
      </c>
    </row>
    <row r="314" ht="15" customHeight="1">
      <c r="A314" t="inlineStr">
        <is>
          <t>A 50466-2024</t>
        </is>
      </c>
      <c r="B314" s="1" t="n">
        <v>45601</v>
      </c>
      <c r="C314" s="1" t="n">
        <v>45798</v>
      </c>
      <c r="D314" t="inlineStr">
        <is>
          <t>UPPSALA LÄN</t>
        </is>
      </c>
      <c r="E314" t="inlineStr">
        <is>
          <t>HEBY</t>
        </is>
      </c>
      <c r="G314" t="n">
        <v>2.4</v>
      </c>
      <c r="H314" t="n">
        <v>3</v>
      </c>
      <c r="I314" t="n">
        <v>0</v>
      </c>
      <c r="J314" t="n">
        <v>0</v>
      </c>
      <c r="K314" t="n">
        <v>2</v>
      </c>
      <c r="L314" t="n">
        <v>0</v>
      </c>
      <c r="M314" t="n">
        <v>0</v>
      </c>
      <c r="N314" t="n">
        <v>0</v>
      </c>
      <c r="O314" t="n">
        <v>2</v>
      </c>
      <c r="P314" t="n">
        <v>2</v>
      </c>
      <c r="Q314" t="n">
        <v>3</v>
      </c>
      <c r="R314" s="2" t="inlineStr">
        <is>
          <t>Knärot
Väddnätfjäril
Tjäder</t>
        </is>
      </c>
      <c r="S314">
        <f>HYPERLINK("https://klasma.github.io/Logging_0331/artfynd/A 50466-2024 artfynd.xlsx", "A 50466-2024")</f>
        <v/>
      </c>
      <c r="T314">
        <f>HYPERLINK("https://klasma.github.io/Logging_0331/kartor/A 50466-2024 karta.png", "A 50466-2024")</f>
        <v/>
      </c>
      <c r="U314">
        <f>HYPERLINK("https://klasma.github.io/Logging_0331/knärot/A 50466-2024 karta knärot.png", "A 50466-2024")</f>
        <v/>
      </c>
      <c r="V314">
        <f>HYPERLINK("https://klasma.github.io/Logging_0331/klagomål/A 50466-2024 FSC-klagomål.docx", "A 50466-2024")</f>
        <v/>
      </c>
      <c r="W314">
        <f>HYPERLINK("https://klasma.github.io/Logging_0331/klagomålsmail/A 50466-2024 FSC-klagomål mail.docx", "A 50466-2024")</f>
        <v/>
      </c>
      <c r="X314">
        <f>HYPERLINK("https://klasma.github.io/Logging_0331/tillsyn/A 50466-2024 tillsynsbegäran.docx", "A 50466-2024")</f>
        <v/>
      </c>
      <c r="Y314">
        <f>HYPERLINK("https://klasma.github.io/Logging_0331/tillsynsmail/A 50466-2024 tillsynsbegäran mail.docx", "A 50466-2024")</f>
        <v/>
      </c>
      <c r="Z314">
        <f>HYPERLINK("https://klasma.github.io/Logging_0331/fåglar/A 50466-2024 prioriterade fågelarter.docx", "A 50466-2024")</f>
        <v/>
      </c>
    </row>
    <row r="315" ht="15" customHeight="1">
      <c r="A315" t="inlineStr">
        <is>
          <t>A 55186-2024</t>
        </is>
      </c>
      <c r="B315" s="1" t="n">
        <v>45621</v>
      </c>
      <c r="C315" s="1" t="n">
        <v>45798</v>
      </c>
      <c r="D315" t="inlineStr">
        <is>
          <t>UPPSALA LÄN</t>
        </is>
      </c>
      <c r="E315" t="inlineStr">
        <is>
          <t>ÖSTHAMMAR</t>
        </is>
      </c>
      <c r="G315" t="n">
        <v>1.8</v>
      </c>
      <c r="H315" t="n">
        <v>0</v>
      </c>
      <c r="I315" t="n">
        <v>2</v>
      </c>
      <c r="J315" t="n">
        <v>1</v>
      </c>
      <c r="K315" t="n">
        <v>0</v>
      </c>
      <c r="L315" t="n">
        <v>0</v>
      </c>
      <c r="M315" t="n">
        <v>0</v>
      </c>
      <c r="N315" t="n">
        <v>0</v>
      </c>
      <c r="O315" t="n">
        <v>1</v>
      </c>
      <c r="P315" t="n">
        <v>0</v>
      </c>
      <c r="Q315" t="n">
        <v>3</v>
      </c>
      <c r="R315" s="2" t="inlineStr">
        <is>
          <t>Äggspindling
Anisspindling
Granbarkgnagare</t>
        </is>
      </c>
      <c r="S315">
        <f>HYPERLINK("https://klasma.github.io/Logging_0382/artfynd/A 55186-2024 artfynd.xlsx", "A 55186-2024")</f>
        <v/>
      </c>
      <c r="T315">
        <f>HYPERLINK("https://klasma.github.io/Logging_0382/kartor/A 55186-2024 karta.png", "A 55186-2024")</f>
        <v/>
      </c>
      <c r="V315">
        <f>HYPERLINK("https://klasma.github.io/Logging_0382/klagomål/A 55186-2024 FSC-klagomål.docx", "A 55186-2024")</f>
        <v/>
      </c>
      <c r="W315">
        <f>HYPERLINK("https://klasma.github.io/Logging_0382/klagomålsmail/A 55186-2024 FSC-klagomål mail.docx", "A 55186-2024")</f>
        <v/>
      </c>
      <c r="X315">
        <f>HYPERLINK("https://klasma.github.io/Logging_0382/tillsyn/A 55186-2024 tillsynsbegäran.docx", "A 55186-2024")</f>
        <v/>
      </c>
      <c r="Y315">
        <f>HYPERLINK("https://klasma.github.io/Logging_0382/tillsynsmail/A 55186-2024 tillsynsbegäran mail.docx", "A 55186-2024")</f>
        <v/>
      </c>
    </row>
    <row r="316" ht="15" customHeight="1">
      <c r="A316" t="inlineStr">
        <is>
          <t>A 55547-2024</t>
        </is>
      </c>
      <c r="B316" s="1" t="n">
        <v>45622</v>
      </c>
      <c r="C316" s="1" t="n">
        <v>45798</v>
      </c>
      <c r="D316" t="inlineStr">
        <is>
          <t>UPPSALA LÄN</t>
        </is>
      </c>
      <c r="E316" t="inlineStr">
        <is>
          <t>ÄLVKARLEBY</t>
        </is>
      </c>
      <c r="F316" t="inlineStr">
        <is>
          <t>Bergvik skog väst AB</t>
        </is>
      </c>
      <c r="G316" t="n">
        <v>0.9</v>
      </c>
      <c r="H316" t="n">
        <v>2</v>
      </c>
      <c r="I316" t="n">
        <v>1</v>
      </c>
      <c r="J316" t="n">
        <v>0</v>
      </c>
      <c r="K316" t="n">
        <v>1</v>
      </c>
      <c r="L316" t="n">
        <v>0</v>
      </c>
      <c r="M316" t="n">
        <v>0</v>
      </c>
      <c r="N316" t="n">
        <v>0</v>
      </c>
      <c r="O316" t="n">
        <v>1</v>
      </c>
      <c r="P316" t="n">
        <v>1</v>
      </c>
      <c r="Q316" t="n">
        <v>3</v>
      </c>
      <c r="R316" s="2" t="inlineStr">
        <is>
          <t>Knärot
Vedticka
Sparvuggla</t>
        </is>
      </c>
      <c r="S316">
        <f>HYPERLINK("https://klasma.github.io/Logging_0319/artfynd/A 55547-2024 artfynd.xlsx", "A 55547-2024")</f>
        <v/>
      </c>
      <c r="T316">
        <f>HYPERLINK("https://klasma.github.io/Logging_0319/kartor/A 55547-2024 karta.png", "A 55547-2024")</f>
        <v/>
      </c>
      <c r="U316">
        <f>HYPERLINK("https://klasma.github.io/Logging_0319/knärot/A 55547-2024 karta knärot.png", "A 55547-2024")</f>
        <v/>
      </c>
      <c r="V316">
        <f>HYPERLINK("https://klasma.github.io/Logging_0319/klagomål/A 55547-2024 FSC-klagomål.docx", "A 55547-2024")</f>
        <v/>
      </c>
      <c r="W316">
        <f>HYPERLINK("https://klasma.github.io/Logging_0319/klagomålsmail/A 55547-2024 FSC-klagomål mail.docx", "A 55547-2024")</f>
        <v/>
      </c>
      <c r="X316">
        <f>HYPERLINK("https://klasma.github.io/Logging_0319/tillsyn/A 55547-2024 tillsynsbegäran.docx", "A 55547-2024")</f>
        <v/>
      </c>
      <c r="Y316">
        <f>HYPERLINK("https://klasma.github.io/Logging_0319/tillsynsmail/A 55547-2024 tillsynsbegäran mail.docx", "A 55547-2024")</f>
        <v/>
      </c>
      <c r="Z316">
        <f>HYPERLINK("https://klasma.github.io/Logging_0319/fåglar/A 55547-2024 prioriterade fågelarter.docx", "A 55547-2024")</f>
        <v/>
      </c>
    </row>
    <row r="317" ht="15" customHeight="1">
      <c r="A317" t="inlineStr">
        <is>
          <t>A 55555-2024</t>
        </is>
      </c>
      <c r="B317" s="1" t="n">
        <v>45622</v>
      </c>
      <c r="C317" s="1" t="n">
        <v>45798</v>
      </c>
      <c r="D317" t="inlineStr">
        <is>
          <t>UPPSALA LÄN</t>
        </is>
      </c>
      <c r="E317" t="inlineStr">
        <is>
          <t>ÄLVKARLEBY</t>
        </is>
      </c>
      <c r="F317" t="inlineStr">
        <is>
          <t>Bergvik skog väst AB</t>
        </is>
      </c>
      <c r="G317" t="n">
        <v>0.7</v>
      </c>
      <c r="H317" t="n">
        <v>1</v>
      </c>
      <c r="I317" t="n">
        <v>0</v>
      </c>
      <c r="J317" t="n">
        <v>1</v>
      </c>
      <c r="K317" t="n">
        <v>1</v>
      </c>
      <c r="L317" t="n">
        <v>1</v>
      </c>
      <c r="M317" t="n">
        <v>0</v>
      </c>
      <c r="N317" t="n">
        <v>0</v>
      </c>
      <c r="O317" t="n">
        <v>3</v>
      </c>
      <c r="P317" t="n">
        <v>2</v>
      </c>
      <c r="Q317" t="n">
        <v>3</v>
      </c>
      <c r="R317" s="2" t="inlineStr">
        <is>
          <t>Skeletocutis jelicii
Knärot
Vedtrappmossa</t>
        </is>
      </c>
      <c r="S317">
        <f>HYPERLINK("https://klasma.github.io/Logging_0319/artfynd/A 55555-2024 artfynd.xlsx", "A 55555-2024")</f>
        <v/>
      </c>
      <c r="T317">
        <f>HYPERLINK("https://klasma.github.io/Logging_0319/kartor/A 55555-2024 karta.png", "A 55555-2024")</f>
        <v/>
      </c>
      <c r="U317">
        <f>HYPERLINK("https://klasma.github.io/Logging_0319/knärot/A 55555-2024 karta knärot.png", "A 55555-2024")</f>
        <v/>
      </c>
      <c r="V317">
        <f>HYPERLINK("https://klasma.github.io/Logging_0319/klagomål/A 55555-2024 FSC-klagomål.docx", "A 55555-2024")</f>
        <v/>
      </c>
      <c r="W317">
        <f>HYPERLINK("https://klasma.github.io/Logging_0319/klagomålsmail/A 55555-2024 FSC-klagomål mail.docx", "A 55555-2024")</f>
        <v/>
      </c>
      <c r="X317">
        <f>HYPERLINK("https://klasma.github.io/Logging_0319/tillsyn/A 55555-2024 tillsynsbegäran.docx", "A 55555-2024")</f>
        <v/>
      </c>
      <c r="Y317">
        <f>HYPERLINK("https://klasma.github.io/Logging_0319/tillsynsmail/A 55555-2024 tillsynsbegäran mail.docx", "A 55555-2024")</f>
        <v/>
      </c>
    </row>
    <row r="318" ht="15" customHeight="1">
      <c r="A318" t="inlineStr">
        <is>
          <t>A 3932-2025</t>
        </is>
      </c>
      <c r="B318" s="1" t="n">
        <v>45684</v>
      </c>
      <c r="C318" s="1" t="n">
        <v>45798</v>
      </c>
      <c r="D318" t="inlineStr">
        <is>
          <t>UPPSALA LÄN</t>
        </is>
      </c>
      <c r="E318" t="inlineStr">
        <is>
          <t>UPPSALA</t>
        </is>
      </c>
      <c r="G318" t="n">
        <v>8.9</v>
      </c>
      <c r="H318" t="n">
        <v>1</v>
      </c>
      <c r="I318" t="n">
        <v>1</v>
      </c>
      <c r="J318" t="n">
        <v>1</v>
      </c>
      <c r="K318" t="n">
        <v>0</v>
      </c>
      <c r="L318" t="n">
        <v>0</v>
      </c>
      <c r="M318" t="n">
        <v>0</v>
      </c>
      <c r="N318" t="n">
        <v>0</v>
      </c>
      <c r="O318" t="n">
        <v>1</v>
      </c>
      <c r="P318" t="n">
        <v>0</v>
      </c>
      <c r="Q318" t="n">
        <v>3</v>
      </c>
      <c r="R318" s="2" t="inlineStr">
        <is>
          <t>Vedtrappmossa
Rostfläck
Revlummer</t>
        </is>
      </c>
      <c r="S318">
        <f>HYPERLINK("https://klasma.github.io/Logging_0380/artfynd/A 3932-2025 artfynd.xlsx", "A 3932-2025")</f>
        <v/>
      </c>
      <c r="T318">
        <f>HYPERLINK("https://klasma.github.io/Logging_0380/kartor/A 3932-2025 karta.png", "A 3932-2025")</f>
        <v/>
      </c>
      <c r="U318">
        <f>HYPERLINK("https://klasma.github.io/Logging_0380/knärot/A 3932-2025 karta knärot.png", "A 3932-2025")</f>
        <v/>
      </c>
      <c r="V318">
        <f>HYPERLINK("https://klasma.github.io/Logging_0380/klagomål/A 3932-2025 FSC-klagomål.docx", "A 3932-2025")</f>
        <v/>
      </c>
      <c r="W318">
        <f>HYPERLINK("https://klasma.github.io/Logging_0380/klagomålsmail/A 3932-2025 FSC-klagomål mail.docx", "A 3932-2025")</f>
        <v/>
      </c>
      <c r="X318">
        <f>HYPERLINK("https://klasma.github.io/Logging_0380/tillsyn/A 3932-2025 tillsynsbegäran.docx", "A 3932-2025")</f>
        <v/>
      </c>
      <c r="Y318">
        <f>HYPERLINK("https://klasma.github.io/Logging_0380/tillsynsmail/A 3932-2025 tillsynsbegäran mail.docx", "A 3932-2025")</f>
        <v/>
      </c>
    </row>
    <row r="319" ht="15" customHeight="1">
      <c r="A319" t="inlineStr">
        <is>
          <t>A 4610-2025</t>
        </is>
      </c>
      <c r="B319" s="1" t="n">
        <v>45687</v>
      </c>
      <c r="C319" s="1" t="n">
        <v>45798</v>
      </c>
      <c r="D319" t="inlineStr">
        <is>
          <t>UPPSALA LÄN</t>
        </is>
      </c>
      <c r="E319" t="inlineStr">
        <is>
          <t>HEBY</t>
        </is>
      </c>
      <c r="G319" t="n">
        <v>25.1</v>
      </c>
      <c r="H319" t="n">
        <v>0</v>
      </c>
      <c r="I319" t="n">
        <v>2</v>
      </c>
      <c r="J319" t="n">
        <v>1</v>
      </c>
      <c r="K319" t="n">
        <v>0</v>
      </c>
      <c r="L319" t="n">
        <v>0</v>
      </c>
      <c r="M319" t="n">
        <v>0</v>
      </c>
      <c r="N319" t="n">
        <v>0</v>
      </c>
      <c r="O319" t="n">
        <v>1</v>
      </c>
      <c r="P319" t="n">
        <v>0</v>
      </c>
      <c r="Q319" t="n">
        <v>3</v>
      </c>
      <c r="R319" s="2" t="inlineStr">
        <is>
          <t>Större flatbagge
Granbräken
Jättesvampmal</t>
        </is>
      </c>
      <c r="S319">
        <f>HYPERLINK("https://klasma.github.io/Logging_0331/artfynd/A 4610-2025 artfynd.xlsx", "A 4610-2025")</f>
        <v/>
      </c>
      <c r="T319">
        <f>HYPERLINK("https://klasma.github.io/Logging_0331/kartor/A 4610-2025 karta.png", "A 4610-2025")</f>
        <v/>
      </c>
      <c r="V319">
        <f>HYPERLINK("https://klasma.github.io/Logging_0331/klagomål/A 4610-2025 FSC-klagomål.docx", "A 4610-2025")</f>
        <v/>
      </c>
      <c r="W319">
        <f>HYPERLINK("https://klasma.github.io/Logging_0331/klagomålsmail/A 4610-2025 FSC-klagomål mail.docx", "A 4610-2025")</f>
        <v/>
      </c>
      <c r="X319">
        <f>HYPERLINK("https://klasma.github.io/Logging_0331/tillsyn/A 4610-2025 tillsynsbegäran.docx", "A 4610-2025")</f>
        <v/>
      </c>
      <c r="Y319">
        <f>HYPERLINK("https://klasma.github.io/Logging_0331/tillsynsmail/A 4610-2025 tillsynsbegäran mail.docx", "A 4610-2025")</f>
        <v/>
      </c>
    </row>
    <row r="320" ht="15" customHeight="1">
      <c r="A320" t="inlineStr">
        <is>
          <t>A 7399-2025</t>
        </is>
      </c>
      <c r="B320" s="1" t="n">
        <v>45702</v>
      </c>
      <c r="C320" s="1" t="n">
        <v>45798</v>
      </c>
      <c r="D320" t="inlineStr">
        <is>
          <t>UPPSALA LÄN</t>
        </is>
      </c>
      <c r="E320" t="inlineStr">
        <is>
          <t>ENKÖPING</t>
        </is>
      </c>
      <c r="G320" t="n">
        <v>5.9</v>
      </c>
      <c r="H320" t="n">
        <v>0</v>
      </c>
      <c r="I320" t="n">
        <v>3</v>
      </c>
      <c r="J320" t="n">
        <v>0</v>
      </c>
      <c r="K320" t="n">
        <v>0</v>
      </c>
      <c r="L320" t="n">
        <v>0</v>
      </c>
      <c r="M320" t="n">
        <v>0</v>
      </c>
      <c r="N320" t="n">
        <v>0</v>
      </c>
      <c r="O320" t="n">
        <v>0</v>
      </c>
      <c r="P320" t="n">
        <v>0</v>
      </c>
      <c r="Q320" t="n">
        <v>3</v>
      </c>
      <c r="R320" s="2" t="inlineStr">
        <is>
          <t>Dvärgkällmossa
Guldlockmossa
Trädporella</t>
        </is>
      </c>
      <c r="S320">
        <f>HYPERLINK("https://klasma.github.io/Logging_0381/artfynd/A 7399-2025 artfynd.xlsx", "A 7399-2025")</f>
        <v/>
      </c>
      <c r="T320">
        <f>HYPERLINK("https://klasma.github.io/Logging_0381/kartor/A 7399-2025 karta.png", "A 7399-2025")</f>
        <v/>
      </c>
      <c r="V320">
        <f>HYPERLINK("https://klasma.github.io/Logging_0381/klagomål/A 7399-2025 FSC-klagomål.docx", "A 7399-2025")</f>
        <v/>
      </c>
      <c r="W320">
        <f>HYPERLINK("https://klasma.github.io/Logging_0381/klagomålsmail/A 7399-2025 FSC-klagomål mail.docx", "A 7399-2025")</f>
        <v/>
      </c>
      <c r="X320">
        <f>HYPERLINK("https://klasma.github.io/Logging_0381/tillsyn/A 7399-2025 tillsynsbegäran.docx", "A 7399-2025")</f>
        <v/>
      </c>
      <c r="Y320">
        <f>HYPERLINK("https://klasma.github.io/Logging_0381/tillsynsmail/A 7399-2025 tillsynsbegäran mail.docx", "A 7399-2025")</f>
        <v/>
      </c>
    </row>
    <row r="321" ht="15" customHeight="1">
      <c r="A321" t="inlineStr">
        <is>
          <t>A 8224-2025</t>
        </is>
      </c>
      <c r="B321" s="1" t="n">
        <v>45708</v>
      </c>
      <c r="C321" s="1" t="n">
        <v>45798</v>
      </c>
      <c r="D321" t="inlineStr">
        <is>
          <t>UPPSALA LÄN</t>
        </is>
      </c>
      <c r="E321" t="inlineStr">
        <is>
          <t>TIERP</t>
        </is>
      </c>
      <c r="F321" t="inlineStr">
        <is>
          <t>Bergvik skog öst AB</t>
        </is>
      </c>
      <c r="G321" t="n">
        <v>2.1</v>
      </c>
      <c r="H321" t="n">
        <v>2</v>
      </c>
      <c r="I321" t="n">
        <v>1</v>
      </c>
      <c r="J321" t="n">
        <v>0</v>
      </c>
      <c r="K321" t="n">
        <v>1</v>
      </c>
      <c r="L321" t="n">
        <v>0</v>
      </c>
      <c r="M321" t="n">
        <v>0</v>
      </c>
      <c r="N321" t="n">
        <v>0</v>
      </c>
      <c r="O321" t="n">
        <v>1</v>
      </c>
      <c r="P321" t="n">
        <v>1</v>
      </c>
      <c r="Q321" t="n">
        <v>3</v>
      </c>
      <c r="R321" s="2" t="inlineStr">
        <is>
          <t>Stor låsbräken
Sårläka
Blåsippa</t>
        </is>
      </c>
      <c r="S321">
        <f>HYPERLINK("https://klasma.github.io/Logging_0360/artfynd/A 8224-2025 artfynd.xlsx", "A 8224-2025")</f>
        <v/>
      </c>
      <c r="T321">
        <f>HYPERLINK("https://klasma.github.io/Logging_0360/kartor/A 8224-2025 karta.png", "A 8224-2025")</f>
        <v/>
      </c>
      <c r="V321">
        <f>HYPERLINK("https://klasma.github.io/Logging_0360/klagomål/A 8224-2025 FSC-klagomål.docx", "A 8224-2025")</f>
        <v/>
      </c>
      <c r="W321">
        <f>HYPERLINK("https://klasma.github.io/Logging_0360/klagomålsmail/A 8224-2025 FSC-klagomål mail.docx", "A 8224-2025")</f>
        <v/>
      </c>
      <c r="X321">
        <f>HYPERLINK("https://klasma.github.io/Logging_0360/tillsyn/A 8224-2025 tillsynsbegäran.docx", "A 8224-2025")</f>
        <v/>
      </c>
      <c r="Y321">
        <f>HYPERLINK("https://klasma.github.io/Logging_0360/tillsynsmail/A 8224-2025 tillsynsbegäran mail.docx", "A 8224-2025")</f>
        <v/>
      </c>
    </row>
    <row r="322" ht="15" customHeight="1">
      <c r="A322" t="inlineStr">
        <is>
          <t>A 10846-2025</t>
        </is>
      </c>
      <c r="B322" s="1" t="n">
        <v>45722</v>
      </c>
      <c r="C322" s="1" t="n">
        <v>45798</v>
      </c>
      <c r="D322" t="inlineStr">
        <is>
          <t>UPPSALA LÄN</t>
        </is>
      </c>
      <c r="E322" t="inlineStr">
        <is>
          <t>TIERP</t>
        </is>
      </c>
      <c r="F322" t="inlineStr">
        <is>
          <t>Bergvik skog öst AB</t>
        </is>
      </c>
      <c r="G322" t="n">
        <v>1.8</v>
      </c>
      <c r="H322" t="n">
        <v>1</v>
      </c>
      <c r="I322" t="n">
        <v>2</v>
      </c>
      <c r="J322" t="n">
        <v>0</v>
      </c>
      <c r="K322" t="n">
        <v>0</v>
      </c>
      <c r="L322" t="n">
        <v>0</v>
      </c>
      <c r="M322" t="n">
        <v>0</v>
      </c>
      <c r="N322" t="n">
        <v>0</v>
      </c>
      <c r="O322" t="n">
        <v>0</v>
      </c>
      <c r="P322" t="n">
        <v>0</v>
      </c>
      <c r="Q322" t="n">
        <v>3</v>
      </c>
      <c r="R322" s="2" t="inlineStr">
        <is>
          <t>Rödgul trumpetsvamp
Tibast
Blåsippa</t>
        </is>
      </c>
      <c r="S322">
        <f>HYPERLINK("https://klasma.github.io/Logging_030360/artfynd/A 10846-2025 artfynd.xlsx", "A 10846-2025")</f>
        <v/>
      </c>
      <c r="T322">
        <f>HYPERLINK("https://klasma.github.io/Logging_030360/kartor/A 10846-2025 karta.png", "A 10846-2025")</f>
        <v/>
      </c>
      <c r="V322">
        <f>HYPERLINK("https://klasma.github.io/Logging_030360/klagomål/A 10846-2025 FSC-klagomål.docx", "A 10846-2025")</f>
        <v/>
      </c>
      <c r="W322">
        <f>HYPERLINK("https://klasma.github.io/Logging_030360/klagomålsmail/A 10846-2025 FSC-klagomål mail.docx", "A 10846-2025")</f>
        <v/>
      </c>
      <c r="X322">
        <f>HYPERLINK("https://klasma.github.io/Logging_030360/tillsyn/A 10846-2025 tillsynsbegäran.docx", "A 10846-2025")</f>
        <v/>
      </c>
      <c r="Y322">
        <f>HYPERLINK("https://klasma.github.io/Logging_030360/tillsynsmail/A 10846-2025 tillsynsbegäran mail.docx", "A 10846-2025")</f>
        <v/>
      </c>
    </row>
    <row r="323" ht="15" customHeight="1">
      <c r="A323" t="inlineStr">
        <is>
          <t>A 16146-2025</t>
        </is>
      </c>
      <c r="B323" s="1" t="n">
        <v>45750</v>
      </c>
      <c r="C323" s="1" t="n">
        <v>45798</v>
      </c>
      <c r="D323" t="inlineStr">
        <is>
          <t>UPPSALA LÄN</t>
        </is>
      </c>
      <c r="E323" t="inlineStr">
        <is>
          <t>ÖSTHAMMAR</t>
        </is>
      </c>
      <c r="F323" t="inlineStr">
        <is>
          <t>Övriga Aktiebolag</t>
        </is>
      </c>
      <c r="G323" t="n">
        <v>8.1</v>
      </c>
      <c r="H323" t="n">
        <v>0</v>
      </c>
      <c r="I323" t="n">
        <v>0</v>
      </c>
      <c r="J323" t="n">
        <v>3</v>
      </c>
      <c r="K323" t="n">
        <v>0</v>
      </c>
      <c r="L323" t="n">
        <v>0</v>
      </c>
      <c r="M323" t="n">
        <v>0</v>
      </c>
      <c r="N323" t="n">
        <v>0</v>
      </c>
      <c r="O323" t="n">
        <v>3</v>
      </c>
      <c r="P323" t="n">
        <v>0</v>
      </c>
      <c r="Q323" t="n">
        <v>3</v>
      </c>
      <c r="R323" s="2" t="inlineStr">
        <is>
          <t>Majviva
Silversmygare
Smalsprötad bastardsvärmare</t>
        </is>
      </c>
      <c r="S323">
        <f>HYPERLINK("https://klasma.github.io/Logging_030382/artfynd/A 16146-2025 artfynd.xlsx", "A 16146-2025")</f>
        <v/>
      </c>
      <c r="T323">
        <f>HYPERLINK("https://klasma.github.io/Logging_030382/kartor/A 16146-2025 karta.png", "A 16146-2025")</f>
        <v/>
      </c>
      <c r="V323">
        <f>HYPERLINK("https://klasma.github.io/Logging_030382/klagomål/A 16146-2025 FSC-klagomål.docx", "A 16146-2025")</f>
        <v/>
      </c>
      <c r="W323">
        <f>HYPERLINK("https://klasma.github.io/Logging_030382/klagomålsmail/A 16146-2025 FSC-klagomål mail.docx", "A 16146-2025")</f>
        <v/>
      </c>
      <c r="X323">
        <f>HYPERLINK("https://klasma.github.io/Logging_030382/tillsyn/A 16146-2025 tillsynsbegäran.docx", "A 16146-2025")</f>
        <v/>
      </c>
      <c r="Y323">
        <f>HYPERLINK("https://klasma.github.io/Logging_030382/tillsynsmail/A 16146-2025 tillsynsbegäran mail.docx", "A 16146-2025")</f>
        <v/>
      </c>
    </row>
    <row r="324" ht="15" customHeight="1">
      <c r="A324" t="inlineStr">
        <is>
          <t>A 20671-2019</t>
        </is>
      </c>
      <c r="B324" s="1" t="n">
        <v>43572</v>
      </c>
      <c r="C324" s="1" t="n">
        <v>45798</v>
      </c>
      <c r="D324" t="inlineStr">
        <is>
          <t>UPPSALA LÄN</t>
        </is>
      </c>
      <c r="E324" t="inlineStr">
        <is>
          <t>UPPSALA</t>
        </is>
      </c>
      <c r="G324" t="n">
        <v>14.8</v>
      </c>
      <c r="H324" t="n">
        <v>1</v>
      </c>
      <c r="I324" t="n">
        <v>0</v>
      </c>
      <c r="J324" t="n">
        <v>2</v>
      </c>
      <c r="K324" t="n">
        <v>0</v>
      </c>
      <c r="L324" t="n">
        <v>0</v>
      </c>
      <c r="M324" t="n">
        <v>0</v>
      </c>
      <c r="N324" t="n">
        <v>0</v>
      </c>
      <c r="O324" t="n">
        <v>2</v>
      </c>
      <c r="P324" t="n">
        <v>0</v>
      </c>
      <c r="Q324" t="n">
        <v>2</v>
      </c>
      <c r="R324" s="2" t="inlineStr">
        <is>
          <t>Gulsparv
Svartöra</t>
        </is>
      </c>
      <c r="S324">
        <f>HYPERLINK("https://klasma.github.io/Logging_0380/artfynd/A 20671-2019 artfynd.xlsx", "A 20671-2019")</f>
        <v/>
      </c>
      <c r="T324">
        <f>HYPERLINK("https://klasma.github.io/Logging_0380/kartor/A 20671-2019 karta.png", "A 20671-2019")</f>
        <v/>
      </c>
      <c r="V324">
        <f>HYPERLINK("https://klasma.github.io/Logging_0380/klagomål/A 20671-2019 FSC-klagomål.docx", "A 20671-2019")</f>
        <v/>
      </c>
      <c r="W324">
        <f>HYPERLINK("https://klasma.github.io/Logging_0380/klagomålsmail/A 20671-2019 FSC-klagomål mail.docx", "A 20671-2019")</f>
        <v/>
      </c>
      <c r="X324">
        <f>HYPERLINK("https://klasma.github.io/Logging_0380/tillsyn/A 20671-2019 tillsynsbegäran.docx", "A 20671-2019")</f>
        <v/>
      </c>
      <c r="Y324">
        <f>HYPERLINK("https://klasma.github.io/Logging_0380/tillsynsmail/A 20671-2019 tillsynsbegäran mail.docx", "A 20671-2019")</f>
        <v/>
      </c>
      <c r="Z324">
        <f>HYPERLINK("https://klasma.github.io/Logging_0380/fåglar/A 20671-2019 prioriterade fågelarter.docx", "A 20671-2019")</f>
        <v/>
      </c>
    </row>
    <row r="325" ht="15" customHeight="1">
      <c r="A325" t="inlineStr">
        <is>
          <t>A 25607-2019</t>
        </is>
      </c>
      <c r="B325" s="1" t="n">
        <v>43607</v>
      </c>
      <c r="C325" s="1" t="n">
        <v>45798</v>
      </c>
      <c r="D325" t="inlineStr">
        <is>
          <t>UPPSALA LÄN</t>
        </is>
      </c>
      <c r="E325" t="inlineStr">
        <is>
          <t>UPPSALA</t>
        </is>
      </c>
      <c r="G325" t="n">
        <v>1.1</v>
      </c>
      <c r="H325" t="n">
        <v>2</v>
      </c>
      <c r="I325" t="n">
        <v>0</v>
      </c>
      <c r="J325" t="n">
        <v>0</v>
      </c>
      <c r="K325" t="n">
        <v>0</v>
      </c>
      <c r="L325" t="n">
        <v>0</v>
      </c>
      <c r="M325" t="n">
        <v>0</v>
      </c>
      <c r="N325" t="n">
        <v>0</v>
      </c>
      <c r="O325" t="n">
        <v>0</v>
      </c>
      <c r="P325" t="n">
        <v>0</v>
      </c>
      <c r="Q325" t="n">
        <v>2</v>
      </c>
      <c r="R325" s="2" t="inlineStr">
        <is>
          <t>Större vattensalamander
Mindre vattensalamander</t>
        </is>
      </c>
      <c r="S325">
        <f>HYPERLINK("https://klasma.github.io/Logging_0380/artfynd/A 25607-2019 artfynd.xlsx", "A 25607-2019")</f>
        <v/>
      </c>
      <c r="T325">
        <f>HYPERLINK("https://klasma.github.io/Logging_0380/kartor/A 25607-2019 karta.png", "A 25607-2019")</f>
        <v/>
      </c>
      <c r="V325">
        <f>HYPERLINK("https://klasma.github.io/Logging_0380/klagomål/A 25607-2019 FSC-klagomål.docx", "A 25607-2019")</f>
        <v/>
      </c>
      <c r="W325">
        <f>HYPERLINK("https://klasma.github.io/Logging_0380/klagomålsmail/A 25607-2019 FSC-klagomål mail.docx", "A 25607-2019")</f>
        <v/>
      </c>
      <c r="X325">
        <f>HYPERLINK("https://klasma.github.io/Logging_0380/tillsyn/A 25607-2019 tillsynsbegäran.docx", "A 25607-2019")</f>
        <v/>
      </c>
      <c r="Y325">
        <f>HYPERLINK("https://klasma.github.io/Logging_0380/tillsynsmail/A 25607-2019 tillsynsbegäran mail.docx", "A 25607-2019")</f>
        <v/>
      </c>
    </row>
    <row r="326" ht="15" customHeight="1">
      <c r="A326" t="inlineStr">
        <is>
          <t>A 34066-2019</t>
        </is>
      </c>
      <c r="B326" s="1" t="n">
        <v>43654</v>
      </c>
      <c r="C326" s="1" t="n">
        <v>45798</v>
      </c>
      <c r="D326" t="inlineStr">
        <is>
          <t>UPPSALA LÄN</t>
        </is>
      </c>
      <c r="E326" t="inlineStr">
        <is>
          <t>UPPSALA</t>
        </is>
      </c>
      <c r="G326" t="n">
        <v>1.3</v>
      </c>
      <c r="H326" t="n">
        <v>0</v>
      </c>
      <c r="I326" t="n">
        <v>0</v>
      </c>
      <c r="J326" t="n">
        <v>2</v>
      </c>
      <c r="K326" t="n">
        <v>0</v>
      </c>
      <c r="L326" t="n">
        <v>0</v>
      </c>
      <c r="M326" t="n">
        <v>0</v>
      </c>
      <c r="N326" t="n">
        <v>0</v>
      </c>
      <c r="O326" t="n">
        <v>2</v>
      </c>
      <c r="P326" t="n">
        <v>0</v>
      </c>
      <c r="Q326" t="n">
        <v>2</v>
      </c>
      <c r="R326" s="2" t="inlineStr">
        <is>
          <t>Asppraktbagge
Grön aspvedbock</t>
        </is>
      </c>
      <c r="S326">
        <f>HYPERLINK("https://klasma.github.io/Logging_0380/artfynd/A 34066-2019 artfynd.xlsx", "A 34066-2019")</f>
        <v/>
      </c>
      <c r="T326">
        <f>HYPERLINK("https://klasma.github.io/Logging_0380/kartor/A 34066-2019 karta.png", "A 34066-2019")</f>
        <v/>
      </c>
      <c r="V326">
        <f>HYPERLINK("https://klasma.github.io/Logging_0380/klagomål/A 34066-2019 FSC-klagomål.docx", "A 34066-2019")</f>
        <v/>
      </c>
      <c r="W326">
        <f>HYPERLINK("https://klasma.github.io/Logging_0380/klagomålsmail/A 34066-2019 FSC-klagomål mail.docx", "A 34066-2019")</f>
        <v/>
      </c>
      <c r="X326">
        <f>HYPERLINK("https://klasma.github.io/Logging_0380/tillsyn/A 34066-2019 tillsynsbegäran.docx", "A 34066-2019")</f>
        <v/>
      </c>
      <c r="Y326">
        <f>HYPERLINK("https://klasma.github.io/Logging_0380/tillsynsmail/A 34066-2019 tillsynsbegäran mail.docx", "A 34066-2019")</f>
        <v/>
      </c>
    </row>
    <row r="327" ht="15" customHeight="1">
      <c r="A327" t="inlineStr">
        <is>
          <t>A 35563-2019</t>
        </is>
      </c>
      <c r="B327" s="1" t="n">
        <v>43664</v>
      </c>
      <c r="C327" s="1" t="n">
        <v>45798</v>
      </c>
      <c r="D327" t="inlineStr">
        <is>
          <t>UPPSALA LÄN</t>
        </is>
      </c>
      <c r="E327" t="inlineStr">
        <is>
          <t>TIERP</t>
        </is>
      </c>
      <c r="F327" t="inlineStr">
        <is>
          <t>Bergvik skog öst AB</t>
        </is>
      </c>
      <c r="G327" t="n">
        <v>4.6</v>
      </c>
      <c r="H327" t="n">
        <v>1</v>
      </c>
      <c r="I327" t="n">
        <v>2</v>
      </c>
      <c r="J327" t="n">
        <v>0</v>
      </c>
      <c r="K327" t="n">
        <v>0</v>
      </c>
      <c r="L327" t="n">
        <v>0</v>
      </c>
      <c r="M327" t="n">
        <v>0</v>
      </c>
      <c r="N327" t="n">
        <v>0</v>
      </c>
      <c r="O327" t="n">
        <v>0</v>
      </c>
      <c r="P327" t="n">
        <v>0</v>
      </c>
      <c r="Q327" t="n">
        <v>2</v>
      </c>
      <c r="R327" s="2" t="inlineStr">
        <is>
          <t>Nästrot
Tibast</t>
        </is>
      </c>
      <c r="S327">
        <f>HYPERLINK("https://klasma.github.io/Logging_0360/artfynd/A 35563-2019 artfynd.xlsx", "A 35563-2019")</f>
        <v/>
      </c>
      <c r="T327">
        <f>HYPERLINK("https://klasma.github.io/Logging_0360/kartor/A 35563-2019 karta.png", "A 35563-2019")</f>
        <v/>
      </c>
      <c r="V327">
        <f>HYPERLINK("https://klasma.github.io/Logging_0360/klagomål/A 35563-2019 FSC-klagomål.docx", "A 35563-2019")</f>
        <v/>
      </c>
      <c r="W327">
        <f>HYPERLINK("https://klasma.github.io/Logging_0360/klagomålsmail/A 35563-2019 FSC-klagomål mail.docx", "A 35563-2019")</f>
        <v/>
      </c>
      <c r="X327">
        <f>HYPERLINK("https://klasma.github.io/Logging_0360/tillsyn/A 35563-2019 tillsynsbegäran.docx", "A 35563-2019")</f>
        <v/>
      </c>
      <c r="Y327">
        <f>HYPERLINK("https://klasma.github.io/Logging_0360/tillsynsmail/A 35563-2019 tillsynsbegäran mail.docx", "A 35563-2019")</f>
        <v/>
      </c>
    </row>
    <row r="328" ht="15" customHeight="1">
      <c r="A328" t="inlineStr">
        <is>
          <t>A 52165-2019</t>
        </is>
      </c>
      <c r="B328" s="1" t="n">
        <v>43742</v>
      </c>
      <c r="C328" s="1" t="n">
        <v>45798</v>
      </c>
      <c r="D328" t="inlineStr">
        <is>
          <t>UPPSALA LÄN</t>
        </is>
      </c>
      <c r="E328" t="inlineStr">
        <is>
          <t>UPPSALA</t>
        </is>
      </c>
      <c r="F328" t="inlineStr">
        <is>
          <t>Allmännings- och besparingsskogar</t>
        </is>
      </c>
      <c r="G328" t="n">
        <v>28.7</v>
      </c>
      <c r="H328" t="n">
        <v>2</v>
      </c>
      <c r="I328" t="n">
        <v>2</v>
      </c>
      <c r="J328" t="n">
        <v>0</v>
      </c>
      <c r="K328" t="n">
        <v>0</v>
      </c>
      <c r="L328" t="n">
        <v>0</v>
      </c>
      <c r="M328" t="n">
        <v>0</v>
      </c>
      <c r="N328" t="n">
        <v>0</v>
      </c>
      <c r="O328" t="n">
        <v>0</v>
      </c>
      <c r="P328" t="n">
        <v>0</v>
      </c>
      <c r="Q328" t="n">
        <v>2</v>
      </c>
      <c r="R328" s="2" t="inlineStr">
        <is>
          <t>Korallrot
Spindelblomster</t>
        </is>
      </c>
      <c r="S328">
        <f>HYPERLINK("https://klasma.github.io/Logging_0380/artfynd/A 52165-2019 artfynd.xlsx", "A 52165-2019")</f>
        <v/>
      </c>
      <c r="T328">
        <f>HYPERLINK("https://klasma.github.io/Logging_0380/kartor/A 52165-2019 karta.png", "A 52165-2019")</f>
        <v/>
      </c>
      <c r="V328">
        <f>HYPERLINK("https://klasma.github.io/Logging_0380/klagomål/A 52165-2019 FSC-klagomål.docx", "A 52165-2019")</f>
        <v/>
      </c>
      <c r="W328">
        <f>HYPERLINK("https://klasma.github.io/Logging_0380/klagomålsmail/A 52165-2019 FSC-klagomål mail.docx", "A 52165-2019")</f>
        <v/>
      </c>
      <c r="X328">
        <f>HYPERLINK("https://klasma.github.io/Logging_0380/tillsyn/A 52165-2019 tillsynsbegäran.docx", "A 52165-2019")</f>
        <v/>
      </c>
      <c r="Y328">
        <f>HYPERLINK("https://klasma.github.io/Logging_0380/tillsynsmail/A 52165-2019 tillsynsbegäran mail.docx", "A 52165-2019")</f>
        <v/>
      </c>
    </row>
    <row r="329" ht="15" customHeight="1">
      <c r="A329" t="inlineStr">
        <is>
          <t>A 60083-2019</t>
        </is>
      </c>
      <c r="B329" s="1" t="n">
        <v>43777</v>
      </c>
      <c r="C329" s="1" t="n">
        <v>45798</v>
      </c>
      <c r="D329" t="inlineStr">
        <is>
          <t>UPPSALA LÄN</t>
        </is>
      </c>
      <c r="E329" t="inlineStr">
        <is>
          <t>TIERP</t>
        </is>
      </c>
      <c r="G329" t="n">
        <v>2.7</v>
      </c>
      <c r="H329" t="n">
        <v>0</v>
      </c>
      <c r="I329" t="n">
        <v>2</v>
      </c>
      <c r="J329" t="n">
        <v>0</v>
      </c>
      <c r="K329" t="n">
        <v>0</v>
      </c>
      <c r="L329" t="n">
        <v>0</v>
      </c>
      <c r="M329" t="n">
        <v>0</v>
      </c>
      <c r="N329" t="n">
        <v>0</v>
      </c>
      <c r="O329" t="n">
        <v>0</v>
      </c>
      <c r="P329" t="n">
        <v>0</v>
      </c>
      <c r="Q329" t="n">
        <v>2</v>
      </c>
      <c r="R329" s="2" t="inlineStr">
        <is>
          <t>Granbarkgnagare
Skarp dropptaggsvamp</t>
        </is>
      </c>
      <c r="S329">
        <f>HYPERLINK("https://klasma.github.io/Logging_0360/artfynd/A 60083-2019 artfynd.xlsx", "A 60083-2019")</f>
        <v/>
      </c>
      <c r="T329">
        <f>HYPERLINK("https://klasma.github.io/Logging_0360/kartor/A 60083-2019 karta.png", "A 60083-2019")</f>
        <v/>
      </c>
      <c r="V329">
        <f>HYPERLINK("https://klasma.github.io/Logging_0360/klagomål/A 60083-2019 FSC-klagomål.docx", "A 60083-2019")</f>
        <v/>
      </c>
      <c r="W329">
        <f>HYPERLINK("https://klasma.github.io/Logging_0360/klagomålsmail/A 60083-2019 FSC-klagomål mail.docx", "A 60083-2019")</f>
        <v/>
      </c>
      <c r="X329">
        <f>HYPERLINK("https://klasma.github.io/Logging_0360/tillsyn/A 60083-2019 tillsynsbegäran.docx", "A 60083-2019")</f>
        <v/>
      </c>
      <c r="Y329">
        <f>HYPERLINK("https://klasma.github.io/Logging_0360/tillsynsmail/A 60083-2019 tillsynsbegäran mail.docx", "A 60083-2019")</f>
        <v/>
      </c>
    </row>
    <row r="330" ht="15" customHeight="1">
      <c r="A330" t="inlineStr">
        <is>
          <t>A 2172-2020</t>
        </is>
      </c>
      <c r="B330" s="1" t="n">
        <v>43846</v>
      </c>
      <c r="C330" s="1" t="n">
        <v>45798</v>
      </c>
      <c r="D330" t="inlineStr">
        <is>
          <t>UPPSALA LÄN</t>
        </is>
      </c>
      <c r="E330" t="inlineStr">
        <is>
          <t>ÖSTHAMMAR</t>
        </is>
      </c>
      <c r="G330" t="n">
        <v>3.8</v>
      </c>
      <c r="H330" t="n">
        <v>0</v>
      </c>
      <c r="I330" t="n">
        <v>1</v>
      </c>
      <c r="J330" t="n">
        <v>1</v>
      </c>
      <c r="K330" t="n">
        <v>0</v>
      </c>
      <c r="L330" t="n">
        <v>0</v>
      </c>
      <c r="M330" t="n">
        <v>0</v>
      </c>
      <c r="N330" t="n">
        <v>0</v>
      </c>
      <c r="O330" t="n">
        <v>1</v>
      </c>
      <c r="P330" t="n">
        <v>0</v>
      </c>
      <c r="Q330" t="n">
        <v>2</v>
      </c>
      <c r="R330" s="2" t="inlineStr">
        <is>
          <t>Flattoppad klubbsvamp
Zontaggsvamp</t>
        </is>
      </c>
      <c r="S330">
        <f>HYPERLINK("https://klasma.github.io/Logging_0382/artfynd/A 2172-2020 artfynd.xlsx", "A 2172-2020")</f>
        <v/>
      </c>
      <c r="T330">
        <f>HYPERLINK("https://klasma.github.io/Logging_0382/kartor/A 2172-2020 karta.png", "A 2172-2020")</f>
        <v/>
      </c>
      <c r="V330">
        <f>HYPERLINK("https://klasma.github.io/Logging_0382/klagomål/A 2172-2020 FSC-klagomål.docx", "A 2172-2020")</f>
        <v/>
      </c>
      <c r="W330">
        <f>HYPERLINK("https://klasma.github.io/Logging_0382/klagomålsmail/A 2172-2020 FSC-klagomål mail.docx", "A 2172-2020")</f>
        <v/>
      </c>
      <c r="X330">
        <f>HYPERLINK("https://klasma.github.io/Logging_0382/tillsyn/A 2172-2020 tillsynsbegäran.docx", "A 2172-2020")</f>
        <v/>
      </c>
      <c r="Y330">
        <f>HYPERLINK("https://klasma.github.io/Logging_0382/tillsynsmail/A 2172-2020 tillsynsbegäran mail.docx", "A 2172-2020")</f>
        <v/>
      </c>
    </row>
    <row r="331" ht="15" customHeight="1">
      <c r="A331" t="inlineStr">
        <is>
          <t>A 9867-2020</t>
        </is>
      </c>
      <c r="B331" s="1" t="n">
        <v>43882</v>
      </c>
      <c r="C331" s="1" t="n">
        <v>45798</v>
      </c>
      <c r="D331" t="inlineStr">
        <is>
          <t>UPPSALA LÄN</t>
        </is>
      </c>
      <c r="E331" t="inlineStr">
        <is>
          <t>ÖSTHAMMAR</t>
        </is>
      </c>
      <c r="F331" t="inlineStr">
        <is>
          <t>Bergvik skog öst AB</t>
        </is>
      </c>
      <c r="G331" t="n">
        <v>11.1</v>
      </c>
      <c r="H331" t="n">
        <v>1</v>
      </c>
      <c r="I331" t="n">
        <v>1</v>
      </c>
      <c r="J331" t="n">
        <v>0</v>
      </c>
      <c r="K331" t="n">
        <v>0</v>
      </c>
      <c r="L331" t="n">
        <v>0</v>
      </c>
      <c r="M331" t="n">
        <v>0</v>
      </c>
      <c r="N331" t="n">
        <v>0</v>
      </c>
      <c r="O331" t="n">
        <v>0</v>
      </c>
      <c r="P331" t="n">
        <v>0</v>
      </c>
      <c r="Q331" t="n">
        <v>2</v>
      </c>
      <c r="R331" s="2" t="inlineStr">
        <is>
          <t>Gräsull
Revlummer</t>
        </is>
      </c>
      <c r="S331">
        <f>HYPERLINK("https://klasma.github.io/Logging_0382/artfynd/A 9867-2020 artfynd.xlsx", "A 9867-2020")</f>
        <v/>
      </c>
      <c r="T331">
        <f>HYPERLINK("https://klasma.github.io/Logging_0382/kartor/A 9867-2020 karta.png", "A 9867-2020")</f>
        <v/>
      </c>
      <c r="V331">
        <f>HYPERLINK("https://klasma.github.io/Logging_0382/klagomål/A 9867-2020 FSC-klagomål.docx", "A 9867-2020")</f>
        <v/>
      </c>
      <c r="W331">
        <f>HYPERLINK("https://klasma.github.io/Logging_0382/klagomålsmail/A 9867-2020 FSC-klagomål mail.docx", "A 9867-2020")</f>
        <v/>
      </c>
      <c r="X331">
        <f>HYPERLINK("https://klasma.github.io/Logging_0382/tillsyn/A 9867-2020 tillsynsbegäran.docx", "A 9867-2020")</f>
        <v/>
      </c>
      <c r="Y331">
        <f>HYPERLINK("https://klasma.github.io/Logging_0382/tillsynsmail/A 9867-2020 tillsynsbegäran mail.docx", "A 9867-2020")</f>
        <v/>
      </c>
    </row>
    <row r="332" ht="15" customHeight="1">
      <c r="A332" t="inlineStr">
        <is>
          <t>A 14181-2020</t>
        </is>
      </c>
      <c r="B332" s="1" t="n">
        <v>43907</v>
      </c>
      <c r="C332" s="1" t="n">
        <v>45798</v>
      </c>
      <c r="D332" t="inlineStr">
        <is>
          <t>UPPSALA LÄN</t>
        </is>
      </c>
      <c r="E332" t="inlineStr">
        <is>
          <t>ENKÖPING</t>
        </is>
      </c>
      <c r="F332" t="inlineStr">
        <is>
          <t>Kyrkan</t>
        </is>
      </c>
      <c r="G332" t="n">
        <v>2.5</v>
      </c>
      <c r="H332" t="n">
        <v>0</v>
      </c>
      <c r="I332" t="n">
        <v>1</v>
      </c>
      <c r="J332" t="n">
        <v>1</v>
      </c>
      <c r="K332" t="n">
        <v>0</v>
      </c>
      <c r="L332" t="n">
        <v>0</v>
      </c>
      <c r="M332" t="n">
        <v>0</v>
      </c>
      <c r="N332" t="n">
        <v>0</v>
      </c>
      <c r="O332" t="n">
        <v>1</v>
      </c>
      <c r="P332" t="n">
        <v>0</v>
      </c>
      <c r="Q332" t="n">
        <v>2</v>
      </c>
      <c r="R332" s="2" t="inlineStr">
        <is>
          <t>Flentimotej
Svart trolldruva</t>
        </is>
      </c>
      <c r="S332">
        <f>HYPERLINK("https://klasma.github.io/Logging_0381/artfynd/A 14181-2020 artfynd.xlsx", "A 14181-2020")</f>
        <v/>
      </c>
      <c r="T332">
        <f>HYPERLINK("https://klasma.github.io/Logging_0381/kartor/A 14181-2020 karta.png", "A 14181-2020")</f>
        <v/>
      </c>
      <c r="V332">
        <f>HYPERLINK("https://klasma.github.io/Logging_0381/klagomål/A 14181-2020 FSC-klagomål.docx", "A 14181-2020")</f>
        <v/>
      </c>
      <c r="W332">
        <f>HYPERLINK("https://klasma.github.io/Logging_0381/klagomålsmail/A 14181-2020 FSC-klagomål mail.docx", "A 14181-2020")</f>
        <v/>
      </c>
      <c r="X332">
        <f>HYPERLINK("https://klasma.github.io/Logging_0381/tillsyn/A 14181-2020 tillsynsbegäran.docx", "A 14181-2020")</f>
        <v/>
      </c>
      <c r="Y332">
        <f>HYPERLINK("https://klasma.github.io/Logging_0381/tillsynsmail/A 14181-2020 tillsynsbegäran mail.docx", "A 14181-2020")</f>
        <v/>
      </c>
    </row>
    <row r="333" ht="15" customHeight="1">
      <c r="A333" t="inlineStr">
        <is>
          <t>A 18468-2020</t>
        </is>
      </c>
      <c r="B333" s="1" t="n">
        <v>43929</v>
      </c>
      <c r="C333" s="1" t="n">
        <v>45798</v>
      </c>
      <c r="D333" t="inlineStr">
        <is>
          <t>UPPSALA LÄN</t>
        </is>
      </c>
      <c r="E333" t="inlineStr">
        <is>
          <t>UPPSALA</t>
        </is>
      </c>
      <c r="G333" t="n">
        <v>0.5</v>
      </c>
      <c r="H333" t="n">
        <v>1</v>
      </c>
      <c r="I333" t="n">
        <v>1</v>
      </c>
      <c r="J333" t="n">
        <v>0</v>
      </c>
      <c r="K333" t="n">
        <v>0</v>
      </c>
      <c r="L333" t="n">
        <v>0</v>
      </c>
      <c r="M333" t="n">
        <v>0</v>
      </c>
      <c r="N333" t="n">
        <v>0</v>
      </c>
      <c r="O333" t="n">
        <v>0</v>
      </c>
      <c r="P333" t="n">
        <v>0</v>
      </c>
      <c r="Q333" t="n">
        <v>2</v>
      </c>
      <c r="R333" s="2" t="inlineStr">
        <is>
          <t>Mindre märgborre
Gullviva</t>
        </is>
      </c>
      <c r="S333">
        <f>HYPERLINK("https://klasma.github.io/Logging_0380/artfynd/A 18468-2020 artfynd.xlsx", "A 18468-2020")</f>
        <v/>
      </c>
      <c r="T333">
        <f>HYPERLINK("https://klasma.github.io/Logging_0380/kartor/A 18468-2020 karta.png", "A 18468-2020")</f>
        <v/>
      </c>
      <c r="V333">
        <f>HYPERLINK("https://klasma.github.io/Logging_0380/klagomål/A 18468-2020 FSC-klagomål.docx", "A 18468-2020")</f>
        <v/>
      </c>
      <c r="W333">
        <f>HYPERLINK("https://klasma.github.io/Logging_0380/klagomålsmail/A 18468-2020 FSC-klagomål mail.docx", "A 18468-2020")</f>
        <v/>
      </c>
      <c r="X333">
        <f>HYPERLINK("https://klasma.github.io/Logging_0380/tillsyn/A 18468-2020 tillsynsbegäran.docx", "A 18468-2020")</f>
        <v/>
      </c>
      <c r="Y333">
        <f>HYPERLINK("https://klasma.github.io/Logging_0380/tillsynsmail/A 18468-2020 tillsynsbegäran mail.docx", "A 18468-2020")</f>
        <v/>
      </c>
    </row>
    <row r="334" ht="15" customHeight="1">
      <c r="A334" t="inlineStr">
        <is>
          <t>A 18788-2020</t>
        </is>
      </c>
      <c r="B334" s="1" t="n">
        <v>43931</v>
      </c>
      <c r="C334" s="1" t="n">
        <v>45798</v>
      </c>
      <c r="D334" t="inlineStr">
        <is>
          <t>UPPSALA LÄN</t>
        </is>
      </c>
      <c r="E334" t="inlineStr">
        <is>
          <t>TIERP</t>
        </is>
      </c>
      <c r="F334" t="inlineStr">
        <is>
          <t>Bergvik skog väst AB</t>
        </is>
      </c>
      <c r="G334" t="n">
        <v>2.4</v>
      </c>
      <c r="H334" t="n">
        <v>0</v>
      </c>
      <c r="I334" t="n">
        <v>0</v>
      </c>
      <c r="J334" t="n">
        <v>2</v>
      </c>
      <c r="K334" t="n">
        <v>0</v>
      </c>
      <c r="L334" t="n">
        <v>0</v>
      </c>
      <c r="M334" t="n">
        <v>0</v>
      </c>
      <c r="N334" t="n">
        <v>0</v>
      </c>
      <c r="O334" t="n">
        <v>2</v>
      </c>
      <c r="P334" t="n">
        <v>0</v>
      </c>
      <c r="Q334" t="n">
        <v>2</v>
      </c>
      <c r="R334" s="2" t="inlineStr">
        <is>
          <t>Gullklöver
Rödbrun blekspik</t>
        </is>
      </c>
      <c r="S334">
        <f>HYPERLINK("https://klasma.github.io/Logging_0360/artfynd/A 18788-2020 artfynd.xlsx", "A 18788-2020")</f>
        <v/>
      </c>
      <c r="T334">
        <f>HYPERLINK("https://klasma.github.io/Logging_0360/kartor/A 18788-2020 karta.png", "A 18788-2020")</f>
        <v/>
      </c>
      <c r="V334">
        <f>HYPERLINK("https://klasma.github.io/Logging_0360/klagomål/A 18788-2020 FSC-klagomål.docx", "A 18788-2020")</f>
        <v/>
      </c>
      <c r="W334">
        <f>HYPERLINK("https://klasma.github.io/Logging_0360/klagomålsmail/A 18788-2020 FSC-klagomål mail.docx", "A 18788-2020")</f>
        <v/>
      </c>
      <c r="X334">
        <f>HYPERLINK("https://klasma.github.io/Logging_0360/tillsyn/A 18788-2020 tillsynsbegäran.docx", "A 18788-2020")</f>
        <v/>
      </c>
      <c r="Y334">
        <f>HYPERLINK("https://klasma.github.io/Logging_0360/tillsynsmail/A 18788-2020 tillsynsbegäran mail.docx", "A 18788-2020")</f>
        <v/>
      </c>
    </row>
    <row r="335" ht="15" customHeight="1">
      <c r="A335" t="inlineStr">
        <is>
          <t>A 20778-2020</t>
        </is>
      </c>
      <c r="B335" s="1" t="n">
        <v>43949</v>
      </c>
      <c r="C335" s="1" t="n">
        <v>45798</v>
      </c>
      <c r="D335" t="inlineStr">
        <is>
          <t>UPPSALA LÄN</t>
        </is>
      </c>
      <c r="E335" t="inlineStr">
        <is>
          <t>KNIVSTA</t>
        </is>
      </c>
      <c r="G335" t="n">
        <v>2.9</v>
      </c>
      <c r="H335" t="n">
        <v>0</v>
      </c>
      <c r="I335" t="n">
        <v>1</v>
      </c>
      <c r="J335" t="n">
        <v>1</v>
      </c>
      <c r="K335" t="n">
        <v>0</v>
      </c>
      <c r="L335" t="n">
        <v>0</v>
      </c>
      <c r="M335" t="n">
        <v>0</v>
      </c>
      <c r="N335" t="n">
        <v>0</v>
      </c>
      <c r="O335" t="n">
        <v>1</v>
      </c>
      <c r="P335" t="n">
        <v>0</v>
      </c>
      <c r="Q335" t="n">
        <v>2</v>
      </c>
      <c r="R335" s="2" t="inlineStr">
        <is>
          <t>Gultoppig fingersvamp
Trådticka</t>
        </is>
      </c>
      <c r="S335">
        <f>HYPERLINK("https://klasma.github.io/Logging_0330/artfynd/A 20778-2020 artfynd.xlsx", "A 20778-2020")</f>
        <v/>
      </c>
      <c r="T335">
        <f>HYPERLINK("https://klasma.github.io/Logging_0330/kartor/A 20778-2020 karta.png", "A 20778-2020")</f>
        <v/>
      </c>
      <c r="V335">
        <f>HYPERLINK("https://klasma.github.io/Logging_0330/klagomål/A 20778-2020 FSC-klagomål.docx", "A 20778-2020")</f>
        <v/>
      </c>
      <c r="W335">
        <f>HYPERLINK("https://klasma.github.io/Logging_0330/klagomålsmail/A 20778-2020 FSC-klagomål mail.docx", "A 20778-2020")</f>
        <v/>
      </c>
      <c r="X335">
        <f>HYPERLINK("https://klasma.github.io/Logging_0330/tillsyn/A 20778-2020 tillsynsbegäran.docx", "A 20778-2020")</f>
        <v/>
      </c>
      <c r="Y335">
        <f>HYPERLINK("https://klasma.github.io/Logging_0330/tillsynsmail/A 20778-2020 tillsynsbegäran mail.docx", "A 20778-2020")</f>
        <v/>
      </c>
    </row>
    <row r="336" ht="15" customHeight="1">
      <c r="A336" t="inlineStr">
        <is>
          <t>A 24031-2020</t>
        </is>
      </c>
      <c r="B336" s="1" t="n">
        <v>43971</v>
      </c>
      <c r="C336" s="1" t="n">
        <v>45798</v>
      </c>
      <c r="D336" t="inlineStr">
        <is>
          <t>UPPSALA LÄN</t>
        </is>
      </c>
      <c r="E336" t="inlineStr">
        <is>
          <t>KNIVSTA</t>
        </is>
      </c>
      <c r="F336" t="inlineStr">
        <is>
          <t>Övriga statliga verk och myndigheter</t>
        </is>
      </c>
      <c r="G336" t="n">
        <v>2.4</v>
      </c>
      <c r="H336" t="n">
        <v>2</v>
      </c>
      <c r="I336" t="n">
        <v>0</v>
      </c>
      <c r="J336" t="n">
        <v>1</v>
      </c>
      <c r="K336" t="n">
        <v>0</v>
      </c>
      <c r="L336" t="n">
        <v>0</v>
      </c>
      <c r="M336" t="n">
        <v>0</v>
      </c>
      <c r="N336" t="n">
        <v>0</v>
      </c>
      <c r="O336" t="n">
        <v>1</v>
      </c>
      <c r="P336" t="n">
        <v>0</v>
      </c>
      <c r="Q336" t="n">
        <v>2</v>
      </c>
      <c r="R336" s="2" t="inlineStr">
        <is>
          <t>Grönsångare
Vanlig snok</t>
        </is>
      </c>
      <c r="S336">
        <f>HYPERLINK("https://klasma.github.io/Logging_0330/artfynd/A 24031-2020 artfynd.xlsx", "A 24031-2020")</f>
        <v/>
      </c>
      <c r="T336">
        <f>HYPERLINK("https://klasma.github.io/Logging_0330/kartor/A 24031-2020 karta.png", "A 24031-2020")</f>
        <v/>
      </c>
      <c r="V336">
        <f>HYPERLINK("https://klasma.github.io/Logging_0330/klagomål/A 24031-2020 FSC-klagomål.docx", "A 24031-2020")</f>
        <v/>
      </c>
      <c r="W336">
        <f>HYPERLINK("https://klasma.github.io/Logging_0330/klagomålsmail/A 24031-2020 FSC-klagomål mail.docx", "A 24031-2020")</f>
        <v/>
      </c>
      <c r="X336">
        <f>HYPERLINK("https://klasma.github.io/Logging_0330/tillsyn/A 24031-2020 tillsynsbegäran.docx", "A 24031-2020")</f>
        <v/>
      </c>
      <c r="Y336">
        <f>HYPERLINK("https://klasma.github.io/Logging_0330/tillsynsmail/A 24031-2020 tillsynsbegäran mail.docx", "A 24031-2020")</f>
        <v/>
      </c>
      <c r="Z336">
        <f>HYPERLINK("https://klasma.github.io/Logging_0330/fåglar/A 24031-2020 prioriterade fågelarter.docx", "A 24031-2020")</f>
        <v/>
      </c>
    </row>
    <row r="337" ht="15" customHeight="1">
      <c r="A337" t="inlineStr">
        <is>
          <t>A 29091-2020</t>
        </is>
      </c>
      <c r="B337" s="1" t="n">
        <v>44002</v>
      </c>
      <c r="C337" s="1" t="n">
        <v>45798</v>
      </c>
      <c r="D337" t="inlineStr">
        <is>
          <t>UPPSALA LÄN</t>
        </is>
      </c>
      <c r="E337" t="inlineStr">
        <is>
          <t>HEBY</t>
        </is>
      </c>
      <c r="G337" t="n">
        <v>2.6</v>
      </c>
      <c r="H337" t="n">
        <v>1</v>
      </c>
      <c r="I337" t="n">
        <v>1</v>
      </c>
      <c r="J337" t="n">
        <v>0</v>
      </c>
      <c r="K337" t="n">
        <v>1</v>
      </c>
      <c r="L337" t="n">
        <v>0</v>
      </c>
      <c r="M337" t="n">
        <v>0</v>
      </c>
      <c r="N337" t="n">
        <v>0</v>
      </c>
      <c r="O337" t="n">
        <v>1</v>
      </c>
      <c r="P337" t="n">
        <v>1</v>
      </c>
      <c r="Q337" t="n">
        <v>2</v>
      </c>
      <c r="R337" s="2" t="inlineStr">
        <is>
          <t>Knärot
Grönpyrola</t>
        </is>
      </c>
      <c r="S337">
        <f>HYPERLINK("https://klasma.github.io/Logging_0331/artfynd/A 29091-2020 artfynd.xlsx", "A 29091-2020")</f>
        <v/>
      </c>
      <c r="T337">
        <f>HYPERLINK("https://klasma.github.io/Logging_0331/kartor/A 29091-2020 karta.png", "A 29091-2020")</f>
        <v/>
      </c>
      <c r="U337">
        <f>HYPERLINK("https://klasma.github.io/Logging_0331/knärot/A 29091-2020 karta knärot.png", "A 29091-2020")</f>
        <v/>
      </c>
      <c r="V337">
        <f>HYPERLINK("https://klasma.github.io/Logging_0331/klagomål/A 29091-2020 FSC-klagomål.docx", "A 29091-2020")</f>
        <v/>
      </c>
      <c r="W337">
        <f>HYPERLINK("https://klasma.github.io/Logging_0331/klagomålsmail/A 29091-2020 FSC-klagomål mail.docx", "A 29091-2020")</f>
        <v/>
      </c>
      <c r="X337">
        <f>HYPERLINK("https://klasma.github.io/Logging_0331/tillsyn/A 29091-2020 tillsynsbegäran.docx", "A 29091-2020")</f>
        <v/>
      </c>
      <c r="Y337">
        <f>HYPERLINK("https://klasma.github.io/Logging_0331/tillsynsmail/A 29091-2020 tillsynsbegäran mail.docx", "A 29091-2020")</f>
        <v/>
      </c>
    </row>
    <row r="338" ht="15" customHeight="1">
      <c r="A338" t="inlineStr">
        <is>
          <t>A 36385-2020</t>
        </is>
      </c>
      <c r="B338" s="1" t="n">
        <v>44049</v>
      </c>
      <c r="C338" s="1" t="n">
        <v>45798</v>
      </c>
      <c r="D338" t="inlineStr">
        <is>
          <t>UPPSALA LÄN</t>
        </is>
      </c>
      <c r="E338" t="inlineStr">
        <is>
          <t>HEBY</t>
        </is>
      </c>
      <c r="F338" t="inlineStr">
        <is>
          <t>Bergvik skog väst AB</t>
        </is>
      </c>
      <c r="G338" t="n">
        <v>0.8</v>
      </c>
      <c r="H338" t="n">
        <v>1</v>
      </c>
      <c r="I338" t="n">
        <v>1</v>
      </c>
      <c r="J338" t="n">
        <v>0</v>
      </c>
      <c r="K338" t="n">
        <v>0</v>
      </c>
      <c r="L338" t="n">
        <v>0</v>
      </c>
      <c r="M338" t="n">
        <v>0</v>
      </c>
      <c r="N338" t="n">
        <v>0</v>
      </c>
      <c r="O338" t="n">
        <v>0</v>
      </c>
      <c r="P338" t="n">
        <v>0</v>
      </c>
      <c r="Q338" t="n">
        <v>2</v>
      </c>
      <c r="R338" s="2" t="inlineStr">
        <is>
          <t>Granbarkgnagare
Revlummer</t>
        </is>
      </c>
      <c r="S338">
        <f>HYPERLINK("https://klasma.github.io/Logging_0331/artfynd/A 36385-2020 artfynd.xlsx", "A 36385-2020")</f>
        <v/>
      </c>
      <c r="T338">
        <f>HYPERLINK("https://klasma.github.io/Logging_0331/kartor/A 36385-2020 karta.png", "A 36385-2020")</f>
        <v/>
      </c>
      <c r="V338">
        <f>HYPERLINK("https://klasma.github.io/Logging_0331/klagomål/A 36385-2020 FSC-klagomål.docx", "A 36385-2020")</f>
        <v/>
      </c>
      <c r="W338">
        <f>HYPERLINK("https://klasma.github.io/Logging_0331/klagomålsmail/A 36385-2020 FSC-klagomål mail.docx", "A 36385-2020")</f>
        <v/>
      </c>
      <c r="X338">
        <f>HYPERLINK("https://klasma.github.io/Logging_0331/tillsyn/A 36385-2020 tillsynsbegäran.docx", "A 36385-2020")</f>
        <v/>
      </c>
      <c r="Y338">
        <f>HYPERLINK("https://klasma.github.io/Logging_0331/tillsynsmail/A 36385-2020 tillsynsbegäran mail.docx", "A 36385-2020")</f>
        <v/>
      </c>
    </row>
    <row r="339" ht="15" customHeight="1">
      <c r="A339" t="inlineStr">
        <is>
          <t>A 37289-2020</t>
        </is>
      </c>
      <c r="B339" s="1" t="n">
        <v>44054</v>
      </c>
      <c r="C339" s="1" t="n">
        <v>45798</v>
      </c>
      <c r="D339" t="inlineStr">
        <is>
          <t>UPPSALA LÄN</t>
        </is>
      </c>
      <c r="E339" t="inlineStr">
        <is>
          <t>UPPSALA</t>
        </is>
      </c>
      <c r="F339" t="inlineStr">
        <is>
          <t>Allmännings- och besparingsskogar</t>
        </is>
      </c>
      <c r="G339" t="n">
        <v>13.5</v>
      </c>
      <c r="H339" t="n">
        <v>0</v>
      </c>
      <c r="I339" t="n">
        <v>1</v>
      </c>
      <c r="J339" t="n">
        <v>1</v>
      </c>
      <c r="K339" t="n">
        <v>0</v>
      </c>
      <c r="L339" t="n">
        <v>0</v>
      </c>
      <c r="M339" t="n">
        <v>0</v>
      </c>
      <c r="N339" t="n">
        <v>0</v>
      </c>
      <c r="O339" t="n">
        <v>1</v>
      </c>
      <c r="P339" t="n">
        <v>0</v>
      </c>
      <c r="Q339" t="n">
        <v>2</v>
      </c>
      <c r="R339" s="2" t="inlineStr">
        <is>
          <t>Vedtrappmossa
Granbarkgnagare</t>
        </is>
      </c>
      <c r="S339">
        <f>HYPERLINK("https://klasma.github.io/Logging_0380/artfynd/A 37289-2020 artfynd.xlsx", "A 37289-2020")</f>
        <v/>
      </c>
      <c r="T339">
        <f>HYPERLINK("https://klasma.github.io/Logging_0380/kartor/A 37289-2020 karta.png", "A 37289-2020")</f>
        <v/>
      </c>
      <c r="V339">
        <f>HYPERLINK("https://klasma.github.io/Logging_0380/klagomål/A 37289-2020 FSC-klagomål.docx", "A 37289-2020")</f>
        <v/>
      </c>
      <c r="W339">
        <f>HYPERLINK("https://klasma.github.io/Logging_0380/klagomålsmail/A 37289-2020 FSC-klagomål mail.docx", "A 37289-2020")</f>
        <v/>
      </c>
      <c r="X339">
        <f>HYPERLINK("https://klasma.github.io/Logging_0380/tillsyn/A 37289-2020 tillsynsbegäran.docx", "A 37289-2020")</f>
        <v/>
      </c>
      <c r="Y339">
        <f>HYPERLINK("https://klasma.github.io/Logging_0380/tillsynsmail/A 37289-2020 tillsynsbegäran mail.docx", "A 37289-2020")</f>
        <v/>
      </c>
    </row>
    <row r="340" ht="15" customHeight="1">
      <c r="A340" t="inlineStr">
        <is>
          <t>A 42520-2020</t>
        </is>
      </c>
      <c r="B340" s="1" t="n">
        <v>44077</v>
      </c>
      <c r="C340" s="1" t="n">
        <v>45798</v>
      </c>
      <c r="D340" t="inlineStr">
        <is>
          <t>UPPSALA LÄN</t>
        </is>
      </c>
      <c r="E340" t="inlineStr">
        <is>
          <t>ÖSTHAMMAR</t>
        </is>
      </c>
      <c r="G340" t="n">
        <v>2.8</v>
      </c>
      <c r="H340" t="n">
        <v>1</v>
      </c>
      <c r="I340" t="n">
        <v>2</v>
      </c>
      <c r="J340" t="n">
        <v>0</v>
      </c>
      <c r="K340" t="n">
        <v>0</v>
      </c>
      <c r="L340" t="n">
        <v>0</v>
      </c>
      <c r="M340" t="n">
        <v>0</v>
      </c>
      <c r="N340" t="n">
        <v>0</v>
      </c>
      <c r="O340" t="n">
        <v>0</v>
      </c>
      <c r="P340" t="n">
        <v>0</v>
      </c>
      <c r="Q340" t="n">
        <v>2</v>
      </c>
      <c r="R340" s="2" t="inlineStr">
        <is>
          <t>Hasselticka
Skogsknipprot</t>
        </is>
      </c>
      <c r="S340">
        <f>HYPERLINK("https://klasma.github.io/Logging_0382/artfynd/A 42520-2020 artfynd.xlsx", "A 42520-2020")</f>
        <v/>
      </c>
      <c r="T340">
        <f>HYPERLINK("https://klasma.github.io/Logging_0382/kartor/A 42520-2020 karta.png", "A 42520-2020")</f>
        <v/>
      </c>
      <c r="V340">
        <f>HYPERLINK("https://klasma.github.io/Logging_0382/klagomål/A 42520-2020 FSC-klagomål.docx", "A 42520-2020")</f>
        <v/>
      </c>
      <c r="W340">
        <f>HYPERLINK("https://klasma.github.io/Logging_0382/klagomålsmail/A 42520-2020 FSC-klagomål mail.docx", "A 42520-2020")</f>
        <v/>
      </c>
      <c r="X340">
        <f>HYPERLINK("https://klasma.github.io/Logging_0382/tillsyn/A 42520-2020 tillsynsbegäran.docx", "A 42520-2020")</f>
        <v/>
      </c>
      <c r="Y340">
        <f>HYPERLINK("https://klasma.github.io/Logging_0382/tillsynsmail/A 42520-2020 tillsynsbegäran mail.docx", "A 42520-2020")</f>
        <v/>
      </c>
    </row>
    <row r="341" ht="15" customHeight="1">
      <c r="A341" t="inlineStr">
        <is>
          <t>A 48100-2020</t>
        </is>
      </c>
      <c r="B341" s="1" t="n">
        <v>44101</v>
      </c>
      <c r="C341" s="1" t="n">
        <v>45798</v>
      </c>
      <c r="D341" t="inlineStr">
        <is>
          <t>UPPSALA LÄN</t>
        </is>
      </c>
      <c r="E341" t="inlineStr">
        <is>
          <t>UPPSALA</t>
        </is>
      </c>
      <c r="F341" t="inlineStr">
        <is>
          <t>Sveaskog</t>
        </is>
      </c>
      <c r="G341" t="n">
        <v>8.800000000000001</v>
      </c>
      <c r="H341" t="n">
        <v>1</v>
      </c>
      <c r="I341" t="n">
        <v>1</v>
      </c>
      <c r="J341" t="n">
        <v>0</v>
      </c>
      <c r="K341" t="n">
        <v>0</v>
      </c>
      <c r="L341" t="n">
        <v>0</v>
      </c>
      <c r="M341" t="n">
        <v>0</v>
      </c>
      <c r="N341" t="n">
        <v>0</v>
      </c>
      <c r="O341" t="n">
        <v>0</v>
      </c>
      <c r="P341" t="n">
        <v>0</v>
      </c>
      <c r="Q341" t="n">
        <v>2</v>
      </c>
      <c r="R341" s="2" t="inlineStr">
        <is>
          <t>Svavelriska
Blåsippa</t>
        </is>
      </c>
      <c r="S341">
        <f>HYPERLINK("https://klasma.github.io/Logging_0380/artfynd/A 48100-2020 artfynd.xlsx", "A 48100-2020")</f>
        <v/>
      </c>
      <c r="T341">
        <f>HYPERLINK("https://klasma.github.io/Logging_0380/kartor/A 48100-2020 karta.png", "A 48100-2020")</f>
        <v/>
      </c>
      <c r="V341">
        <f>HYPERLINK("https://klasma.github.io/Logging_0380/klagomål/A 48100-2020 FSC-klagomål.docx", "A 48100-2020")</f>
        <v/>
      </c>
      <c r="W341">
        <f>HYPERLINK("https://klasma.github.io/Logging_0380/klagomålsmail/A 48100-2020 FSC-klagomål mail.docx", "A 48100-2020")</f>
        <v/>
      </c>
      <c r="X341">
        <f>HYPERLINK("https://klasma.github.io/Logging_0380/tillsyn/A 48100-2020 tillsynsbegäran.docx", "A 48100-2020")</f>
        <v/>
      </c>
      <c r="Y341">
        <f>HYPERLINK("https://klasma.github.io/Logging_0380/tillsynsmail/A 48100-2020 tillsynsbegäran mail.docx", "A 48100-2020")</f>
        <v/>
      </c>
    </row>
    <row r="342" ht="15" customHeight="1">
      <c r="A342" t="inlineStr">
        <is>
          <t>A 50415-2020</t>
        </is>
      </c>
      <c r="B342" s="1" t="n">
        <v>44110</v>
      </c>
      <c r="C342" s="1" t="n">
        <v>45798</v>
      </c>
      <c r="D342" t="inlineStr">
        <is>
          <t>UPPSALA LÄN</t>
        </is>
      </c>
      <c r="E342" t="inlineStr">
        <is>
          <t>ÄLVKARLEBY</t>
        </is>
      </c>
      <c r="F342" t="inlineStr">
        <is>
          <t>Bergvik skog väst AB</t>
        </is>
      </c>
      <c r="G342" t="n">
        <v>2.9</v>
      </c>
      <c r="H342" t="n">
        <v>1</v>
      </c>
      <c r="I342" t="n">
        <v>0</v>
      </c>
      <c r="J342" t="n">
        <v>2</v>
      </c>
      <c r="K342" t="n">
        <v>0</v>
      </c>
      <c r="L342" t="n">
        <v>0</v>
      </c>
      <c r="M342" t="n">
        <v>0</v>
      </c>
      <c r="N342" t="n">
        <v>0</v>
      </c>
      <c r="O342" t="n">
        <v>2</v>
      </c>
      <c r="P342" t="n">
        <v>0</v>
      </c>
      <c r="Q342" t="n">
        <v>2</v>
      </c>
      <c r="R342" s="2" t="inlineStr">
        <is>
          <t>Grönsångare
Skogssvingel</t>
        </is>
      </c>
      <c r="S342">
        <f>HYPERLINK("https://klasma.github.io/Logging_0319/artfynd/A 50415-2020 artfynd.xlsx", "A 50415-2020")</f>
        <v/>
      </c>
      <c r="T342">
        <f>HYPERLINK("https://klasma.github.io/Logging_0319/kartor/A 50415-2020 karta.png", "A 50415-2020")</f>
        <v/>
      </c>
      <c r="V342">
        <f>HYPERLINK("https://klasma.github.io/Logging_0319/klagomål/A 50415-2020 FSC-klagomål.docx", "A 50415-2020")</f>
        <v/>
      </c>
      <c r="W342">
        <f>HYPERLINK("https://klasma.github.io/Logging_0319/klagomålsmail/A 50415-2020 FSC-klagomål mail.docx", "A 50415-2020")</f>
        <v/>
      </c>
      <c r="X342">
        <f>HYPERLINK("https://klasma.github.io/Logging_0319/tillsyn/A 50415-2020 tillsynsbegäran.docx", "A 50415-2020")</f>
        <v/>
      </c>
      <c r="Y342">
        <f>HYPERLINK("https://klasma.github.io/Logging_0319/tillsynsmail/A 50415-2020 tillsynsbegäran mail.docx", "A 50415-2020")</f>
        <v/>
      </c>
      <c r="Z342">
        <f>HYPERLINK("https://klasma.github.io/Logging_0319/fåglar/A 50415-2020 prioriterade fågelarter.docx", "A 50415-2020")</f>
        <v/>
      </c>
    </row>
    <row r="343" ht="15" customHeight="1">
      <c r="A343" t="inlineStr">
        <is>
          <t>A 53716-2020</t>
        </is>
      </c>
      <c r="B343" s="1" t="n">
        <v>44124</v>
      </c>
      <c r="C343" s="1" t="n">
        <v>45798</v>
      </c>
      <c r="D343" t="inlineStr">
        <is>
          <t>UPPSALA LÄN</t>
        </is>
      </c>
      <c r="E343" t="inlineStr">
        <is>
          <t>HÅBO</t>
        </is>
      </c>
      <c r="F343" t="inlineStr">
        <is>
          <t>Kommuner</t>
        </is>
      </c>
      <c r="G343" t="n">
        <v>16.7</v>
      </c>
      <c r="H343" t="n">
        <v>0</v>
      </c>
      <c r="I343" t="n">
        <v>1</v>
      </c>
      <c r="J343" t="n">
        <v>1</v>
      </c>
      <c r="K343" t="n">
        <v>0</v>
      </c>
      <c r="L343" t="n">
        <v>0</v>
      </c>
      <c r="M343" t="n">
        <v>0</v>
      </c>
      <c r="N343" t="n">
        <v>0</v>
      </c>
      <c r="O343" t="n">
        <v>1</v>
      </c>
      <c r="P343" t="n">
        <v>0</v>
      </c>
      <c r="Q343" t="n">
        <v>2</v>
      </c>
      <c r="R343" s="2" t="inlineStr">
        <is>
          <t>Ullticka
Blåmossa</t>
        </is>
      </c>
      <c r="S343">
        <f>HYPERLINK("https://klasma.github.io/Logging_0305/artfynd/A 53716-2020 artfynd.xlsx", "A 53716-2020")</f>
        <v/>
      </c>
      <c r="T343">
        <f>HYPERLINK("https://klasma.github.io/Logging_0305/kartor/A 53716-2020 karta.png", "A 53716-2020")</f>
        <v/>
      </c>
      <c r="V343">
        <f>HYPERLINK("https://klasma.github.io/Logging_0305/klagomål/A 53716-2020 FSC-klagomål.docx", "A 53716-2020")</f>
        <v/>
      </c>
      <c r="W343">
        <f>HYPERLINK("https://klasma.github.io/Logging_0305/klagomålsmail/A 53716-2020 FSC-klagomål mail.docx", "A 53716-2020")</f>
        <v/>
      </c>
      <c r="X343">
        <f>HYPERLINK("https://klasma.github.io/Logging_0305/tillsyn/A 53716-2020 tillsynsbegäran.docx", "A 53716-2020")</f>
        <v/>
      </c>
      <c r="Y343">
        <f>HYPERLINK("https://klasma.github.io/Logging_0305/tillsynsmail/A 53716-2020 tillsynsbegäran mail.docx", "A 53716-2020")</f>
        <v/>
      </c>
    </row>
    <row r="344" ht="15" customHeight="1">
      <c r="A344" t="inlineStr">
        <is>
          <t>A 59416-2020</t>
        </is>
      </c>
      <c r="B344" s="1" t="n">
        <v>44148</v>
      </c>
      <c r="C344" s="1" t="n">
        <v>45798</v>
      </c>
      <c r="D344" t="inlineStr">
        <is>
          <t>UPPSALA LÄN</t>
        </is>
      </c>
      <c r="E344" t="inlineStr">
        <is>
          <t>ÖSTHAMMAR</t>
        </is>
      </c>
      <c r="F344" t="inlineStr">
        <is>
          <t>Sveaskog</t>
        </is>
      </c>
      <c r="G344" t="n">
        <v>1.7</v>
      </c>
      <c r="H344" t="n">
        <v>2</v>
      </c>
      <c r="I344" t="n">
        <v>0</v>
      </c>
      <c r="J344" t="n">
        <v>1</v>
      </c>
      <c r="K344" t="n">
        <v>0</v>
      </c>
      <c r="L344" t="n">
        <v>1</v>
      </c>
      <c r="M344" t="n">
        <v>0</v>
      </c>
      <c r="N344" t="n">
        <v>0</v>
      </c>
      <c r="O344" t="n">
        <v>2</v>
      </c>
      <c r="P344" t="n">
        <v>1</v>
      </c>
      <c r="Q344" t="n">
        <v>2</v>
      </c>
      <c r="R344" s="2" t="inlineStr">
        <is>
          <t>Grönfink
Svartvit flugsnappare</t>
        </is>
      </c>
      <c r="S344">
        <f>HYPERLINK("https://klasma.github.io/Logging_0382/artfynd/A 59416-2020 artfynd.xlsx", "A 59416-2020")</f>
        <v/>
      </c>
      <c r="T344">
        <f>HYPERLINK("https://klasma.github.io/Logging_0382/kartor/A 59416-2020 karta.png", "A 59416-2020")</f>
        <v/>
      </c>
      <c r="V344">
        <f>HYPERLINK("https://klasma.github.io/Logging_0382/klagomål/A 59416-2020 FSC-klagomål.docx", "A 59416-2020")</f>
        <v/>
      </c>
      <c r="W344">
        <f>HYPERLINK("https://klasma.github.io/Logging_0382/klagomålsmail/A 59416-2020 FSC-klagomål mail.docx", "A 59416-2020")</f>
        <v/>
      </c>
      <c r="X344">
        <f>HYPERLINK("https://klasma.github.io/Logging_0382/tillsyn/A 59416-2020 tillsynsbegäran.docx", "A 59416-2020")</f>
        <v/>
      </c>
      <c r="Y344">
        <f>HYPERLINK("https://klasma.github.io/Logging_0382/tillsynsmail/A 59416-2020 tillsynsbegäran mail.docx", "A 59416-2020")</f>
        <v/>
      </c>
      <c r="Z344">
        <f>HYPERLINK("https://klasma.github.io/Logging_0382/fåglar/A 59416-2020 prioriterade fågelarter.docx", "A 59416-2020")</f>
        <v/>
      </c>
    </row>
    <row r="345" ht="15" customHeight="1">
      <c r="A345" t="inlineStr">
        <is>
          <t>A 6223-2021</t>
        </is>
      </c>
      <c r="B345" s="1" t="n">
        <v>44235</v>
      </c>
      <c r="C345" s="1" t="n">
        <v>45798</v>
      </c>
      <c r="D345" t="inlineStr">
        <is>
          <t>UPPSALA LÄN</t>
        </is>
      </c>
      <c r="E345" t="inlineStr">
        <is>
          <t>ÖSTHAMMAR</t>
        </is>
      </c>
      <c r="G345" t="n">
        <v>0.5</v>
      </c>
      <c r="H345" t="n">
        <v>2</v>
      </c>
      <c r="I345" t="n">
        <v>0</v>
      </c>
      <c r="J345" t="n">
        <v>0</v>
      </c>
      <c r="K345" t="n">
        <v>0</v>
      </c>
      <c r="L345" t="n">
        <v>0</v>
      </c>
      <c r="M345" t="n">
        <v>0</v>
      </c>
      <c r="N345" t="n">
        <v>0</v>
      </c>
      <c r="O345" t="n">
        <v>0</v>
      </c>
      <c r="P345" t="n">
        <v>0</v>
      </c>
      <c r="Q345" t="n">
        <v>2</v>
      </c>
      <c r="R345" s="2" t="inlineStr">
        <is>
          <t>Blåsippa
Gullviva</t>
        </is>
      </c>
      <c r="S345">
        <f>HYPERLINK("https://klasma.github.io/Logging_0382/artfynd/A 6223-2021 artfynd.xlsx", "A 6223-2021")</f>
        <v/>
      </c>
      <c r="T345">
        <f>HYPERLINK("https://klasma.github.io/Logging_0382/kartor/A 6223-2021 karta.png", "A 6223-2021")</f>
        <v/>
      </c>
      <c r="V345">
        <f>HYPERLINK("https://klasma.github.io/Logging_0382/klagomål/A 6223-2021 FSC-klagomål.docx", "A 6223-2021")</f>
        <v/>
      </c>
      <c r="W345">
        <f>HYPERLINK("https://klasma.github.io/Logging_0382/klagomålsmail/A 6223-2021 FSC-klagomål mail.docx", "A 6223-2021")</f>
        <v/>
      </c>
      <c r="X345">
        <f>HYPERLINK("https://klasma.github.io/Logging_0382/tillsyn/A 6223-2021 tillsynsbegäran.docx", "A 6223-2021")</f>
        <v/>
      </c>
      <c r="Y345">
        <f>HYPERLINK("https://klasma.github.io/Logging_0382/tillsynsmail/A 6223-2021 tillsynsbegäran mail.docx", "A 6223-2021")</f>
        <v/>
      </c>
    </row>
    <row r="346" ht="15" customHeight="1">
      <c r="A346" t="inlineStr">
        <is>
          <t>A 22025-2021</t>
        </is>
      </c>
      <c r="B346" s="1" t="n">
        <v>44323</v>
      </c>
      <c r="C346" s="1" t="n">
        <v>45798</v>
      </c>
      <c r="D346" t="inlineStr">
        <is>
          <t>UPPSALA LÄN</t>
        </is>
      </c>
      <c r="E346" t="inlineStr">
        <is>
          <t>ÄLVKARLEBY</t>
        </is>
      </c>
      <c r="F346" t="inlineStr">
        <is>
          <t>Bergvik skog väst AB</t>
        </is>
      </c>
      <c r="G346" t="n">
        <v>15.8</v>
      </c>
      <c r="H346" t="n">
        <v>0</v>
      </c>
      <c r="I346" t="n">
        <v>0</v>
      </c>
      <c r="J346" t="n">
        <v>2</v>
      </c>
      <c r="K346" t="n">
        <v>0</v>
      </c>
      <c r="L346" t="n">
        <v>0</v>
      </c>
      <c r="M346" t="n">
        <v>0</v>
      </c>
      <c r="N346" t="n">
        <v>0</v>
      </c>
      <c r="O346" t="n">
        <v>2</v>
      </c>
      <c r="P346" t="n">
        <v>0</v>
      </c>
      <c r="Q346" t="n">
        <v>2</v>
      </c>
      <c r="R346" s="2" t="inlineStr">
        <is>
          <t>Ekticka
Rödbrun blekspik</t>
        </is>
      </c>
      <c r="S346">
        <f>HYPERLINK("https://klasma.github.io/Logging_0319/artfynd/A 22025-2021 artfynd.xlsx", "A 22025-2021")</f>
        <v/>
      </c>
      <c r="T346">
        <f>HYPERLINK("https://klasma.github.io/Logging_0319/kartor/A 22025-2021 karta.png", "A 22025-2021")</f>
        <v/>
      </c>
      <c r="V346">
        <f>HYPERLINK("https://klasma.github.io/Logging_0319/klagomål/A 22025-2021 FSC-klagomål.docx", "A 22025-2021")</f>
        <v/>
      </c>
      <c r="W346">
        <f>HYPERLINK("https://klasma.github.io/Logging_0319/klagomålsmail/A 22025-2021 FSC-klagomål mail.docx", "A 22025-2021")</f>
        <v/>
      </c>
      <c r="X346">
        <f>HYPERLINK("https://klasma.github.io/Logging_0319/tillsyn/A 22025-2021 tillsynsbegäran.docx", "A 22025-2021")</f>
        <v/>
      </c>
      <c r="Y346">
        <f>HYPERLINK("https://klasma.github.io/Logging_0319/tillsynsmail/A 22025-2021 tillsynsbegäran mail.docx", "A 22025-2021")</f>
        <v/>
      </c>
    </row>
    <row r="347" ht="15" customHeight="1">
      <c r="A347" t="inlineStr">
        <is>
          <t>A 31622-2021</t>
        </is>
      </c>
      <c r="B347" s="1" t="n">
        <v>44369</v>
      </c>
      <c r="C347" s="1" t="n">
        <v>45798</v>
      </c>
      <c r="D347" t="inlineStr">
        <is>
          <t>UPPSALA LÄN</t>
        </is>
      </c>
      <c r="E347" t="inlineStr">
        <is>
          <t>ÖSTHAMMAR</t>
        </is>
      </c>
      <c r="G347" t="n">
        <v>12.6</v>
      </c>
      <c r="H347" t="n">
        <v>2</v>
      </c>
      <c r="I347" t="n">
        <v>0</v>
      </c>
      <c r="J347" t="n">
        <v>1</v>
      </c>
      <c r="K347" t="n">
        <v>0</v>
      </c>
      <c r="L347" t="n">
        <v>0</v>
      </c>
      <c r="M347" t="n">
        <v>0</v>
      </c>
      <c r="N347" t="n">
        <v>0</v>
      </c>
      <c r="O347" t="n">
        <v>1</v>
      </c>
      <c r="P347" t="n">
        <v>0</v>
      </c>
      <c r="Q347" t="n">
        <v>2</v>
      </c>
      <c r="R347" s="2" t="inlineStr">
        <is>
          <t>Spillkråka
Mattlummer</t>
        </is>
      </c>
      <c r="S347">
        <f>HYPERLINK("https://klasma.github.io/Logging_0382/artfynd/A 31622-2021 artfynd.xlsx", "A 31622-2021")</f>
        <v/>
      </c>
      <c r="T347">
        <f>HYPERLINK("https://klasma.github.io/Logging_0382/kartor/A 31622-2021 karta.png", "A 31622-2021")</f>
        <v/>
      </c>
      <c r="V347">
        <f>HYPERLINK("https://klasma.github.io/Logging_0382/klagomål/A 31622-2021 FSC-klagomål.docx", "A 31622-2021")</f>
        <v/>
      </c>
      <c r="W347">
        <f>HYPERLINK("https://klasma.github.io/Logging_0382/klagomålsmail/A 31622-2021 FSC-klagomål mail.docx", "A 31622-2021")</f>
        <v/>
      </c>
      <c r="X347">
        <f>HYPERLINK("https://klasma.github.io/Logging_0382/tillsyn/A 31622-2021 tillsynsbegäran.docx", "A 31622-2021")</f>
        <v/>
      </c>
      <c r="Y347">
        <f>HYPERLINK("https://klasma.github.io/Logging_0382/tillsynsmail/A 31622-2021 tillsynsbegäran mail.docx", "A 31622-2021")</f>
        <v/>
      </c>
      <c r="Z347">
        <f>HYPERLINK("https://klasma.github.io/Logging_0382/fåglar/A 31622-2021 prioriterade fågelarter.docx", "A 31622-2021")</f>
        <v/>
      </c>
    </row>
    <row r="348" ht="15" customHeight="1">
      <c r="A348" t="inlineStr">
        <is>
          <t>A 34150-2021</t>
        </is>
      </c>
      <c r="B348" s="1" t="n">
        <v>44379</v>
      </c>
      <c r="C348" s="1" t="n">
        <v>45798</v>
      </c>
      <c r="D348" t="inlineStr">
        <is>
          <t>UPPSALA LÄN</t>
        </is>
      </c>
      <c r="E348" t="inlineStr">
        <is>
          <t>ENKÖPING</t>
        </is>
      </c>
      <c r="G348" t="n">
        <v>9.199999999999999</v>
      </c>
      <c r="H348" t="n">
        <v>0</v>
      </c>
      <c r="I348" t="n">
        <v>1</v>
      </c>
      <c r="J348" t="n">
        <v>1</v>
      </c>
      <c r="K348" t="n">
        <v>0</v>
      </c>
      <c r="L348" t="n">
        <v>0</v>
      </c>
      <c r="M348" t="n">
        <v>0</v>
      </c>
      <c r="N348" t="n">
        <v>0</v>
      </c>
      <c r="O348" t="n">
        <v>1</v>
      </c>
      <c r="P348" t="n">
        <v>0</v>
      </c>
      <c r="Q348" t="n">
        <v>2</v>
      </c>
      <c r="R348" s="2" t="inlineStr">
        <is>
          <t>Ullticka
Bronshjon</t>
        </is>
      </c>
      <c r="S348">
        <f>HYPERLINK("https://klasma.github.io/Logging_0381/artfynd/A 34150-2021 artfynd.xlsx", "A 34150-2021")</f>
        <v/>
      </c>
      <c r="T348">
        <f>HYPERLINK("https://klasma.github.io/Logging_0381/kartor/A 34150-2021 karta.png", "A 34150-2021")</f>
        <v/>
      </c>
      <c r="V348">
        <f>HYPERLINK("https://klasma.github.io/Logging_0381/klagomål/A 34150-2021 FSC-klagomål.docx", "A 34150-2021")</f>
        <v/>
      </c>
      <c r="W348">
        <f>HYPERLINK("https://klasma.github.io/Logging_0381/klagomålsmail/A 34150-2021 FSC-klagomål mail.docx", "A 34150-2021")</f>
        <v/>
      </c>
      <c r="X348">
        <f>HYPERLINK("https://klasma.github.io/Logging_0381/tillsyn/A 34150-2021 tillsynsbegäran.docx", "A 34150-2021")</f>
        <v/>
      </c>
      <c r="Y348">
        <f>HYPERLINK("https://klasma.github.io/Logging_0381/tillsynsmail/A 34150-2021 tillsynsbegäran mail.docx", "A 34150-2021")</f>
        <v/>
      </c>
    </row>
    <row r="349" ht="15" customHeight="1">
      <c r="A349" t="inlineStr">
        <is>
          <t>A 53324-2021</t>
        </is>
      </c>
      <c r="B349" s="1" t="n">
        <v>44468</v>
      </c>
      <c r="C349" s="1" t="n">
        <v>45798</v>
      </c>
      <c r="D349" t="inlineStr">
        <is>
          <t>UPPSALA LÄN</t>
        </is>
      </c>
      <c r="E349" t="inlineStr">
        <is>
          <t>TIERP</t>
        </is>
      </c>
      <c r="G349" t="n">
        <v>0.8</v>
      </c>
      <c r="H349" t="n">
        <v>0</v>
      </c>
      <c r="I349" t="n">
        <v>1</v>
      </c>
      <c r="J349" t="n">
        <v>1</v>
      </c>
      <c r="K349" t="n">
        <v>0</v>
      </c>
      <c r="L349" t="n">
        <v>0</v>
      </c>
      <c r="M349" t="n">
        <v>0</v>
      </c>
      <c r="N349" t="n">
        <v>0</v>
      </c>
      <c r="O349" t="n">
        <v>1</v>
      </c>
      <c r="P349" t="n">
        <v>0</v>
      </c>
      <c r="Q349" t="n">
        <v>2</v>
      </c>
      <c r="R349" s="2" t="inlineStr">
        <is>
          <t>Granticka
Stor aspticka</t>
        </is>
      </c>
      <c r="S349">
        <f>HYPERLINK("https://klasma.github.io/Logging_0360/artfynd/A 53324-2021 artfynd.xlsx", "A 53324-2021")</f>
        <v/>
      </c>
      <c r="T349">
        <f>HYPERLINK("https://klasma.github.io/Logging_0360/kartor/A 53324-2021 karta.png", "A 53324-2021")</f>
        <v/>
      </c>
      <c r="V349">
        <f>HYPERLINK("https://klasma.github.io/Logging_0360/klagomål/A 53324-2021 FSC-klagomål.docx", "A 53324-2021")</f>
        <v/>
      </c>
      <c r="W349">
        <f>HYPERLINK("https://klasma.github.io/Logging_0360/klagomålsmail/A 53324-2021 FSC-klagomål mail.docx", "A 53324-2021")</f>
        <v/>
      </c>
      <c r="X349">
        <f>HYPERLINK("https://klasma.github.io/Logging_0360/tillsyn/A 53324-2021 tillsynsbegäran.docx", "A 53324-2021")</f>
        <v/>
      </c>
      <c r="Y349">
        <f>HYPERLINK("https://klasma.github.io/Logging_0360/tillsynsmail/A 53324-2021 tillsynsbegäran mail.docx", "A 53324-2021")</f>
        <v/>
      </c>
    </row>
    <row r="350" ht="15" customHeight="1">
      <c r="A350" t="inlineStr">
        <is>
          <t>A 58906-2021</t>
        </is>
      </c>
      <c r="B350" s="1" t="n">
        <v>44489</v>
      </c>
      <c r="C350" s="1" t="n">
        <v>45798</v>
      </c>
      <c r="D350" t="inlineStr">
        <is>
          <t>UPPSALA LÄN</t>
        </is>
      </c>
      <c r="E350" t="inlineStr">
        <is>
          <t>UPPSALA</t>
        </is>
      </c>
      <c r="G350" t="n">
        <v>8.6</v>
      </c>
      <c r="H350" t="n">
        <v>1</v>
      </c>
      <c r="I350" t="n">
        <v>0</v>
      </c>
      <c r="J350" t="n">
        <v>1</v>
      </c>
      <c r="K350" t="n">
        <v>0</v>
      </c>
      <c r="L350" t="n">
        <v>0</v>
      </c>
      <c r="M350" t="n">
        <v>0</v>
      </c>
      <c r="N350" t="n">
        <v>0</v>
      </c>
      <c r="O350" t="n">
        <v>1</v>
      </c>
      <c r="P350" t="n">
        <v>0</v>
      </c>
      <c r="Q350" t="n">
        <v>2</v>
      </c>
      <c r="R350" s="2" t="inlineStr">
        <is>
          <t>Ullticka
Tjäder</t>
        </is>
      </c>
      <c r="S350">
        <f>HYPERLINK("https://klasma.github.io/Logging_0380/artfynd/A 58906-2021 artfynd.xlsx", "A 58906-2021")</f>
        <v/>
      </c>
      <c r="T350">
        <f>HYPERLINK("https://klasma.github.io/Logging_0380/kartor/A 58906-2021 karta.png", "A 58906-2021")</f>
        <v/>
      </c>
      <c r="V350">
        <f>HYPERLINK("https://klasma.github.io/Logging_0380/klagomål/A 58906-2021 FSC-klagomål.docx", "A 58906-2021")</f>
        <v/>
      </c>
      <c r="W350">
        <f>HYPERLINK("https://klasma.github.io/Logging_0380/klagomålsmail/A 58906-2021 FSC-klagomål mail.docx", "A 58906-2021")</f>
        <v/>
      </c>
      <c r="X350">
        <f>HYPERLINK("https://klasma.github.io/Logging_0380/tillsyn/A 58906-2021 tillsynsbegäran.docx", "A 58906-2021")</f>
        <v/>
      </c>
      <c r="Y350">
        <f>HYPERLINK("https://klasma.github.io/Logging_0380/tillsynsmail/A 58906-2021 tillsynsbegäran mail.docx", "A 58906-2021")</f>
        <v/>
      </c>
      <c r="Z350">
        <f>HYPERLINK("https://klasma.github.io/Logging_0380/fåglar/A 58906-2021 prioriterade fågelarter.docx", "A 58906-2021")</f>
        <v/>
      </c>
    </row>
    <row r="351" ht="15" customHeight="1">
      <c r="A351" t="inlineStr">
        <is>
          <t>A 60078-2021</t>
        </is>
      </c>
      <c r="B351" s="1" t="n">
        <v>44495</v>
      </c>
      <c r="C351" s="1" t="n">
        <v>45798</v>
      </c>
      <c r="D351" t="inlineStr">
        <is>
          <t>UPPSALA LÄN</t>
        </is>
      </c>
      <c r="E351" t="inlineStr">
        <is>
          <t>ÖSTHAMMAR</t>
        </is>
      </c>
      <c r="G351" t="n">
        <v>1.1</v>
      </c>
      <c r="H351" t="n">
        <v>0</v>
      </c>
      <c r="I351" t="n">
        <v>0</v>
      </c>
      <c r="J351" t="n">
        <v>1</v>
      </c>
      <c r="K351" t="n">
        <v>1</v>
      </c>
      <c r="L351" t="n">
        <v>0</v>
      </c>
      <c r="M351" t="n">
        <v>0</v>
      </c>
      <c r="N351" t="n">
        <v>0</v>
      </c>
      <c r="O351" t="n">
        <v>2</v>
      </c>
      <c r="P351" t="n">
        <v>1</v>
      </c>
      <c r="Q351" t="n">
        <v>2</v>
      </c>
      <c r="R351" s="2" t="inlineStr">
        <is>
          <t>Violgubbe
Blek fingersvamp</t>
        </is>
      </c>
      <c r="S351">
        <f>HYPERLINK("https://klasma.github.io/Logging_0382/artfynd/A 60078-2021 artfynd.xlsx", "A 60078-2021")</f>
        <v/>
      </c>
      <c r="T351">
        <f>HYPERLINK("https://klasma.github.io/Logging_0382/kartor/A 60078-2021 karta.png", "A 60078-2021")</f>
        <v/>
      </c>
      <c r="V351">
        <f>HYPERLINK("https://klasma.github.io/Logging_0382/klagomål/A 60078-2021 FSC-klagomål.docx", "A 60078-2021")</f>
        <v/>
      </c>
      <c r="W351">
        <f>HYPERLINK("https://klasma.github.io/Logging_0382/klagomålsmail/A 60078-2021 FSC-klagomål mail.docx", "A 60078-2021")</f>
        <v/>
      </c>
      <c r="X351">
        <f>HYPERLINK("https://klasma.github.io/Logging_0382/tillsyn/A 60078-2021 tillsynsbegäran.docx", "A 60078-2021")</f>
        <v/>
      </c>
      <c r="Y351">
        <f>HYPERLINK("https://klasma.github.io/Logging_0382/tillsynsmail/A 60078-2021 tillsynsbegäran mail.docx", "A 60078-2021")</f>
        <v/>
      </c>
    </row>
    <row r="352" ht="15" customHeight="1">
      <c r="A352" t="inlineStr">
        <is>
          <t>A 65165-2021</t>
        </is>
      </c>
      <c r="B352" s="1" t="n">
        <v>44515</v>
      </c>
      <c r="C352" s="1" t="n">
        <v>45798</v>
      </c>
      <c r="D352" t="inlineStr">
        <is>
          <t>UPPSALA LÄN</t>
        </is>
      </c>
      <c r="E352" t="inlineStr">
        <is>
          <t>ÖSTHAMMAR</t>
        </is>
      </c>
      <c r="F352" t="inlineStr">
        <is>
          <t>Sveaskog</t>
        </is>
      </c>
      <c r="G352" t="n">
        <v>2.8</v>
      </c>
      <c r="H352" t="n">
        <v>1</v>
      </c>
      <c r="I352" t="n">
        <v>0</v>
      </c>
      <c r="J352" t="n">
        <v>2</v>
      </c>
      <c r="K352" t="n">
        <v>0</v>
      </c>
      <c r="L352" t="n">
        <v>0</v>
      </c>
      <c r="M352" t="n">
        <v>0</v>
      </c>
      <c r="N352" t="n">
        <v>0</v>
      </c>
      <c r="O352" t="n">
        <v>2</v>
      </c>
      <c r="P352" t="n">
        <v>0</v>
      </c>
      <c r="Q352" t="n">
        <v>2</v>
      </c>
      <c r="R352" s="2" t="inlineStr">
        <is>
          <t>Spillkråka
Vedtrappmossa</t>
        </is>
      </c>
      <c r="S352">
        <f>HYPERLINK("https://klasma.github.io/Logging_0382/artfynd/A 65165-2021 artfynd.xlsx", "A 65165-2021")</f>
        <v/>
      </c>
      <c r="T352">
        <f>HYPERLINK("https://klasma.github.io/Logging_0382/kartor/A 65165-2021 karta.png", "A 65165-2021")</f>
        <v/>
      </c>
      <c r="U352">
        <f>HYPERLINK("https://klasma.github.io/Logging_0382/knärot/A 65165-2021 karta knärot.png", "A 65165-2021")</f>
        <v/>
      </c>
      <c r="V352">
        <f>HYPERLINK("https://klasma.github.io/Logging_0382/klagomål/A 65165-2021 FSC-klagomål.docx", "A 65165-2021")</f>
        <v/>
      </c>
      <c r="W352">
        <f>HYPERLINK("https://klasma.github.io/Logging_0382/klagomålsmail/A 65165-2021 FSC-klagomål mail.docx", "A 65165-2021")</f>
        <v/>
      </c>
      <c r="X352">
        <f>HYPERLINK("https://klasma.github.io/Logging_0382/tillsyn/A 65165-2021 tillsynsbegäran.docx", "A 65165-2021")</f>
        <v/>
      </c>
      <c r="Y352">
        <f>HYPERLINK("https://klasma.github.io/Logging_0382/tillsynsmail/A 65165-2021 tillsynsbegäran mail.docx", "A 65165-2021")</f>
        <v/>
      </c>
      <c r="Z352">
        <f>HYPERLINK("https://klasma.github.io/Logging_0382/fåglar/A 65165-2021 prioriterade fågelarter.docx", "A 65165-2021")</f>
        <v/>
      </c>
    </row>
    <row r="353" ht="15" customHeight="1">
      <c r="A353" t="inlineStr">
        <is>
          <t>A 67855-2021</t>
        </is>
      </c>
      <c r="B353" s="1" t="n">
        <v>44525</v>
      </c>
      <c r="C353" s="1" t="n">
        <v>45798</v>
      </c>
      <c r="D353" t="inlineStr">
        <is>
          <t>UPPSALA LÄN</t>
        </is>
      </c>
      <c r="E353" t="inlineStr">
        <is>
          <t>ÖSTHAMMAR</t>
        </is>
      </c>
      <c r="G353" t="n">
        <v>7.5</v>
      </c>
      <c r="H353" t="n">
        <v>0</v>
      </c>
      <c r="I353" t="n">
        <v>2</v>
      </c>
      <c r="J353" t="n">
        <v>0</v>
      </c>
      <c r="K353" t="n">
        <v>0</v>
      </c>
      <c r="L353" t="n">
        <v>0</v>
      </c>
      <c r="M353" t="n">
        <v>0</v>
      </c>
      <c r="N353" t="n">
        <v>0</v>
      </c>
      <c r="O353" t="n">
        <v>0</v>
      </c>
      <c r="P353" t="n">
        <v>0</v>
      </c>
      <c r="Q353" t="n">
        <v>2</v>
      </c>
      <c r="R353" s="2" t="inlineStr">
        <is>
          <t>Guldkremla
Kamjordstjärna</t>
        </is>
      </c>
      <c r="S353">
        <f>HYPERLINK("https://klasma.github.io/Logging_0382/artfynd/A 67855-2021 artfynd.xlsx", "A 67855-2021")</f>
        <v/>
      </c>
      <c r="T353">
        <f>HYPERLINK("https://klasma.github.io/Logging_0382/kartor/A 67855-2021 karta.png", "A 67855-2021")</f>
        <v/>
      </c>
      <c r="V353">
        <f>HYPERLINK("https://klasma.github.io/Logging_0382/klagomål/A 67855-2021 FSC-klagomål.docx", "A 67855-2021")</f>
        <v/>
      </c>
      <c r="W353">
        <f>HYPERLINK("https://klasma.github.io/Logging_0382/klagomålsmail/A 67855-2021 FSC-klagomål mail.docx", "A 67855-2021")</f>
        <v/>
      </c>
      <c r="X353">
        <f>HYPERLINK("https://klasma.github.io/Logging_0382/tillsyn/A 67855-2021 tillsynsbegäran.docx", "A 67855-2021")</f>
        <v/>
      </c>
      <c r="Y353">
        <f>HYPERLINK("https://klasma.github.io/Logging_0382/tillsynsmail/A 67855-2021 tillsynsbegäran mail.docx", "A 67855-2021")</f>
        <v/>
      </c>
    </row>
    <row r="354" ht="15" customHeight="1">
      <c r="A354" t="inlineStr">
        <is>
          <t>A 69241-2021</t>
        </is>
      </c>
      <c r="B354" s="1" t="n">
        <v>44529</v>
      </c>
      <c r="C354" s="1" t="n">
        <v>45798</v>
      </c>
      <c r="D354" t="inlineStr">
        <is>
          <t>UPPSALA LÄN</t>
        </is>
      </c>
      <c r="E354" t="inlineStr">
        <is>
          <t>ÖSTHAMMAR</t>
        </is>
      </c>
      <c r="G354" t="n">
        <v>0.7</v>
      </c>
      <c r="H354" t="n">
        <v>0</v>
      </c>
      <c r="I354" t="n">
        <v>1</v>
      </c>
      <c r="J354" t="n">
        <v>1</v>
      </c>
      <c r="K354" t="n">
        <v>0</v>
      </c>
      <c r="L354" t="n">
        <v>0</v>
      </c>
      <c r="M354" t="n">
        <v>0</v>
      </c>
      <c r="N354" t="n">
        <v>0</v>
      </c>
      <c r="O354" t="n">
        <v>1</v>
      </c>
      <c r="P354" t="n">
        <v>0</v>
      </c>
      <c r="Q354" t="n">
        <v>2</v>
      </c>
      <c r="R354" s="2" t="inlineStr">
        <is>
          <t>Harticka
Zontaggsvamp</t>
        </is>
      </c>
      <c r="S354">
        <f>HYPERLINK("https://klasma.github.io/Logging_0382/artfynd/A 69241-2021 artfynd.xlsx", "A 69241-2021")</f>
        <v/>
      </c>
      <c r="T354">
        <f>HYPERLINK("https://klasma.github.io/Logging_0382/kartor/A 69241-2021 karta.png", "A 69241-2021")</f>
        <v/>
      </c>
      <c r="V354">
        <f>HYPERLINK("https://klasma.github.io/Logging_0382/klagomål/A 69241-2021 FSC-klagomål.docx", "A 69241-2021")</f>
        <v/>
      </c>
      <c r="W354">
        <f>HYPERLINK("https://klasma.github.io/Logging_0382/klagomålsmail/A 69241-2021 FSC-klagomål mail.docx", "A 69241-2021")</f>
        <v/>
      </c>
      <c r="X354">
        <f>HYPERLINK("https://klasma.github.io/Logging_0382/tillsyn/A 69241-2021 tillsynsbegäran.docx", "A 69241-2021")</f>
        <v/>
      </c>
      <c r="Y354">
        <f>HYPERLINK("https://klasma.github.io/Logging_0382/tillsynsmail/A 69241-2021 tillsynsbegäran mail.docx", "A 69241-2021")</f>
        <v/>
      </c>
    </row>
    <row r="355" ht="15" customHeight="1">
      <c r="A355" t="inlineStr">
        <is>
          <t>A 73981-2021</t>
        </is>
      </c>
      <c r="B355" s="1" t="n">
        <v>44555</v>
      </c>
      <c r="C355" s="1" t="n">
        <v>45798</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45798</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45798</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45798</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45798</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45798</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45798</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45798</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45798</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45798</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45798</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45798</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45798</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45798</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45798</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45798</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45798</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45798</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45798</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45798</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45798</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45798</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45798</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45798</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45798</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45798</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45798</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45798</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45798</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45798</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45798</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45798</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45798</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45798</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45798</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45798</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45798</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45798</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45798</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45798</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45798</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45798</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45798</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45798</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45798</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45798</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45798</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45798</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45798</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45798</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45798</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45798</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45798</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45798</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45798</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45798</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45798</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45798</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45798</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45798</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45798</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45798</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45798</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45798</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45798</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45798</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45798</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45798</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45798</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45798</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45798</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45798</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45798</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45798</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45798</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45798</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45798</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45798</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45798</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45798</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45798</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45798</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45798</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45798</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45798</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45798</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45798</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45798</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45798</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45798</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45798</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45798</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45798</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45798</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45798</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45798</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45798</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45798</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45798</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45798</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45798</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45798</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45798</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45798</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45798</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45798</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45798</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45798</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45798</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45798</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45798</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45798</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45798</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45798</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45798</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45798</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45798</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45798</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45798</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45798</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45798</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45798</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45798</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45798</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45798</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45798</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45798</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45798</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45798</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45798</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45798</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45798</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45798</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45798</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45798</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45798</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45798</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45798</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45798</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45798</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45798</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45798</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45798</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45798</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45798</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45798</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45798</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45798</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45798</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45798</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45798</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45798</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45798</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45798</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45798</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45798</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45798</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45798</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45798</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45798</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45798</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45798</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45798</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45798</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45798</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45798</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45798</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45798</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45798</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45798</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45798</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45798</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45798</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45798</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45798</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45798</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45798</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45798</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45798</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45798</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45798</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45798</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45798</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45798</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45798</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45798</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45798</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45798</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45798</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45798</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45798</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45798</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45798</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45798</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45798</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45798</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45798</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45798</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45798</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45798</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45798</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45798</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45798</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45798</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45798</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45798</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45798</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45798</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45798</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45798</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45798</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45798</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45798</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45798</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45798</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45798</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45798</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45798</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45798</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45798</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45798</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45798</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45798</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45798</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45798</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45798</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45798</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45798</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45798</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45798</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45798</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45798</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45798</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45798</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45798</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45798</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45798</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45798</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45798</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45798</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45798</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45798</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45798</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45798</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45798</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45798</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45798</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45798</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45798</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45798</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45798</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45798</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45798</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45798</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45798</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45798</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45798</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45798</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45798</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45798</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45798</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45798</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45798</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45798</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45798</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45798</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45798</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45798</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45798</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45798</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45798</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45798</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45798</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45798</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45798</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45798</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45798</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45798</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45798</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45798</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45798</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45798</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45798</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45798</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45798</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45798</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45798</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45798</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45798</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45798</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45798</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45798</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45798</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45798</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45798</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45798</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45798</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45798</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45798</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45798</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45798</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45798</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45798</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45798</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45798</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45798</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45798</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45798</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45798</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45798</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45798</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45798</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45798</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45798</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45798</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45798</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45798</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45798</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45798</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45798</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45798</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45798</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45798</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45798</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45798</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45798</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45798</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45798</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45798</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45798</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45798</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45798</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45798</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45798</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45798</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45798</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45798</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45798</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45798</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45798</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45798</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45798</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45798</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45798</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45798</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45798</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45798</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45798</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45798</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45798</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45798</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45798</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45798</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45798</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45798</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45798</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45798</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45798</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45798</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45798</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45798</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45798</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45798</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45798</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45798</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45798</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45798</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45798</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45798</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45798</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45798</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45798</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45798</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45798</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45798</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45798</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45798</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45798</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45798</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45798</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45798</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45798</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45798</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45798</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45798</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45798</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45798</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45798</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45798</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45798</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45798</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45798</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45798</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45798</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45798</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45798</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45798</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45798</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45798</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45798</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45798</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45798</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45798</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45798</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45798</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45798</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45798</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45798</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45798</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45798</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45798</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45798</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45798</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45798</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45798</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45798</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45798</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45798</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45798</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45798</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45798</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45798</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45798</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45798</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45798</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45798</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45798</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45798</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45798</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45798</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45798</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45798</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45798</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45798</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45798</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45798</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45798</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45798</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45798</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45798</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45798</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45798</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45798</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45798</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45798</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45798</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45798</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45798</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45798</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45798</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45798</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45798</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45798</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45798</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45798</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45798</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45798</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45798</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45798</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45798</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45798</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45798</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45798</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45798</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45798</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45798</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45798</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45798</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45798</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45798</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45798</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45798</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45798</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45798</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45798</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45798</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45798</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45798</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45798</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45798</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45798</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45798</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45798</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45798</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45798</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45798</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45798</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45798</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45798</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45798</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45798</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45798</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45798</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45798</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45798</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45798</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45798</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45798</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45798</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45798</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45798</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45798</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45798</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45798</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45798</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45798</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45798</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45798</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45798</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45798</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45798</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45798</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45798</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45798</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45798</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45798</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45798</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45798</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45798</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45798</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45798</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45798</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45798</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45798</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45798</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45798</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45798</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45798</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45798</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45798</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45798</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45798</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45798</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45798</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45798</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45798</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45798</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45798</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45798</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45798</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45798</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45798</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45798</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45798</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45798</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45798</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45798</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45798</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45798</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45798</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45798</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45798</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45798</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45798</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45798</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45798</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45798</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45798</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45798</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45798</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45798</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45798</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45798</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45798</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45798</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45798</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45798</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45798</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45798</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45798</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45798</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45798</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45798</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45798</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45798</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45798</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45798</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45798</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45798</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45798</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45798</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45798</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45798</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45798</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45798</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45798</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45798</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45798</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45798</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45798</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45798</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45798</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45798</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45798</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45798</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45798</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45798</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45798</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45798</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45798</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45798</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45798</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45798</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45798</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45798</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45798</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45798</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45798</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45798</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45798</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45798</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45798</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45798</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45798</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45798</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45798</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45798</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45798</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45798</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45798</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45798</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45798</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45798</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45798</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45798</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45798</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45798</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45798</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45798</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45798</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45798</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45798</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45798</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45798</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45798</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45798</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45798</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45798</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45798</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45798</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45798</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45798</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45798</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45798</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45798</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45798</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45798</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45798</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45798</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45798</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45798</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45798</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45798</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45798</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45798</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45798</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45798</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45798</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45798</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45798</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45798</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45798</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45798</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45798</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45798</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45798</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45798</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45798</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45798</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45798</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45798</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45798</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45798</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45798</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45798</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45798</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45798</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45798</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45798</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45798</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45798</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45798</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45798</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45798</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45798</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45798</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45798</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45798</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45798</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45798</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45798</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45798</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45798</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45798</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45798</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45798</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45798</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45798</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45798</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45798</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45798</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45798</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45798</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45798</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45798</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45798</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45798</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45798</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45798</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45798</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45798</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45798</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45798</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45798</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45798</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45798</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45798</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45798</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45798</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45798</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45798</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45798</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45798</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45798</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45798</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45798</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45798</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45798</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45798</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45798</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45798</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45798</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45798</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45798</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45798</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45798</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45798</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45798</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45798</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45798</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45798</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45798</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45798</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45798</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45798</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45798</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45798</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45798</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45798</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45798</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45798</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45798</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45798</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45798</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45798</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45798</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45798</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45798</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45798</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45798</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45798</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45798</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45798</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45798</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45798</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45798</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45798</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45798</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45798</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45798</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45798</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45798</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45798</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45798</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45798</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45798</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45798</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45798</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45798</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45798</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45798</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45798</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45798</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45798</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45798</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45798</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45798</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45798</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45798</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45798</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45798</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45798</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45798</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45798</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45798</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45798</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45798</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45798</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45798</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45798</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45798</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45798</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45798</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45798</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45798</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45798</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45798</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45798</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45798</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45798</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45798</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45798</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45798</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45798</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45798</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45798</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45798</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45798</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45798</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45798</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45798</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45798</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45798</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45798</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45798</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45798</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45798</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45798</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45798</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45798</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45798</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45798</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45798</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45798</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45798</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45798</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45798</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45798</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45798</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45798</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45798</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45798</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45798</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45798</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45798</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45798</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45798</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45798</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45798</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45798</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45798</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45798</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45798</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45798</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45798</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45798</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45798</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45798</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45798</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45798</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45798</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45798</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45798</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45798</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45798</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45798</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45798</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45798</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45798</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45798</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45798</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45798</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45798</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45798</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45798</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45798</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45798</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45798</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45798</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45798</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45798</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45798</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45798</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45798</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45798</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45798</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45798</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45798</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45798</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45798</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45798</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45798</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45798</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45798</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45798</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45798</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45798</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45798</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45798</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45798</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45798</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45798</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45798</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45798</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45798</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45798</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45798</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45798</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45798</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45798</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45798</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45798</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45798</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45798</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45798</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45798</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45798</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45798</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45798</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45798</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45798</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45798</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45798</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45798</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45798</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45798</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45798</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45798</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45798</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45798</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45798</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45798</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45798</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45798</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45798</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45798</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45798</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45798</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45798</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45798</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45798</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45798</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45798</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45798</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45798</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45798</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45798</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45798</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45798</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45798</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45798</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45798</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45798</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45798</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45798</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45798</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45798</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45798</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45798</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45798</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45798</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45798</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45798</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45798</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45798</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45798</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45798</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45798</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45798</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45798</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45798</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45798</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45798</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45798</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45798</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45798</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45798</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45798</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45798</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45798</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45798</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45798</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45798</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45798</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45798</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45798</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45798</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45798</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45798</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45798</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45798</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45798</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45798</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45798</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45798</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45798</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45798</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45798</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45798</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45798</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45798</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45798</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45798</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45798</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45798</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45798</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45798</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45798</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45798</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45798</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45798</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45798</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45798</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45798</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45798</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45798</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45798</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45798</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45798</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45798</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45798</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45798</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45798</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45798</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45798</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45798</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45798</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45798</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45798</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45798</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45798</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45798</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45798</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45798</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45798</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45798</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45798</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45798</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45798</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45798</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45798</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45798</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45798</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45798</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45798</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45798</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45798</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45798</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45798</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45798</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45798</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45798</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45798</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45798</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45798</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45798</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45798</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45798</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45798</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45798</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45798</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45798</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45798</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45798</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45798</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45798</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45798</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45798</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45798</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45798</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45798</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45798</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45798</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45798</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45798</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45798</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45798</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45798</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45798</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45798</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45798</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45798</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45798</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45798</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45798</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45798</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45798</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45798</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45798</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45798</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45798</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45798</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45798</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45798</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45798</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45798</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45798</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45798</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45798</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45798</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45798</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45798</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45798</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45798</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45798</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45798</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45798</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45798</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45798</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45798</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45798</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45798</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45798</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45798</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45798</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45798</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45798</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45798</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45798</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45798</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45798</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45798</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45798</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45798</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45798</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45798</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45798</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45798</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45798</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45798</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45798</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45798</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45798</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45798</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45798</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45798</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45798</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45798</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45798</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45798</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45798</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45798</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45798</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45798</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45798</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45798</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45798</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45798</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45798</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45798</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45798</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45798</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45798</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45798</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45798</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45798</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45798</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45798</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45798</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45798</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45798</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45798</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45798</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45798</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45798</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45798</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45798</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45798</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45798</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45798</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45798</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45798</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45798</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45798</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45798</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45798</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45798</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45798</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45798</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45798</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45798</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45798</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45798</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45798</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45798</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45798</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45798</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45798</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45798</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45798</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45798</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45798</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45798</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45798</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45798</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45798</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45798</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45798</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45798</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45798</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45798</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45798</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45798</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45798</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45798</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45798</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45798</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45798</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45798</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45798</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45798</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45798</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45798</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45798</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45798</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45798</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45798</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45798</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45798</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45798</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45798</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45798</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45798</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45798</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45798</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45798</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45798</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45798</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45798</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45798</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45798</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45798</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45798</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45798</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45798</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45798</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45798</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45798</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45798</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45798</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45798</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45798</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45798</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45798</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45798</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45798</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45798</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45798</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45798</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45798</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45798</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45798</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45798</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45798</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45798</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45798</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45798</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45798</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45798</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45798</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45798</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45798</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45798</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45798</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45798</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45798</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45798</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45798</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45798</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45798</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45798</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45798</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45798</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45798</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45798</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45798</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45798</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45798</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45798</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45798</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45798</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45798</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45798</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45798</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45798</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45798</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45798</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45798</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45798</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45798</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45798</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45798</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45798</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45798</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45798</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45798</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45798</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45798</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45798</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45798</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45798</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45798</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45798</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45798</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45798</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45798</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45798</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45798</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45798</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45798</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45798</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45798</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45798</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45798</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45798</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45798</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45798</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45798</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45798</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45798</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45798</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45798</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45798</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45798</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45798</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45798</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45798</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45798</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45798</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45798</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45798</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45798</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45798</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45798</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45798</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45798</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45798</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45798</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45798</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45798</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45798</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45798</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45798</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45798</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45798</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45798</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45798</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45798</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45798</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45798</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45798</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45798</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45798</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45798</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45798</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45798</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45798</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45798</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45798</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45798</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45798</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45798</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45798</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45798</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45798</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45798</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45798</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45798</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45798</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45798</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45798</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45798</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45798</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45798</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45798</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45798</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45798</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45798</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45798</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45798</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45798</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45798</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45798</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45798</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45798</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45798</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45798</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45798</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45798</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45798</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45798</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45798</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45798</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45798</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45798</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45798</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45798</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45798</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45798</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45798</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45798</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45798</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45798</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45798</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45798</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45798</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45798</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45798</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45798</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45798</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45798</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45798</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45798</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45798</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45798</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45798</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45798</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45798</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45798</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45798</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45798</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45798</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45798</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45798</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45798</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45798</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45798</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45798</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45798</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45798</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45798</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45798</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45798</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45798</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45798</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45798</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45798</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45798</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45798</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45798</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45798</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45798</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45798</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45798</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45798</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45798</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45798</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45798</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45798</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45798</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45798</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45798</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45798</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45798</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45798</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45798</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45798</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45798</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45798</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45798</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45798</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45798</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45798</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45798</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45798</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45798</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45798</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45798</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45798</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45798</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45798</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45798</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45798</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45798</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45798</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45798</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45798</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45798</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45798</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45798</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45798</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45798</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45798</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45798</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45798</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45798</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45798</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45798</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45798</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45798</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45798</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45798</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45798</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45798</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45798</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45798</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45798</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45798</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45798</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45798</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45798</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45798</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45798</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45798</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45798</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45798</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45798</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45798</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45798</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45798</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45798</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45798</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45798</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45798</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45798</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45798</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45798</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45798</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45798</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45798</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45798</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45798</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45798</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45798</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45798</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45798</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45798</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45798</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45798</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45798</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45798</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45798</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45798</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45798</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45798</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45798</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45798</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45798</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45798</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45798</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45798</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45798</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45798</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45798</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45798</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45798</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45798</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45798</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45798</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45798</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45798</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45798</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45798</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45798</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45798</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45798</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45798</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45798</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45798</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45798</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45798</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45798</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45798</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45798</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45798</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45798</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45798</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45798</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45798</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45798</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45798</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45798</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45798</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45798</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45798</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45798</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45798</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45798</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45798</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45798</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45798</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45798</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45798</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45798</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45798</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45798</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45798</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45798</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45798</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45798</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45798</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45798</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45798</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45798</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45798</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45798</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45798</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45798</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45798</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45798</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45798</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45798</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45798</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45798</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45798</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45798</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45798</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45798</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45798</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45798</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45798</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45798</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45798</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45798</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45798</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45798</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45798</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45798</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45798</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45798</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45798</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45798</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45798</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45798</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45798</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45798</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45798</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45798</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45798</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45798</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45798</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45798</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45798</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45798</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45798</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45798</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45798</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45798</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45798</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45798</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45798</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45798</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45798</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45798</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45798</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45798</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45798</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45798</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45798</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45798</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45798</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45798</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45798</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45798</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45798</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45798</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45798</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45798</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45798</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45798</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45798</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45798</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45798</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45798</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45798</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45798</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45798</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45798</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45798</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45798</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45798</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45798</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45798</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45798</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45798</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45798</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45798</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45798</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45798</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45798</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45798</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45798</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45798</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45798</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45798</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45798</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45798</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45798</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45798</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45798</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45798</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45798</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45798</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45798</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45798</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45798</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45798</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45798</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45798</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45798</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45798</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45798</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45798</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45798</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45798</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45798</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45798</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45798</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45798</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45798</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45798</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45798</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45798</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45798</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45798</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45798</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45798</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45798</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45798</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45798</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45798</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45798</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45798</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45798</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45798</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45798</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45798</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45798</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45798</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45798</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45798</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45798</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45798</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45798</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45798</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45798</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45798</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45798</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45798</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45798</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45798</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45798</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45798</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45798</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45798</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45798</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45798</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45798</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45798</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45798</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45798</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45798</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45798</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45798</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45798</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45798</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45798</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45798</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45798</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45798</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45798</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45798</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45798</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45798</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45798</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45798</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45798</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45798</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45798</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45798</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45798</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45798</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45798</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45798</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45798</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45798</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45798</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45798</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45798</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45798</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45798</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45798</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45798</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45798</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45798</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45798</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45798</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45798</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45798</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45798</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45798</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45798</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45798</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45798</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45798</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45798</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45798</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45798</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45798</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45798</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45798</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45798</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45798</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45798</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45798</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45798</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45798</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45798</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45798</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45798</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45798</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45798</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45798</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45798</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45798</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45798</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45798</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45798</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45798</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45798</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45798</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45798</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45798</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45798</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45798</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45798</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45798</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45798</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45798</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45798</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45798</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45798</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45798</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45798</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45798</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45798</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45798</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45798</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45798</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45798</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45798</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45798</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45798</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45798</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45798</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45798</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45798</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45798</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45798</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45798</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45798</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45798</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45798</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45798</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45798</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45798</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45798</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45798</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45798</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45798</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45798</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45798</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45798</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45798</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45798</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45798</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45798</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45798</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45798</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45798</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45798</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45798</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45798</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45798</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45798</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45798</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45798</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45798</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45798</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45798</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45798</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45798</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45798</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45798</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45798</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45798</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45798</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45798</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45798</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45798</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45798</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45798</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45798</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45798</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45798</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45798</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45798</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45798</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45798</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45798</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45798</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45798</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45798</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45798</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45798</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45798</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45798</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45798</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45798</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45798</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45798</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45798</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45798</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45798</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45798</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45798</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45798</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45798</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45798</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45798</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45798</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45798</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45798</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45798</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45798</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45798</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45798</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45798</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45798</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45798</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45798</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45798</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45798</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45798</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45798</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45798</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45798</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45798</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45798</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45798</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45798</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45798</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45798</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45798</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45798</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45798</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45798</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45798</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45798</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45798</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45798</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45798</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45798</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45798</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45798</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45798</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45798</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45798</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45798</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45798</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45798</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45798</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45798</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45798</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45798</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45798</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45798</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45798</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45798</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45798</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45798</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45798</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45798</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45798</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45798</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45798</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45798</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45798</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45798</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45798</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45798</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45798</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45798</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45798</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45798</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45798</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45798</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45798</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45798</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45798</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45798</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45798</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45798</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45798</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45798</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45798</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45798</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45798</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45798</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45798</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45798</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45798</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45798</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45798</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45798</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45798</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45798</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45798</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45798</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45798</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45798</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45798</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45798</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45798</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45798</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45798</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45798</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45798</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45798</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45798</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45798</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45798</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45798</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45798</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45798</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45798</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45798</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45798</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45798</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45798</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45798</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45798</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45798</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45798</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45798</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45798</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45798</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45798</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45798</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45798</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45798</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45798</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45798</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45798</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45798</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45798</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45798</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45798</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45798</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45798</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45798</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45798</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45798</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45798</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45798</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45798</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45798</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45798</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45798</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45798</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45798</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45798</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45798</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45798</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45798</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45798</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45798</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45798</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45798</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45798</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45798</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45798</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45798</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45798</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45798</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45798</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45798</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45798</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45798</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45798</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45798</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45798</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45798</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45798</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45798</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45798</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45798</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45798</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45798</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45798</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45798</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45798</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45798</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45798</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45798</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45798</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45798</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45798</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45798</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45798</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45798</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45798</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45798</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45798</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45798</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45798</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45798</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45798</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45798</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45798</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45798</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45798</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45798</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45798</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45798</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45798</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45798</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45798</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45798</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45798</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45798</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45798</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45798</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45798</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45798</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45798</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45798</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45798</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45798</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45798</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45798</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45798</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45798</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45798</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45798</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45798</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45798</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45798</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45798</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45798</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45798</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45798</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45798</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45798</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45798</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45798</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45798</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45798</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45798</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45798</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45798</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45798</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45798</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45798</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45798</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45798</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45798</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45798</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45798</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45798</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45798</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45798</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45798</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45798</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45798</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45798</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45798</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45798</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45798</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45798</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45798</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45798</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45798</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45798</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45798</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45798</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45798</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45798</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45798</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45798</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45798</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45798</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45798</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45798</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45798</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45798</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45798</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45798</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45798</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45798</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45798</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45798</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45798</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45798</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45798</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45798</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45798</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45798</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45798</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45798</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45798</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45798</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45798</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45798</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45798</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45798</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45798</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45798</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45798</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45798</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45798</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45798</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45798</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45798</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45798</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45798</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45798</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45798</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45798</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45798</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45798</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45798</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45798</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45798</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45798</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45798</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45798</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45798</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45798</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45798</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45798</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45798</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45798</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45798</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45798</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45798</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45798</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45798</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45798</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45798</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45798</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45798</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45798</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45798</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45798</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45798</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45798</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45798</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45798</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45798</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45798</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45798</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45798</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45798</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45798</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45798</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45798</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45798</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45798</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45798</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45798</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45798</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45798</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45798</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45798</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45798</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45798</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45798</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45798</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45798</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45798</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45798</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45798</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45798</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45798</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45798</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45798</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45798</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45798</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45798</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45798</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45798</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45798</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45798</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45798</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45798</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45798</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45798</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45798</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45798</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45798</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45798</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45798</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45798</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45798</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45798</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45798</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45798</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45798</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45798</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45798</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45798</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45798</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45798</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45798</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45798</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45798</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45798</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45798</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45798</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45798</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45798</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45798</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45798</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45798</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45798</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45798</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45798</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45798</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45798</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45798</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45798</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45798</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45798</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45798</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45798</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45798</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45798</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45798</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45798</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45798</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45798</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45798</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45798</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45798</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45798</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45798</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45798</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45798</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45798</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45798</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45798</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45798</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45798</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45798</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45798</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45798</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45798</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45798</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45798</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45798</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45798</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45798</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45798</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45798</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45798</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45798</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45798</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45798</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45798</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45798</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45798</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45798</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45798</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45798</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45798</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45798</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45798</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45798</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45798</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45798</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45798</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45798</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45798</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45798</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45798</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45798</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45798</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45798</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45798</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45798</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45798</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45798</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45798</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45798</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45798</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45798</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45798</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45798</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45798</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45798</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45798</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45798</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45798</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45798</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45798</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45798</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45798</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45798</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45798</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45798</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45798</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45798</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45798</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45798</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45798</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45798</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45798</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45798</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45798</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45798</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45798</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45798</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45798</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45798</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45798</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45798</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45798</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45798</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45798</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45798</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45798</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45798</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45798</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45798</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45798</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45798</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45798</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45798</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45798</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45798</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45798</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45798</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45798</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45798</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45798</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45798</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45798</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45798</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45798</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45798</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45798</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45798</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45798</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45798</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45798</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45798</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45798</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45798</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45798</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45798</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45798</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45798</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45798</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45798</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45798</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45798</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45798</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45798</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45798</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45798</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45798</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45798</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45798</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45798</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45798</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45798</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45798</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45798</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45798</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45798</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45798</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45798</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45798</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45798</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45798</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45798</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45798</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45798</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45798</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45798</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45798</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45798</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45798</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45798</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45798</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45798</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45798</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45798</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45798</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45798</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45798</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45798</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45798</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45798</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45798</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45798</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45798</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45798</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45798</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45798</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45798</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45798</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45798</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45798</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45798</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45798</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45798</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45798</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45798</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45798</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45798</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45798</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45798</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45798</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45798</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45798</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45798</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45798</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45798</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45798</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45798</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45798</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45798</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45798</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45798</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45798</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45798</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45798</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45798</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45798</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45798</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45798</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45798</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45798</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45798</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45798</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45798</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45798</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45798</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45798</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45798</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45798</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45798</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45798</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45798</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45798</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45798</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45798</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45798</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45798</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45798</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45798</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45798</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45798</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45798</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45798</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45798</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45798</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45798</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45798</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45798</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45798</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45798</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45798</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45798</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45798</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45798</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45798</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45798</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45798</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45798</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45798</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45798</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45798</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45798</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45798</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45798</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45798</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45798</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45798</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45798</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45798</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45798</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45798</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45798</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45798</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45798</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45798</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45798</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45798</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45798</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45798</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45798</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45798</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45798</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45798</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45798</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45798</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45798</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45798</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45798</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45798</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45798</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45798</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45798</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45798</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45798</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45798</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45798</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45798</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45798</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45798</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45798</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45798</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45798</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45798</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45798</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45798</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45798</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45798</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45798</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45798</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45798</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45798</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45798</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45798</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45798</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45798</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45798</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45798</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45798</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45798</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45798</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45798</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45798</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45798</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45798</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45798</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45798</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45798</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45798</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45798</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45798</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45798</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45798</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45798</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45798</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45798</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45798</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45798</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45798</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45798</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45798</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45798</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45798</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45798</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45798</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45798</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45798</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45798</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45798</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45798</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45798</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45798</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45798</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45798</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45798</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45798</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45798</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45798</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45798</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45798</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45798</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45798</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45798</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45798</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45798</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45798</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45798</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45798</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45798</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45798</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45798</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45798</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45798</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45798</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45798</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45798</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45798</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45798</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45798</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45798</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45798</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45798</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45798</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45798</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45798</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45798</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45798</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45798</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45798</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45798</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45798</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45798</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45798</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45798</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45798</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45798</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45798</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45798</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45798</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45798</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45798</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45798</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45798</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45798</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45798</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45798</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45798</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45798</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45798</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45798</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45798</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45798</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45798</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45798</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45798</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45798</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45798</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45798</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45798</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45798</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45798</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45798</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45798</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45798</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45798</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45798</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45798</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45798</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45798</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45798</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45798</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45798</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45798</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45798</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45798</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45798</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45798</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45798</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45798</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45798</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45798</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45798</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45798</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45798</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45798</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45798</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45798</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45798</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45798</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45798</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45798</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45798</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45798</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45798</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45798</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45798</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45798</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45798</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45798</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45798</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45798</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45798</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45798</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45798</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45798</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45798</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45798</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45798</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45798</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45798</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45798</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45798</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45798</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45798</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45798</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45798</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45798</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45798</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45798</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45798</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45798</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45798</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45798</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45798</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45798</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45798</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45798</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45798</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45798</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45798</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45798</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45798</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45798</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45798</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45798</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45798</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45798</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45798</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45798</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45798</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45798</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45798</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45798</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45798</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45798</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45798</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45798</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45798</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45798</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45798</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45798</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45798</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45798</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45798</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45798</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45798</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45798</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45798</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45798</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45798</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45798</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45798</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45798</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45798</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45798</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45798</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45798</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45798</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45798</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45798</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45798</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45798</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45798</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45798</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45798</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45798</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45798</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45798</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45798</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45798</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45798</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45798</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45798</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45798</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45798</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45798</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45798</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45798</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45798</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45798</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45798</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45798</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45798</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45798</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45798</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45798</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45798</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45798</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45798</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45798</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45798</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45798</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45798</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45798</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45798</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45798</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45798</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45798</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45798</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45798</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45798</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45798</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45798</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45798</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45798</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45798</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45798</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45798</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45798</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45798</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45798</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45798</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45798</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45798</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45798</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45798</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45798</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45798</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45798</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45798</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45798</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45798</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45798</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45798</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45798</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45798</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45798</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45798</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45798</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45798</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45798</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45798</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45798</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45798</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45798</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45798</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45798</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45798</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45798</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45798</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45798</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45798</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45798</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45798</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45798</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45798</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45798</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45798</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45798</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45798</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45798</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45798</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45798</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45798</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45798</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45798</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45798</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45798</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45798</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45798</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45798</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45798</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45798</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45798</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45798</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45798</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45798</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45798</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45798</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45798</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45798</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45798</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45798</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45798</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45798</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45798</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45798</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45798</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45798</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45798</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45798</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45798</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45798</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45798</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45798</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45798</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45798</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45798</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45798</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45798</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45798</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45798</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45798</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45798</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45798</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45798</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45798</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45798</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45798</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45798</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45798</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45798</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45798</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45798</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45798</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45798</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45798</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45798</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45798</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45798</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45798</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45798</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45798</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45798</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45798</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45798</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45798</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45798</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45798</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45798</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45798</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45798</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45798</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45798</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45798</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45798</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45798</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45798</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45798</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45798</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45798</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45798</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45798</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45798</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45798</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45798</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45798</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45798</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45798</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45798</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45798</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45798</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45798</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45798</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45798</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45798</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45798</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45798</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45798</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45798</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45798</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45798</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45798</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45798</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45798</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45798</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45798</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45798</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45798</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45798</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45798</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45798</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45798</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45798</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45798</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45798</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45798</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45798</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45798</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45798</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45798</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45798</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45798</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45798</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45798</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45798</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45798</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45798</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45798</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45798</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45798</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45798</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45798</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45798</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45798</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45798</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45798</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45798</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45798</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45798</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45798</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45798</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45798</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45798</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45798</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45798</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45798</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45798</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45798</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45798</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45798</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45798</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45798</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45798</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45798</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45798</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45798</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45798</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45798</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45798</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45798</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45798</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45798</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45798</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45798</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45798</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45798</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45798</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45798</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45798</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45798</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45798</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45798</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45798</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45798</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45798</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45798</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45798</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45798</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45798</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45798</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45798</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45798</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45798</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45798</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45798</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45798</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45798</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45798</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45798</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45798</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45798</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45798</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45798</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45798</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45798</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45798</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45798</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45798</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45798</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45798</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45798</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45798</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45798</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45798</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45798</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45798</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45798</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45798</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45798</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45798</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45798</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45798</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45798</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45798</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45798</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45798</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45798</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45798</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45798</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45798</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45798</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45798</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45798</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45798</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45798</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45798</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45798</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45798</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45798</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45798</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45798</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45798</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45798</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45798</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45798</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45798</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45798</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45798</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45798</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45798</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45798</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45798</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45798</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45798</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45798</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45798</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45798</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45798</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45798</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45798</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45798</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45798</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45798</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45798</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45798</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45798</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45798</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45798</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45798</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45798</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45798</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45798</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45798</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45798</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45798</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45798</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45798</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45798</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45798</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45798</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45798</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45798</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45798</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45798</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45798</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45798</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45798</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45798</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45798</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45798</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45798</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45798</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45798</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45798</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45798</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45798</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45798</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45798</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45798</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45798</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45798</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45798</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45798</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45798</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45798</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45798</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45798</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45798</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45798</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45798</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45798</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45798</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45798</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45798</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45798</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45798</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45798</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45798</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45798</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45798</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45798</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45798</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45798</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45798</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45798</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45798</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45798</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45798</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45798</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45798</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45798</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45798</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45798</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45798</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45798</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45798</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45798</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45798</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45798</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45798</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45798</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45798</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45798</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45798</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45798</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45798</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45798</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45798</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45798</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45798</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45798</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45798</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45798</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45798</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45798</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45798</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45798</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45798</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45798</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45798</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45798</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45798</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45798</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45798</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45798</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45798</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45798</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45798</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45798</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45798</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45798</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45798</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45798</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45798</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45798</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45798</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45798</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45798</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45798</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45798</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45798</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45798</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45798</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45798</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45798</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45798</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45798</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45798</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45798</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45798</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45798</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45798</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45798</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45798</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45798</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45798</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45798</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45798</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45798</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45798</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45798</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45798</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45798</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45798</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45798</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45798</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45798</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45798</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45798</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45798</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45798</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45798</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45798</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45798</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45798</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45798</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45798</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45798</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45798</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45798</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45798</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45798</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45798</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45798</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45798</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45798</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45798</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45798</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45798</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45798</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45798</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45798</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45798</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45798</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45798</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45798</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45798</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45798</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45798</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45798</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45798</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45798</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45798</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45798</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45798</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45798</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45798</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45798</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45798</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45798</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45798</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45798</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45798</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45798</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45798</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45798</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45798</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45798</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45798</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45798</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45798</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45798</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45798</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45798</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45798</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45798</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45798</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45798</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45798</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45798</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45798</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45798</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45798</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45798</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45798</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45798</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45798</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45798</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45798</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45798</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45798</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45798</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45798</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45798</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45798</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45798</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45798</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45798</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45798</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45798</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45798</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45798</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45798</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45798</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45798</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45798</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45798</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45798</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45798</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45798</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45798</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45798</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45798</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45798</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45798</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45798</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45798</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45798</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45798</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45798</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45798</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45798</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45798</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45798</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45798</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45798</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45798</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45798</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45798</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45798</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45798</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45798</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45798</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45798</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45798</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45798</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45798</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45798</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45798</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45798</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45798</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45798</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45798</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45798</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45798</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45798</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45798</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45798</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45798</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45798</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45798</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45798</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45798</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45798</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45798</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45798</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45798</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45798</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45798</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45798</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45798</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45798</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45798</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45798</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45798</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45798</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45798</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45798</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45798</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45798</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45798</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45798</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45798</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45798</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45798</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45798</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45798</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45798</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45798</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45798</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45798</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45798</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45798</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45798</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45798</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45798</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45798</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45798</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45798</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45798</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45798</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45798</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45798</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45798</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45798</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45798</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45798</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45798</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45798</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45798</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45798</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45798</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45798</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45798</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45798</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45798</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45798</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45798</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45798</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45798</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45798</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45798</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45798</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45798</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45798</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45798</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45798</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45798</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45798</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45798</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45798</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45798</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45798</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45798</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45798</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45798</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45798</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45798</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45798</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45798</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45798</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45798</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45798</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45798</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45798</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45798</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45798</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45798</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45798</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45798</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45798</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45798</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45798</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45798</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45798</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45798</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45798</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45798</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45798</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45798</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45798</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45798</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45798</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45798</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45798</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45798</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45798</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45798</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45798</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45798</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45798</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45798</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45798</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45798</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45798</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45798</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45798</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45798</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45798</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45798</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45798</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45798</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45798</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45798</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45798</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45798</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45798</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45798</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45798</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45798</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45798</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45798</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45798</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45798</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45798</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45798</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45798</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45798</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45798</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45798</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45798</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45798</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45798</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45798</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45798</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45798</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45798</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45798</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45798</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45798</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45798</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45798</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45798</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45798</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45798</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45798</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45798</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45798</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45798</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45798</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45798</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45798</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45798</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45798</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45798</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45798</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45798</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45798</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45798</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45798</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45798</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45798</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45798</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45798</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45798</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45798</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45798</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45798</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45798</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45798</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45798</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45798</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45798</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45798</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45798</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45798</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45798</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45798</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45798</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45798</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45798</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45798</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45798</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45798</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45798</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45798</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45798</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45798</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45798</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45798</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45798</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45798</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45798</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45798</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45798</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45798</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45798</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45798</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45798</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45798</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45798</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45798</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45798</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45798</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45798</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45798</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45798</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45798</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45798</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45798</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45798</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45798</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45798</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45798</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45798</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45798</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45798</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45798</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45798</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45798</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45798</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45798</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45798</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45798</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45798</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45798</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45798</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45798</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45798</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45798</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45798</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45798</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45798</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45798</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45798</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45798</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45798</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45798</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45798</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45798</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45798</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45798</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45798</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45798</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45798</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45798</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45798</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45798</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45798</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45798</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45798</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45798</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45798</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45798</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45798</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45798</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45798</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45798</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45798</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45798</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45798</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45798</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45798</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45798</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45798</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45798</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45798</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45798</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45798</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45798</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45798</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45798</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45798</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45798</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45798</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45798</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45798</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45798</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45798</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45798</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45798</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45798</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45798</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45798</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45798</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45798</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45798</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45798</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45798</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45798</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45798</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45798</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45798</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45798</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45798</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45798</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45798</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45798</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45798</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45798</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45798</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45798</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45798</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45798</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45798</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45798</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45798</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45798</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45798</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45798</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45798</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45798</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45798</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45798</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45798</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45798</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45798</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45798</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45798</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45798</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45798</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45798</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45798</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45798</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45798</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45798</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45798</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45798</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45798</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45798</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45798</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45798</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45798</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45798</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45798</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45798</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45798</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45798</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45798</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45798</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45798</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45798</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45798</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45798</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45798</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45798</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45798</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45798</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45798</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45798</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45798</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45798</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45798</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45798</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45798</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45798</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45798</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45798</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45798</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45798</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45798</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45798</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45798</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45798</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45798</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45798</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45798</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45798</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45798</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45798</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45798</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45798</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45798</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45798</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45798</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45798</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45798</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45798</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45798</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45798</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45798</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45798</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45798</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45798</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45798</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45798</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45798</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45798</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45798</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45798</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45798</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45798</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45798</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45798</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45798</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45798</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45798</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45798</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45798</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45798</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45798</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45798</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45798</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45798</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45798</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45798</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45798</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45798</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45798</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45798</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45798</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45798</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45798</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45798</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45798</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45798</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45798</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45798</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45798</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45798</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45798</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45798</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45798</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45798</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45798</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45798</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45798</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45798</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45798</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45798</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45798</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45798</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45798</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45798</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45798</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45798</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45798</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45798</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45798</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45798</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45798</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45798</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45798</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45798</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45798</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45798</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45798</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45798</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45798</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45798</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45798</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45798</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45798</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45798</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45798</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45798</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45798</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45798</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45798</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45798</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45798</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45798</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45798</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45798</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45798</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45798</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45798</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45798</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45798</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45798</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45798</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45798</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45798</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45798</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45798</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45798</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45798</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45798</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45798</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45798</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45798</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45798</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45798</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45798</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45798</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45798</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45798</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45798</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45798</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45798</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45798</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45798</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45798</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45798</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45798</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45798</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45798</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45798</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45798</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45798</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45798</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45798</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45798</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45798</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45798</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45798</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45798</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45798</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45798</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45798</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45798</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45798</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45798</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45798</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45798</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45798</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45798</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45798</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45798</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45798</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45798</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45798</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45798</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45798</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45798</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45798</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45798</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45798</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45798</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45798</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45798</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45798</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45798</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45798</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45798</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45798</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45798</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45798</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45798</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45798</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45798</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45798</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45798</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45798</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45798</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45798</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45798</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45798</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45798</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45798</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45798</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45798</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45798</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45798</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45798</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45798</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45798</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45798</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45798</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45798</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45798</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45798</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45798</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45798</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45798</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45798</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45798</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45798</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45798</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45798</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45798</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45798</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45798</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45798</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45798</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45798</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45798</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45798</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45798</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45798</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45798</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45798</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45798</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45798</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45798</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45798</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45798</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45798</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45798</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45798</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45798</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45798</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45798</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45798</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45798</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45798</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45798</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45798</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45798</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45798</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45798</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45798</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45798</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45798</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45798</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45798</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45798</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45798</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45798</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45798</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45798</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45798</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45798</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45798</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45798</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45798</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45798</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45798</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45798</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45798</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45798</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45798</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45798</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45798</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45798</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45798</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45798</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45798</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45798</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45798</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45798</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45798</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45798</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45798</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45798</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45798</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45798</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45798</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45798</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45798</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45798</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45798</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45798</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45798</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45798</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45798</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45798</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45798</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45798</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45798</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45798</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45798</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45798</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45798</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45798</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45798</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45798</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45798</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45798</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45798</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45798</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45798</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45798</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45798</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45798</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45798</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45798</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45798</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45798</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45798</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45798</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45798</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45798</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45798</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45798</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45798</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45798</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45798</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45798</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45798</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45798</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45798</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45798</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45798</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45798</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45798</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45798</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45798</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45798</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45798</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45798</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45798</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45798</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45798</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45798</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45798</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45798</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45798</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45798</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45798</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45798</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45798</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45798</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45798</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45798</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45798</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45798</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45798</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45798</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45798</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45798</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45798</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45798</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45798</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45798</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45798</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45798</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45798</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45798</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45798</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45798</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45798</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45798</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45798</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45798</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45798</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45798</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45798</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45798</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45798</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45798</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45798</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45798</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45798</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45798</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45798</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45798</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45798</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45798</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45798</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45798</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45798</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45798</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45798</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45798</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45798</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45798</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45798</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45798</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45798</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45798</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45798</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45798</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45798</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45798</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45798</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45798</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45798</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45798</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45798</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45798</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45798</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45798</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45798</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45798</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45798</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45798</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45798</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45798</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45798</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45798</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45798</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45798</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45798</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45798</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45798</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45798</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45798</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45798</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45798</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45798</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45798</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45798</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45798</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45798</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45798</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45798</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45798</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45798</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45798</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45798</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45798</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45798</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45798</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45798</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45798</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45798</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45798</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45798</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45798</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45798</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45798</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45798</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45798</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45798</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45798</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45798</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45798</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45798</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45798</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45798</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45798</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45798</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45798</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45798</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45798</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45798</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45798</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45798</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45798</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45798</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45798</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45798</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45798</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45798</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45798</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45798</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45798</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45798</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45798</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45798</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45798</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45798</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45798</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45798</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45798</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45798</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45798</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45798</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45798</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45798</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45798</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45798</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45798</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45798</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45798</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45798</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45798</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45798</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45798</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45798</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45798</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45798</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45798</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45798</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45798</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45798</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45798</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45798</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45798</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45798</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45798</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45798</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45798</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45798</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45798</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45798</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45798</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45798</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45798</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45798</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45798</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45798</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45798</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45798</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45798</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45798</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45798</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45798</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45798</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45798</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45798</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45798</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45798</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45798</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45798</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45798</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45798</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45798</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45798</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45798</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45798</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45798</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45798</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45798</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45798</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45798</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45798</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45798</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45798</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45798</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45798</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45798</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45798</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45798</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45798</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45798</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45798</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45798</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45798</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45798</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45798</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45798</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45798</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45798</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45798</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45798</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45798</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45798</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45798</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45798</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45798</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45798</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45798</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45798</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45798</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45798</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45798</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45798</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45798</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45798</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45798</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45798</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45798</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45798</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45798</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45798</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45798</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45798</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45798</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45798</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45798</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45798</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45798</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45798</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45798</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45798</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45798</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45798</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45798</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45798</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45798</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45798</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45798</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45798</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45798</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45798</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45798</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45798</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45798</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45798</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45798</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45798</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45798</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45798</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45798</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45798</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45798</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45798</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45798</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45798</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45798</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45798</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45798</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45798</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45798</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45798</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45798</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45798</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45798</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45798</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45798</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45798</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45798</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45798</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45798</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45798</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45798</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45798</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45798</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45798</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45798</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45798</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45798</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45798</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45798</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45798</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45798</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45798</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45798</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45798</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45798</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45798</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45798</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45798</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45798</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45798</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45798</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45798</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45798</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45798</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45798</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45798</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45798</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45798</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45798</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45798</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45798</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45798</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45798</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45798</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45798</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45798</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45798</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45798</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45798</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45798</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45798</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45798</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45798</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45798</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45798</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45798</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45798</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45798</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45798</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45798</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45798</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45798</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45798</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45798</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45798</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45798</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45798</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45798</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45798</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45798</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45798</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45798</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45798</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45798</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45798</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45798</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45798</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45798</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45798</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45798</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45798</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45798</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45798</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45798</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45798</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45798</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45798</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45798</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45798</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45798</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45798</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45798</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45798</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45798</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45798</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45798</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45798</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45798</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45798</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45798</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45798</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45798</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45798</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45798</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45798</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45798</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45798</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45798</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45798</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45798</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45798</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45798</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45798</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45798</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45798</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45798</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45798</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45798</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45798</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45798</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45798</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45798</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45798</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45798</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45798</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45798</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45798</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45798</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45798</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45798</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45798</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45798</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45798</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45798</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45798</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45798</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45798</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45798</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45798</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45798</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45798</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45798</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45798</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45798</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45798</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45798</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45798</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45798</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45798</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45798</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45798</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45798</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45798</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45798</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45798</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45798</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45798</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45798</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45798</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45798</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45798</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45798</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45798</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45798</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45798</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45798</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45798</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45798</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45798</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45798</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45798</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45798</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45798</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45798</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45798</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45798</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45798</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45798</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45798</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45798</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45798</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45798</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45798</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45798</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45798</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45798</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45798</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45798</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45798</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45798</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45798</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45798</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45798</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45798</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45798</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45798</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45798</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45798</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45798</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45798</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45798</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45798</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45798</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45798</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45798</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45798</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45798</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45798</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45798</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45798</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45798</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45798</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45798</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45798</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45798</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45798</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45798</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45798</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45798</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45798</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45798</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45798</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45798</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45798</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45798</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45798</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45798</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45798</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45798</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45798</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45798</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45798</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45798</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45798</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45798</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45798</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45798</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45798</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45798</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45798</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45798</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45798</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45798</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45798</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45798</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45798</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45798</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45798</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45798</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45798</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45798</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45798</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45798</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45798</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45798</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45798</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45798</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45798</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45798</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45798</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45798</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45798</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45798</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45798</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45798</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45798</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45798</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45798</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45798</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45798</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45798</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45798</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45798</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45798</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45798</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45798</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45798</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45798</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45798</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45798</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45798</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45798</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45798</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45798</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45798</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45798</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45798</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45798</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45798</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45798</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45798</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45798</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45798</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45798</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45798</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45798</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45798</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45798</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45798</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45798</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45798</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45798</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45798</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45798</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45798</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45798</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45798</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45798</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45798</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45798</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45798</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45798</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45798</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45798</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45798</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45798</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45798</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45798</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45798</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45798</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45798</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45798</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45798</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45798</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45798</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45798</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45798</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45798</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45798</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45798</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45798</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45798</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45798</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45798</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45798</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45798</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45798</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45798</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45798</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45798</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45798</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45798</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45798</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45798</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45798</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45798</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45798</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45798</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45798</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45798</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45798</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45798</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45798</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45798</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45798</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45798</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45798</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45798</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45798</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45798</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45798</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45798</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45798</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45798</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45798</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45798</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45798</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45798</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45798</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45798</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45798</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45798</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45798</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45798</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45798</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45798</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45798</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45798</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45798</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45798</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45798</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45798</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45798</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45798</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45798</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45798</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45798</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45798</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45798</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45798</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45798</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45798</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45798</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45798</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45798</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45798</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45798</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45798</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45798</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45798</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45798</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45798</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45798</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45798</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45798</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45798</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45798</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45798</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45798</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45798</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45798</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45798</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45798</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45798</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45798</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45798</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45798</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45798</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45798</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45798</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45798</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45798</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45798</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45798</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45798</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45798</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45798</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45798</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45798</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45798</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45798</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45798</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45798</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45798</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45798</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45798</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45798</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45798</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45798</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45798</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45798</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45798</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45798</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45798</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45798</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45798</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45798</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45798</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45798</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45798</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45798</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45798</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45798</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45798</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45798</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45798</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45798</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45798</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45798</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45798</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45798</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45798</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45798</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45798</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45798</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45798</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45798</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45798</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45798</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45798</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45798</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45798</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45798</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45798</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45798</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45798</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45798</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45798</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45798</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45798</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45798</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45798</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45798</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45798</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45798</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45798</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45798</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45798</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45798</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45798</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45798</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45798</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45798</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45798</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45798</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45798</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45798</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45798</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45798</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45798</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45798</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45798</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45798</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45798</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45798</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45798</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45798</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45798</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45798</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45798</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45798</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45798</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45798</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45798</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45798</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45798</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45798</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45798</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45798</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45798</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45798</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45798</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45798</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45798</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45798</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45798</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45798</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45798</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45798</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45798</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45798</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45798</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45798</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45798</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45798</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45798</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45798</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45798</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45798</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45798</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45798</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45798</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45798</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45798</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45798</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45798</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45798</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45798</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45798</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45798</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45798</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45798</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45798</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45798</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45798</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45798</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45798</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45798</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45798</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45798</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45798</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45798</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45798</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45798</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45798</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45798</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45798</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45798</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45798</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45798</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45798</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45798</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45798</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45798</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45798</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45798</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45798</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45798</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45798</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45798</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45798</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45798</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45798</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45798</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45798</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45798</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45798</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45798</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45798</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45798</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45798</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45798</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45798</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45798</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45798</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45798</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45798</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45798</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45798</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45798</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45798</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45798</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45798</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45798</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45798</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45798</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45798</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45798</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45798</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45798</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45798</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45798</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45798</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45798</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45798</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45798</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45798</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45798</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45798</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45798</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45798</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45798</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45798</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45798</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45798</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45798</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45798</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45798</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45798</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45798</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45798</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45798</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45798</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45798</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45798</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45798</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45798</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45798</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45798</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45798</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45798</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45798</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45798</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45798</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45798</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45798</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45798</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45798</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45798</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45798</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45798</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45798</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45798</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45798</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45798</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45798</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45798</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45798</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45798</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45798</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45798</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45798</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45798</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45798</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45798</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45798</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45798</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45798</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45798</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45798</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45798</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45798</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45798</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45798</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45798</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45798</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45798</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45798</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45798</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45798</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45798</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45798</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45798</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45798</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45798</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45798</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45798</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45798</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45798</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45798</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45798</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45798</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45798</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45798</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45798</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45798</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45798</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45798</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45798</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45798</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45798</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45798</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45798</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45798</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45798</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45798</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45798</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45798</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45798</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45798</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45798</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45798</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45798</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45798</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45798</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45798</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45798</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45798</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45798</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45798</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45798</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45798</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45798</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45798</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45798</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45798</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45798</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45798</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45798</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45798</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45798</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45798</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45798</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45798</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45798</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45798</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45798</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45798</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45798</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45798</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45798</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45798</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45798</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45798</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45798</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45798</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45798</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45798</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45798</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45798</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45798</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45798</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45798</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45798</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45798</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45798</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45798</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45798</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45798</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45798</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45798</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45798</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45798</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45798</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45798</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45798</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45798</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45798</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45798</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45798</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45798</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45798</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45798</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45798</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45798</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45798</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45798</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45798</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45798</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45798</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45798</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45798</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45798</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45798</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45798</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45798</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45798</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45798</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45798</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45798</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45798</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45798</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45798</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45798</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45798</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45798</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45798</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45798</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45798</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45798</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45798</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45798</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45798</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45798</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45798</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45798</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45798</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45798</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45798</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45798</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45798</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45798</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45798</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45798</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45798</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45798</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45798</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45798</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45798</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45798</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45798</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45798</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45798</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45798</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45798</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45798</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45798</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45798</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45798</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45798</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45798</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45798</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45798</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45798</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45798</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45798</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45798</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45798</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45798</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45798</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45798</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45798</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45798</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45798</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45798</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45798</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45798</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45798</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45798</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45798</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45798</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45798</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45798</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45798</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45798</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45798</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45798</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45798</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45798</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45798</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45798</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45798</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45798</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45798</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45798</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45798</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45798</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45798</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45798</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45798</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45798</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45798</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45798</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45798</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45798</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45798</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45798</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45798</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45798</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45798</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45798</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45798</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45798</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45798</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45798</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45798</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45798</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45798</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45798</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45798</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45798</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45798</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45798</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45798</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45798</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45798</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45798</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45798</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45798</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45798</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45798</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45798</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45798</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45798</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45798</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45798</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45798</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45798</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45798</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45798</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45798</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45798</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45798</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45798</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45798</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45798</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45798</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45798</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45798</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45798</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45798</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45798</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45798</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45798</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45798</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45798</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45798</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45798</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45798</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45798</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45798</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45798</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45798</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45798</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45798</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45798</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45798</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45798</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45798</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45798</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45798</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45798</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45798</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45798</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45798</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45798</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45798</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45798</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45798</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45798</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45798</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45798</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45798</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45798</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45798</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45798</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45798</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45798</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45798</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45798</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45798</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45798</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45798</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45798</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45798</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45798</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45798</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45798</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45798</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45798</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45798</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45798</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45798</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45798</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45798</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45798</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45798</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45798</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45798</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45798</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45798</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45798</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45798</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45798</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45798</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45798</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45798</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45798</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45798</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45798</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45798</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45798</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45798</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45798</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45798</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45798</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45798</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45798</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45798</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45798</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45798</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45798</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45798</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45798</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45798</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45798</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45798</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45798</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45798</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45798</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45798</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45798</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45798</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45798</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45798</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45798</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45798</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45798</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45798</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45798</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45798</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45798</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45798</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45798</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45798</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45798</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45798</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45798</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45798</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45798</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45798</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45798</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45798</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45798</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45798</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45798</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45798</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45798</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45798</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45798</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45798</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45798</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45798</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45798</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45798</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45798</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45798</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45798</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45798</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45798</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45798</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45798</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45798</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45798</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45798</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45798</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45798</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45798</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45798</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45798</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45798</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45798</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45798</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45798</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45798</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45798</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45798</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45798</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45798</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45798</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45798</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45798</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45798</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45798</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45798</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45798</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45798</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45798</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45798</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45798</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45798</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45798</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45798</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45798</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45798</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45798</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45798</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45798</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45798</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45798</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45798</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45798</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45798</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45798</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45798</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45798</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45798</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45798</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45798</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45798</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45798</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45798</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45798</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45798</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45798</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45798</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45798</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45798</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45798</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45798</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45798</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45798</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45798</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45798</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45798</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45798</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45798</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45798</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45798</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45798</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45798</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45798</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45798</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45798</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45798</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45798</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45798</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45798</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45798</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45798</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45798</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45798</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45798</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45798</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45798</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45798</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45798</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45798</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45798</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45798</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45798</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45798</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45798</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45798</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45798</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45798</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45798</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45798</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45798</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45798</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45798</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45798</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45798</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45798</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45798</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45798</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45798</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45798</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45798</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45798</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45798</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45798</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45798</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45798</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45798</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45798</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45798</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45798</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45798</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45798</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45798</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45798</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45798</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45798</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45798</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45798</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45798</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45798</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45798</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45798</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45798</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45798</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45798</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45798</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45798</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45798</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45798</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45798</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45798</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45798</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45798</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45798</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45798</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45798</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45798</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45798</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45798</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45798</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45798</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45798</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45798</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45798</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45798</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45798</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45798</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45798</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45798</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45798</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45798</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45798</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45798</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45798</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45798</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45798</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45798</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45798</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45798</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45798</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45798</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45798</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45798</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45798</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45798</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45798</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45798</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45798</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45798</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45798</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45798</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45798</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45798</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45798</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45798</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45798</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45798</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45798</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45798</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45798</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45798</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45798</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45798</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45798</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45798</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45798</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45798</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45798</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45798</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45798</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45798</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45798</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45798</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45798</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45798</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45798</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45798</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45798</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45798</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45798</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45798</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45798</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45798</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45798</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45798</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45798</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45798</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45798</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45798</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45798</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45798</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45798</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45798</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45798</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45798</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45798</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45798</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45798</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45798</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45798</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45798</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45798</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45798</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45798</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45798</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45798</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45798</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45798</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45798</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45798</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45798</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45798</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45798</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45798</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45798</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45798</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45798</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45798</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45798</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45798</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45798</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45798</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45798</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45798</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45798</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45798</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45798</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45798</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45798</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45798</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45798</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45798</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45798</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45798</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45798</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45798</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45798</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45798</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45798</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45798</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45798</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45798</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45798</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45798</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45798</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45798</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45798</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45798</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45798</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45798</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45798</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45798</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45798</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45798</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45798</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45798</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45798</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45798</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45798</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45798</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45798</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45798</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45798</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45798</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45798</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45798</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45798</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45798</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45798</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45798</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45798</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45798</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45798</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45798</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45798</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45798</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45798</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45798</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45798</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45798</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45798</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45798</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45798</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45798</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45798</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45798</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45798</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45798</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45798</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45798</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45798</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45798</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45798</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45798</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45798</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45798</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45798</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45798</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45798</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45798</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45798</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45798</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45798</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45798</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45798</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45798</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45798</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45798</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45798</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45798</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45798</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45798</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45798</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45798</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45798</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45798</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45798</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45798</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45798</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45798</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45798</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45798</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45798</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45798</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45798</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45798</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45798</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45798</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45798</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45798</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45798</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45798</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45798</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45798</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45798</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45798</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45798</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45798</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45798</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45798</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45798</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45798</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45798</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45798</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45798</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45798</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45798</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45798</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45798</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45798</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45798</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45798</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45798</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45798</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45798</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45798</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45798</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45798</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45798</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45798</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45798</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45798</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45798</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45798</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45798</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45798</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45798</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45798</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45798</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45798</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45798</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45798</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45798</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45798</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45798</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45798</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45798</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45798</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45798</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45798</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45798</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45798</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45798</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45798</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45798</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45798</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45798</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45798</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45798</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45798</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45798</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45798</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45798</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45798</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45798</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45798</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45798</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45798</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45798</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45798</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45798</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45798</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45798</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45798</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45798</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45798</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45798</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45798</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45798</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45798</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45798</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45798</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45798</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45798</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45798</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45798</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45798</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45798</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45798</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45798</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45798</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45798</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45798</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45798</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45798</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45798</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45798</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45798</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45798</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45798</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45798</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45798</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45798</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45798</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45798</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45798</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45798</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45798</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45798</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45798</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45798</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45798</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45798</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45798</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45798</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45798</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45798</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45798</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45798</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45798</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45798</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45798</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45798</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45798</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45798</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45798</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45798</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45798</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45798</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45798</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45798</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45798</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45798</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45798</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45798</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45798</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45798</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45798</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45798</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45798</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45798</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45798</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45798</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45798</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45798</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45798</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45798</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45798</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45798</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45798</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45798</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45798</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45798</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45798</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45798</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45798</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45798</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45798</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45798</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45798</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45798</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45798</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45798</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45798</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45798</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45798</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45798</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45798</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45798</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45798</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45798</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45798</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45798</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45798</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45798</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45798</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45798</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45798</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45798</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45798</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45798</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45798</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45798</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45798</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45798</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45798</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45798</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45798</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45798</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45798</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45798</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45798</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45798</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45798</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45798</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45798</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45798</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45798</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45798</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45798</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45798</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45798</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45798</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45798</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45798</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45798</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45798</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45798</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45798</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45798</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45798</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45798</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45798</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45798</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45798</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45798</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45798</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45798</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45798</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45798</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45798</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45798</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45798</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45798</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45798</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45798</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45798</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45798</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45798</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45798</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45798</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45798</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45798</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45798</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45798</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45798</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45798</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45798</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45798</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45798</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45798</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45798</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45798</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45798</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45798</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45798</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45798</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45798</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45798</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45798</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45798</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45798</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45798</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45798</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45798</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45798</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45798</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45798</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45798</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45798</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45798</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45798</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45798</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45798</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45798</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45798</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45798</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45798</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45798</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45798</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45798</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45798</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45798</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45798</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45798</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45798</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45798</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45798</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45798</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45798</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45798</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45798</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45798</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45798</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45798</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45798</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45798</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45798</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45798</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45798</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45798</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45798</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45798</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45798</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45798</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45798</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45798</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45798</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45798</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45798</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45798</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45798</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45798</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45798</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45798</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45798</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45798</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45798</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45798</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45798</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45798</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45798</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45798</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45798</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45798</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45798</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45798</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45798</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45798</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45798</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45798</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45798</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45798</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45798</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45798</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45798</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45798</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45798</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45798</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45798</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45798</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45798</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45798</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45798</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45798</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45798</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45798</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45798</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45798</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45798</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45798</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45798</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45798</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45798</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45798</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45798</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45798</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45798</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45798</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45798</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45798</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45798</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45798</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45798</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45798</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45798</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45798</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45798</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45798</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45798</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45798</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45798</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45798</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45798</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45798</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45798</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45798</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45798</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45798</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45798</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45798</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45798</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45798</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45798</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45798</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45798</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45798</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45798</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45798</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45798</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45798</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45798</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45798</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45798</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45798</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45798</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45798</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45798</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45798</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45798</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45798</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45798</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45798</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45798</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45798</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45798</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45798</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45798</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45798</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45798</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45798</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45798</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45798</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45798</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45798</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45798</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45798</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45798</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45798</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45798</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45798</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45798</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45798</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45798</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45798</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45798</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45798</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45798</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45798</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45798</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45798</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45798</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45798</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45798</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45798</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45798</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45798</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45798</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45798</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45798</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45798</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45798</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45798</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45798</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45798</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45798</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45798</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45798</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45798</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45798</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45798</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45798</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45798</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45798</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45798</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45798</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45798</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45798</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45798</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45798</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45798</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45798</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45798</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45798</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45798</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45798</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45798</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45798</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45798</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45798</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45798</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45798</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45798</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45798</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45798</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45798</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45798</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45798</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45798</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45798</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45798</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45798</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45798</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45798</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45798</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45798</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45798</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45798</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45798</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45798</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45798</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45798</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45798</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45798</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45798</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45798</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45798</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45798</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45798</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45798</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45798</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45798</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45798</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45798</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45798</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45798</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45798</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45798</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45798</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45798</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45798</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45798</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45798</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45798</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45798</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45798</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45798</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45798</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45798</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45798</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45798</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45798</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45798</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45798</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45798</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45798</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45798</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45798</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45798</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45798</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45798</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45798</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45798</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45798</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45798</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45798</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45798</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45798</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45798</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45798</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45798</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45798</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45798</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45798</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45798</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45798</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45798</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45798</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45798</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45798</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45798</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45798</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45798</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45798</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45798</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45798</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45798</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45798</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45798</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45798</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45798</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45798</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45798</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45798</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45798</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45798</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45798</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45798</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45798</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45798</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45798</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45798</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45798</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45798</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45798</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45798</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45798</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45798</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45798</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45798</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45798</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45798</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45798</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45798</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45798</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45798</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45798</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45798</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45798</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45798</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45798</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45798</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45798</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45798</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45798</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45798</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45798</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45798</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45798</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45798</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45798</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45798</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45798</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45798</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45798</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45798</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45798</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45798</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45798</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45798</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45798</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45798</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45798</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45798</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45798</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45798</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45798</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45798</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45798</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45798</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45798</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45798</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45798</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45798</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45798</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45798</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45798</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45798</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45798</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45798</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45798</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45798</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45798</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45798</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45798</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45798</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45798</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45798</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45798</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45798</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45798</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45798</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45798</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45798</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45798</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45798</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45798</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45798</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45798</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45798</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45798</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45798</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45798</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45798</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45798</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45798</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45798</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45798</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45798</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45798</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45798</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45798</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45798</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45798</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45798</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45798</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45798</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45798</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45798</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45798</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45798</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45798</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45798</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45798</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45798</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45798</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45798</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45798</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45798</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45798</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45798</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45798</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45798</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45798</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45798</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45798</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45798</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45798</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45798</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45798</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45798</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45798</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45798</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45798</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45798</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45798</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45798</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45798</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45798</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45798</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45798</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45798</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45798</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45798</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45798</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45798</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45798</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45798</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45798</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45798</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45798</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45798</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45798</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45798</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45798</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45798</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45798</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45798</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45798</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45798</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45798</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45798</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45798</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45798</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45798</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45798</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45798</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45798</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45798</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45798</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45798</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45798</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45798</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45798</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45798</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45798</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45798</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45798</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45798</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45798</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45798</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45798</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45798</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45798</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45798</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45798</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45798</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45798</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45798</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45798</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45798</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45798</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45798</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45798</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45798</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45798</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45798</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45798</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45798</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45798</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45798</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45798</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45798</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45798</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45798</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45798</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45798</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45798</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45798</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45798</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45798</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45798</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45798</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45798</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45798</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45798</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45798</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45798</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45798</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45798</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45798</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45798</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45798</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45798</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45798</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45798</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45798</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45798</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45798</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45798</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45798</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45798</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45798</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45798</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45798</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45798</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45798</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45798</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45798</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45798</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45798</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45798</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45798</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45798</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45798</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45798</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45798</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45798</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45798</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45798</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19138-2025</t>
        </is>
      </c>
      <c r="B7015" s="1" t="n">
        <v>45769</v>
      </c>
      <c r="C7015" s="1" t="n">
        <v>45798</v>
      </c>
      <c r="D7015" t="inlineStr">
        <is>
          <t>UPPSALA LÄN</t>
        </is>
      </c>
      <c r="E7015" t="inlineStr">
        <is>
          <t>TIERP</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19345-2025</t>
        </is>
      </c>
      <c r="B7016" s="1" t="n">
        <v>45769</v>
      </c>
      <c r="C7016" s="1" t="n">
        <v>45798</v>
      </c>
      <c r="D7016" t="inlineStr">
        <is>
          <t>UPPSALA LÄN</t>
        </is>
      </c>
      <c r="E7016" t="inlineStr">
        <is>
          <t>UPPSALA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45798</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45798</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19613-2025</t>
        </is>
      </c>
      <c r="B7019" s="1" t="n">
        <v>45770</v>
      </c>
      <c r="C7019" s="1" t="n">
        <v>45798</v>
      </c>
      <c r="D7019" t="inlineStr">
        <is>
          <t>UPPSALA LÄN</t>
        </is>
      </c>
      <c r="E7019" t="inlineStr">
        <is>
          <t>UPPSALA</t>
        </is>
      </c>
      <c r="F7019" t="inlineStr">
        <is>
          <t>Övriga Aktiebolag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19637-2025</t>
        </is>
      </c>
      <c r="B7020" s="1" t="n">
        <v>45770</v>
      </c>
      <c r="C7020" s="1" t="n">
        <v>45798</v>
      </c>
      <c r="D7020" t="inlineStr">
        <is>
          <t>UPPSALA LÄN</t>
        </is>
      </c>
      <c r="E7020" t="inlineStr">
        <is>
          <t>ÖSTHAMMAR</t>
        </is>
      </c>
      <c r="F7020" t="inlineStr">
        <is>
          <t>Övriga Aktiebolag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19523-2025</t>
        </is>
      </c>
      <c r="B7021" s="1" t="n">
        <v>45770</v>
      </c>
      <c r="C7021" s="1" t="n">
        <v>45798</v>
      </c>
      <c r="D7021" t="inlineStr">
        <is>
          <t>UPPSALA LÄN</t>
        </is>
      </c>
      <c r="E7021" t="inlineStr">
        <is>
          <t>TIERP</t>
        </is>
      </c>
      <c r="F7021" t="inlineStr">
        <is>
          <t>Bergvik skog öst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19650-2025</t>
        </is>
      </c>
      <c r="B7022" s="1" t="n">
        <v>45770</v>
      </c>
      <c r="C7022" s="1" t="n">
        <v>45798</v>
      </c>
      <c r="D7022" t="inlineStr">
        <is>
          <t>UPPSALA LÄN</t>
        </is>
      </c>
      <c r="E7022" t="inlineStr">
        <is>
          <t>ÖSTHAMMAR</t>
        </is>
      </c>
      <c r="F7022" t="inlineStr">
        <is>
          <t>Övriga Aktiebolag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19676-2025</t>
        </is>
      </c>
      <c r="B7023" s="1" t="n">
        <v>45770</v>
      </c>
      <c r="C7023" s="1" t="n">
        <v>45798</v>
      </c>
      <c r="D7023" t="inlineStr">
        <is>
          <t>UPPSALA LÄN</t>
        </is>
      </c>
      <c r="E7023" t="inlineStr">
        <is>
          <t>KNIVSTA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19555-2025</t>
        </is>
      </c>
      <c r="B7024" s="1" t="n">
        <v>45770</v>
      </c>
      <c r="C7024" s="1" t="n">
        <v>45798</v>
      </c>
      <c r="D7024" t="inlineStr">
        <is>
          <t>UPPSALA LÄN</t>
        </is>
      </c>
      <c r="E7024" t="inlineStr">
        <is>
          <t>HEBY</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19646-2025</t>
        </is>
      </c>
      <c r="B7025" s="1" t="n">
        <v>45770</v>
      </c>
      <c r="C7025" s="1" t="n">
        <v>45798</v>
      </c>
      <c r="D7025" t="inlineStr">
        <is>
          <t>UPPSALA LÄN</t>
        </is>
      </c>
      <c r="E7025" t="inlineStr">
        <is>
          <t>ÖSTHAMMAR</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19501-2025</t>
        </is>
      </c>
      <c r="B7026" s="1" t="n">
        <v>45770</v>
      </c>
      <c r="C7026" s="1" t="n">
        <v>45798</v>
      </c>
      <c r="D7026" t="inlineStr">
        <is>
          <t>UPPSALA LÄN</t>
        </is>
      </c>
      <c r="E7026" t="inlineStr">
        <is>
          <t>ÖSTHAMMAR</t>
        </is>
      </c>
      <c r="F7026" t="inlineStr">
        <is>
          <t>Övriga Aktiebolag</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19522-2025</t>
        </is>
      </c>
      <c r="B7027" s="1" t="n">
        <v>45770</v>
      </c>
      <c r="C7027" s="1" t="n">
        <v>45798</v>
      </c>
      <c r="D7027" t="inlineStr">
        <is>
          <t>UPPSALA LÄN</t>
        </is>
      </c>
      <c r="E7027" t="inlineStr">
        <is>
          <t>TIERP</t>
        </is>
      </c>
      <c r="F7027" t="inlineStr">
        <is>
          <t>Bergvik skog öst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19559-2025</t>
        </is>
      </c>
      <c r="B7028" s="1" t="n">
        <v>45770</v>
      </c>
      <c r="C7028" s="1" t="n">
        <v>45798</v>
      </c>
      <c r="D7028" t="inlineStr">
        <is>
          <t>UPPSALA LÄN</t>
        </is>
      </c>
      <c r="E7028" t="inlineStr">
        <is>
          <t>HEBY</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19640-2025</t>
        </is>
      </c>
      <c r="B7029" s="1" t="n">
        <v>45770</v>
      </c>
      <c r="C7029" s="1" t="n">
        <v>45798</v>
      </c>
      <c r="D7029" t="inlineStr">
        <is>
          <t>UPPSALA LÄN</t>
        </is>
      </c>
      <c r="E7029" t="inlineStr">
        <is>
          <t>ÖSTHAMMAR</t>
        </is>
      </c>
      <c r="F7029" t="inlineStr">
        <is>
          <t>Övriga Aktiebolag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19611-2025</t>
        </is>
      </c>
      <c r="B7030" s="1" t="n">
        <v>45770</v>
      </c>
      <c r="C7030" s="1" t="n">
        <v>45798</v>
      </c>
      <c r="D7030" t="inlineStr">
        <is>
          <t>UPPSALA LÄN</t>
        </is>
      </c>
      <c r="E7030" t="inlineStr">
        <is>
          <t>HEBY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19554-2025</t>
        </is>
      </c>
      <c r="B7031" s="1" t="n">
        <v>45770</v>
      </c>
      <c r="C7031" s="1" t="n">
        <v>45798</v>
      </c>
      <c r="D7031" t="inlineStr">
        <is>
          <t>UPPSALA LÄN</t>
        </is>
      </c>
      <c r="E7031" t="inlineStr">
        <is>
          <t>TIERP</t>
        </is>
      </c>
      <c r="F7031" t="inlineStr">
        <is>
          <t>Bergvik skog öst AB</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45798</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19740-2025</t>
        </is>
      </c>
      <c r="B7033" s="1" t="n">
        <v>45771</v>
      </c>
      <c r="C7033" s="1" t="n">
        <v>45798</v>
      </c>
      <c r="D7033" t="inlineStr">
        <is>
          <t>UPPSALA LÄN</t>
        </is>
      </c>
      <c r="E7033" t="inlineStr">
        <is>
          <t>ÄLVKARLEBY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19697-2025</t>
        </is>
      </c>
      <c r="B7034" s="1" t="n">
        <v>45771</v>
      </c>
      <c r="C7034" s="1" t="n">
        <v>45798</v>
      </c>
      <c r="D7034" t="inlineStr">
        <is>
          <t>UPPSALA LÄN</t>
        </is>
      </c>
      <c r="E7034" t="inlineStr">
        <is>
          <t>ÄLVKARLEBY</t>
        </is>
      </c>
      <c r="F7034" t="inlineStr">
        <is>
          <t>Bergvik skog väst AB</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19744-2025</t>
        </is>
      </c>
      <c r="B7035" s="1" t="n">
        <v>45771</v>
      </c>
      <c r="C7035" s="1" t="n">
        <v>45798</v>
      </c>
      <c r="D7035" t="inlineStr">
        <is>
          <t>UPPSALA LÄN</t>
        </is>
      </c>
      <c r="E7035" t="inlineStr">
        <is>
          <t>ÖSTHAMMAR</t>
        </is>
      </c>
      <c r="F7035" t="inlineStr">
        <is>
          <t>Övriga Aktiebolag</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19748-2025</t>
        </is>
      </c>
      <c r="B7036" s="1" t="n">
        <v>45771</v>
      </c>
      <c r="C7036" s="1" t="n">
        <v>45798</v>
      </c>
      <c r="D7036" t="inlineStr">
        <is>
          <t>UPPSALA LÄN</t>
        </is>
      </c>
      <c r="E7036" t="inlineStr">
        <is>
          <t>ÖSTHAMMAR</t>
        </is>
      </c>
      <c r="F7036" t="inlineStr">
        <is>
          <t>Övriga Aktiebolag</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45798</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45798</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20180-2025</t>
        </is>
      </c>
      <c r="B7039" s="1" t="n">
        <v>45772</v>
      </c>
      <c r="C7039" s="1" t="n">
        <v>45798</v>
      </c>
      <c r="D7039" t="inlineStr">
        <is>
          <t>UPPSALA LÄN</t>
        </is>
      </c>
      <c r="E7039" t="inlineStr">
        <is>
          <t>TIERP</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20021-2025</t>
        </is>
      </c>
      <c r="B7040" s="1" t="n">
        <v>45772</v>
      </c>
      <c r="C7040" s="1" t="n">
        <v>45798</v>
      </c>
      <c r="D7040" t="inlineStr">
        <is>
          <t>UPPSALA LÄN</t>
        </is>
      </c>
      <c r="E7040" t="inlineStr">
        <is>
          <t>TIERP</t>
        </is>
      </c>
      <c r="F7040" t="inlineStr">
        <is>
          <t>Kyrkan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20152-2025</t>
        </is>
      </c>
      <c r="B7041" s="1" t="n">
        <v>45772</v>
      </c>
      <c r="C7041" s="1" t="n">
        <v>45798</v>
      </c>
      <c r="D7041" t="inlineStr">
        <is>
          <t>UPPSALA LÄN</t>
        </is>
      </c>
      <c r="E7041" t="inlineStr">
        <is>
          <t>UPPSALA</t>
        </is>
      </c>
      <c r="F7041" t="inlineStr">
        <is>
          <t>Allmännings- och besparingsskogar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20190-2025</t>
        </is>
      </c>
      <c r="B7042" s="1" t="n">
        <v>45772</v>
      </c>
      <c r="C7042" s="1" t="n">
        <v>45798</v>
      </c>
      <c r="D7042" t="inlineStr">
        <is>
          <t>UPPSALA LÄN</t>
        </is>
      </c>
      <c r="E7042" t="inlineStr">
        <is>
          <t>TIERP</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20248-2025</t>
        </is>
      </c>
      <c r="B7043" s="1" t="n">
        <v>45772</v>
      </c>
      <c r="C7043" s="1" t="n">
        <v>45798</v>
      </c>
      <c r="D7043" t="inlineStr">
        <is>
          <t>UPPSALA LÄN</t>
        </is>
      </c>
      <c r="E7043" t="inlineStr">
        <is>
          <t>UPPSALA</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20072-2025</t>
        </is>
      </c>
      <c r="B7044" s="1" t="n">
        <v>45772</v>
      </c>
      <c r="C7044" s="1" t="n">
        <v>45798</v>
      </c>
      <c r="D7044" t="inlineStr">
        <is>
          <t>UPPSALA LÄN</t>
        </is>
      </c>
      <c r="E7044" t="inlineStr">
        <is>
          <t>ÖSTHAMMAR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20552-2025</t>
        </is>
      </c>
      <c r="B7045" s="1" t="n">
        <v>45775</v>
      </c>
      <c r="C7045" s="1" t="n">
        <v>45798</v>
      </c>
      <c r="D7045" t="inlineStr">
        <is>
          <t>UPPSALA LÄN</t>
        </is>
      </c>
      <c r="E7045" t="inlineStr">
        <is>
          <t>TIERP</t>
        </is>
      </c>
      <c r="F7045" t="inlineStr">
        <is>
          <t>Bergvik skog öst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20385-2025</t>
        </is>
      </c>
      <c r="B7046" s="1" t="n">
        <v>45775</v>
      </c>
      <c r="C7046" s="1" t="n">
        <v>45798</v>
      </c>
      <c r="D7046" t="inlineStr">
        <is>
          <t>UPPSALA LÄN</t>
        </is>
      </c>
      <c r="E7046" t="inlineStr">
        <is>
          <t>ÖSTHAMMAR</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20317-2025</t>
        </is>
      </c>
      <c r="B7047" s="1" t="n">
        <v>45775</v>
      </c>
      <c r="C7047" s="1" t="n">
        <v>45798</v>
      </c>
      <c r="D7047" t="inlineStr">
        <is>
          <t>UPPSALA LÄN</t>
        </is>
      </c>
      <c r="E7047" t="inlineStr">
        <is>
          <t>TIERP</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20440-2025</t>
        </is>
      </c>
      <c r="B7048" s="1" t="n">
        <v>45775</v>
      </c>
      <c r="C7048" s="1" t="n">
        <v>45798</v>
      </c>
      <c r="D7048" t="inlineStr">
        <is>
          <t>UPPSALA LÄN</t>
        </is>
      </c>
      <c r="E7048" t="inlineStr">
        <is>
          <t>ENKÖPING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20418-2025</t>
        </is>
      </c>
      <c r="B7049" s="1" t="n">
        <v>45775</v>
      </c>
      <c r="C7049" s="1" t="n">
        <v>45798</v>
      </c>
      <c r="D7049" t="inlineStr">
        <is>
          <t>UPPSALA LÄN</t>
        </is>
      </c>
      <c r="E7049" t="inlineStr">
        <is>
          <t>UPPSALA</t>
        </is>
      </c>
      <c r="F7049" t="inlineStr">
        <is>
          <t>Allmännings- och besparingsskogar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20797-2025</t>
        </is>
      </c>
      <c r="B7050" s="1" t="n">
        <v>45776</v>
      </c>
      <c r="C7050" s="1" t="n">
        <v>45798</v>
      </c>
      <c r="D7050" t="inlineStr">
        <is>
          <t>UPPSALA LÄN</t>
        </is>
      </c>
      <c r="E7050" t="inlineStr">
        <is>
          <t>UPPSALA</t>
        </is>
      </c>
      <c r="F7050" t="inlineStr">
        <is>
          <t>Kommuner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20686-2025</t>
        </is>
      </c>
      <c r="B7051" s="1" t="n">
        <v>45776</v>
      </c>
      <c r="C7051" s="1" t="n">
        <v>45798</v>
      </c>
      <c r="D7051" t="inlineStr">
        <is>
          <t>UPPSALA LÄN</t>
        </is>
      </c>
      <c r="E7051" t="inlineStr">
        <is>
          <t>UPPSALA</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20641-2025</t>
        </is>
      </c>
      <c r="B7052" s="1" t="n">
        <v>45776</v>
      </c>
      <c r="C7052" s="1" t="n">
        <v>45798</v>
      </c>
      <c r="D7052" t="inlineStr">
        <is>
          <t>UPPSALA LÄN</t>
        </is>
      </c>
      <c r="E7052" t="inlineStr">
        <is>
          <t>TIERP</t>
        </is>
      </c>
      <c r="F7052" t="inlineStr">
        <is>
          <t>Bergvik skog öst AB</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45798</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20712-2025</t>
        </is>
      </c>
      <c r="B7054" s="1" t="n">
        <v>45776</v>
      </c>
      <c r="C7054" s="1" t="n">
        <v>45798</v>
      </c>
      <c r="D7054" t="inlineStr">
        <is>
          <t>UPPSALA LÄN</t>
        </is>
      </c>
      <c r="E7054" t="inlineStr">
        <is>
          <t>UPPSALA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20772-2025</t>
        </is>
      </c>
      <c r="B7055" s="1" t="n">
        <v>45776</v>
      </c>
      <c r="C7055" s="1" t="n">
        <v>45798</v>
      </c>
      <c r="D7055" t="inlineStr">
        <is>
          <t>UPPSALA LÄN</t>
        </is>
      </c>
      <c r="E7055" t="inlineStr">
        <is>
          <t>HEBY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20644-2025</t>
        </is>
      </c>
      <c r="B7056" s="1" t="n">
        <v>45776</v>
      </c>
      <c r="C7056" s="1" t="n">
        <v>45798</v>
      </c>
      <c r="D7056" t="inlineStr">
        <is>
          <t>UPPSALA LÄN</t>
        </is>
      </c>
      <c r="E7056" t="inlineStr">
        <is>
          <t>TIERP</t>
        </is>
      </c>
      <c r="F7056" t="inlineStr">
        <is>
          <t>Bergvik skog öst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20676-2025</t>
        </is>
      </c>
      <c r="B7057" s="1" t="n">
        <v>45776</v>
      </c>
      <c r="C7057" s="1" t="n">
        <v>45798</v>
      </c>
      <c r="D7057" t="inlineStr">
        <is>
          <t>UPPSALA LÄN</t>
        </is>
      </c>
      <c r="E7057" t="inlineStr">
        <is>
          <t>TIERP</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20995-2025</t>
        </is>
      </c>
      <c r="B7058" s="1" t="n">
        <v>45777</v>
      </c>
      <c r="C7058" s="1" t="n">
        <v>45798</v>
      </c>
      <c r="D7058" t="inlineStr">
        <is>
          <t>UPPSALA LÄN</t>
        </is>
      </c>
      <c r="E7058" t="inlineStr">
        <is>
          <t>HEBY</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21012-2025</t>
        </is>
      </c>
      <c r="B7059" s="1" t="n">
        <v>45777</v>
      </c>
      <c r="C7059" s="1" t="n">
        <v>45798</v>
      </c>
      <c r="D7059" t="inlineStr">
        <is>
          <t>UPPSALA LÄN</t>
        </is>
      </c>
      <c r="E7059" t="inlineStr">
        <is>
          <t>ÄLVKARLEBY</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20858-2025</t>
        </is>
      </c>
      <c r="B7060" s="1" t="n">
        <v>45777</v>
      </c>
      <c r="C7060" s="1" t="n">
        <v>45798</v>
      </c>
      <c r="D7060" t="inlineStr">
        <is>
          <t>UPPSALA LÄN</t>
        </is>
      </c>
      <c r="E7060" t="inlineStr">
        <is>
          <t>UPPSALA</t>
        </is>
      </c>
      <c r="F7060" t="inlineStr">
        <is>
          <t>Övriga Aktiebolag</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20886-2025</t>
        </is>
      </c>
      <c r="B7061" s="1" t="n">
        <v>45777</v>
      </c>
      <c r="C7061" s="1" t="n">
        <v>45798</v>
      </c>
      <c r="D7061" t="inlineStr">
        <is>
          <t>UPPSALA LÄN</t>
        </is>
      </c>
      <c r="E7061" t="inlineStr">
        <is>
          <t>TIERP</t>
        </is>
      </c>
      <c r="F7061" t="inlineStr">
        <is>
          <t>Bergvik skog öst AB</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20990-2025</t>
        </is>
      </c>
      <c r="B7062" s="1" t="n">
        <v>45777</v>
      </c>
      <c r="C7062" s="1" t="n">
        <v>45798</v>
      </c>
      <c r="D7062" t="inlineStr">
        <is>
          <t>UPPSALA LÄN</t>
        </is>
      </c>
      <c r="E7062" t="inlineStr">
        <is>
          <t>HEBY</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21033-2025</t>
        </is>
      </c>
      <c r="B7063" s="1" t="n">
        <v>45777</v>
      </c>
      <c r="C7063" s="1" t="n">
        <v>45798</v>
      </c>
      <c r="D7063" t="inlineStr">
        <is>
          <t>UPPSALA LÄN</t>
        </is>
      </c>
      <c r="E7063" t="inlineStr">
        <is>
          <t>UPPSALA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21047-2025</t>
        </is>
      </c>
      <c r="B7064" s="1" t="n">
        <v>45777</v>
      </c>
      <c r="C7064" s="1" t="n">
        <v>45798</v>
      </c>
      <c r="D7064" t="inlineStr">
        <is>
          <t>UPPSALA LÄN</t>
        </is>
      </c>
      <c r="E7064" t="inlineStr">
        <is>
          <t>TIERP</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20888-2025</t>
        </is>
      </c>
      <c r="B7065" s="1" t="n">
        <v>45777</v>
      </c>
      <c r="C7065" s="1" t="n">
        <v>45798</v>
      </c>
      <c r="D7065" t="inlineStr">
        <is>
          <t>UPPSALA LÄN</t>
        </is>
      </c>
      <c r="E7065" t="inlineStr">
        <is>
          <t>UPPSALA</t>
        </is>
      </c>
      <c r="F7065" t="inlineStr">
        <is>
          <t>Övriga statliga verk och myndigheter</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20928-2025</t>
        </is>
      </c>
      <c r="B7066" s="1" t="n">
        <v>45777</v>
      </c>
      <c r="C7066" s="1" t="n">
        <v>45798</v>
      </c>
      <c r="D7066" t="inlineStr">
        <is>
          <t>UPPSALA LÄN</t>
        </is>
      </c>
      <c r="E7066" t="inlineStr">
        <is>
          <t>UPPSALA</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45798</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45798</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45798</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45798</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45798</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45798</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45798</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45798</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45798</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45798</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45798</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45798</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45798</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45798</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45798</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45798</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45798</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21876-2025</t>
        </is>
      </c>
      <c r="B7084" s="1" t="n">
        <v>45784</v>
      </c>
      <c r="C7084" s="1" t="n">
        <v>45798</v>
      </c>
      <c r="D7084" t="inlineStr">
        <is>
          <t>UPPSALA LÄN</t>
        </is>
      </c>
      <c r="E7084" t="inlineStr">
        <is>
          <t>TIERP</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21970-2025</t>
        </is>
      </c>
      <c r="B7085" s="1" t="n">
        <v>45784</v>
      </c>
      <c r="C7085" s="1" t="n">
        <v>45798</v>
      </c>
      <c r="D7085" t="inlineStr">
        <is>
          <t>UPPSALA LÄN</t>
        </is>
      </c>
      <c r="E7085" t="inlineStr">
        <is>
          <t>ENKÖPING</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45798</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45798</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22018-2025</t>
        </is>
      </c>
      <c r="B7088" s="1" t="n">
        <v>45784</v>
      </c>
      <c r="C7088" s="1" t="n">
        <v>45798</v>
      </c>
      <c r="D7088" t="inlineStr">
        <is>
          <t>UPPSALA LÄN</t>
        </is>
      </c>
      <c r="E7088" t="inlineStr">
        <is>
          <t>UPPSALA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45798</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22223-2025</t>
        </is>
      </c>
      <c r="B7090" s="1" t="n">
        <v>45785</v>
      </c>
      <c r="C7090" s="1" t="n">
        <v>45798</v>
      </c>
      <c r="D7090" t="inlineStr">
        <is>
          <t>UPPSALA LÄN</t>
        </is>
      </c>
      <c r="E7090" t="inlineStr">
        <is>
          <t>ÄLVKARLEBY</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22149-2025</t>
        </is>
      </c>
      <c r="B7091" s="1" t="n">
        <v>45785</v>
      </c>
      <c r="C7091" s="1" t="n">
        <v>45798</v>
      </c>
      <c r="D7091" t="inlineStr">
        <is>
          <t>UPPSALA LÄN</t>
        </is>
      </c>
      <c r="E7091" t="inlineStr">
        <is>
          <t>ENKÖPING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22083-2025</t>
        </is>
      </c>
      <c r="B7092" s="1" t="n">
        <v>45785</v>
      </c>
      <c r="C7092" s="1" t="n">
        <v>45798</v>
      </c>
      <c r="D7092" t="inlineStr">
        <is>
          <t>UPPSALA LÄN</t>
        </is>
      </c>
      <c r="E7092" t="inlineStr">
        <is>
          <t>TIERP</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22135-2025</t>
        </is>
      </c>
      <c r="B7093" s="1" t="n">
        <v>45785</v>
      </c>
      <c r="C7093" s="1" t="n">
        <v>45798</v>
      </c>
      <c r="D7093" t="inlineStr">
        <is>
          <t>UPPSALA LÄN</t>
        </is>
      </c>
      <c r="E7093" t="inlineStr">
        <is>
          <t>TIERP</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22156-2025</t>
        </is>
      </c>
      <c r="B7094" s="1" t="n">
        <v>45785</v>
      </c>
      <c r="C7094" s="1" t="n">
        <v>45798</v>
      </c>
      <c r="D7094" t="inlineStr">
        <is>
          <t>UPPSALA LÄN</t>
        </is>
      </c>
      <c r="E7094" t="inlineStr">
        <is>
          <t>ENKÖPING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22529-2025</t>
        </is>
      </c>
      <c r="B7095" s="1" t="n">
        <v>45786</v>
      </c>
      <c r="C7095" s="1" t="n">
        <v>45798</v>
      </c>
      <c r="D7095" t="inlineStr">
        <is>
          <t>UPPSALA LÄN</t>
        </is>
      </c>
      <c r="E7095" t="inlineStr">
        <is>
          <t>TIERP</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22483-2025</t>
        </is>
      </c>
      <c r="B7096" s="1" t="n">
        <v>45786</v>
      </c>
      <c r="C7096" s="1" t="n">
        <v>45798</v>
      </c>
      <c r="D7096" t="inlineStr">
        <is>
          <t>UPPSALA LÄN</t>
        </is>
      </c>
      <c r="E7096" t="inlineStr">
        <is>
          <t>ÖSTHAMMAR</t>
        </is>
      </c>
      <c r="F7096" t="inlineStr">
        <is>
          <t>Bergvik skog öst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22327-2025</t>
        </is>
      </c>
      <c r="B7097" s="1" t="n">
        <v>45786</v>
      </c>
      <c r="C7097" s="1" t="n">
        <v>45798</v>
      </c>
      <c r="D7097" t="inlineStr">
        <is>
          <t>UPPSALA LÄN</t>
        </is>
      </c>
      <c r="E7097" t="inlineStr">
        <is>
          <t>HEBY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22333-2025</t>
        </is>
      </c>
      <c r="B7098" s="1" t="n">
        <v>45786</v>
      </c>
      <c r="C7098" s="1" t="n">
        <v>45798</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22334-2025</t>
        </is>
      </c>
      <c r="B7099" s="1" t="n">
        <v>45786</v>
      </c>
      <c r="C7099" s="1" t="n">
        <v>45798</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22455-2025</t>
        </is>
      </c>
      <c r="B7100" s="1" t="n">
        <v>45786</v>
      </c>
      <c r="C7100" s="1" t="n">
        <v>45798</v>
      </c>
      <c r="D7100" t="inlineStr">
        <is>
          <t>UPPSALA LÄN</t>
        </is>
      </c>
      <c r="E7100" t="inlineStr">
        <is>
          <t>HEBY</t>
        </is>
      </c>
      <c r="F7100" t="inlineStr">
        <is>
          <t>Kyrkan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22492-2025</t>
        </is>
      </c>
      <c r="B7101" s="1" t="n">
        <v>45786</v>
      </c>
      <c r="C7101" s="1" t="n">
        <v>45798</v>
      </c>
      <c r="D7101" t="inlineStr">
        <is>
          <t>UPPSALA LÄN</t>
        </is>
      </c>
      <c r="E7101" t="inlineStr">
        <is>
          <t>ÖSTHAMMAR</t>
        </is>
      </c>
      <c r="F7101" t="inlineStr">
        <is>
          <t>Bergvik skog öst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22488-2025</t>
        </is>
      </c>
      <c r="B7102" s="1" t="n">
        <v>45786</v>
      </c>
      <c r="C7102" s="1" t="n">
        <v>45798</v>
      </c>
      <c r="D7102" t="inlineStr">
        <is>
          <t>UPPSALA LÄN</t>
        </is>
      </c>
      <c r="E7102" t="inlineStr">
        <is>
          <t>ÖSTHAMMAR</t>
        </is>
      </c>
      <c r="F7102" t="inlineStr">
        <is>
          <t>Bergvik skog öst AB</t>
        </is>
      </c>
      <c r="G7102" t="n">
        <v>14.9</v>
      </c>
      <c r="H7102" t="n">
        <v>0</v>
      </c>
      <c r="I7102" t="n">
        <v>0</v>
      </c>
      <c r="J7102" t="n">
        <v>0</v>
      </c>
      <c r="K7102" t="n">
        <v>0</v>
      </c>
      <c r="L7102" t="n">
        <v>0</v>
      </c>
      <c r="M7102" t="n">
        <v>0</v>
      </c>
      <c r="N7102" t="n">
        <v>0</v>
      </c>
      <c r="O7102" t="n">
        <v>0</v>
      </c>
      <c r="P7102" t="n">
        <v>0</v>
      </c>
      <c r="Q7102" t="n">
        <v>0</v>
      </c>
      <c r="R7102" s="2" t="inlineStr"/>
    </row>
    <row r="7103" ht="15" customHeight="1">
      <c r="A7103" t="inlineStr">
        <is>
          <t>A 22392-2025</t>
        </is>
      </c>
      <c r="B7103" s="1" t="n">
        <v>45786</v>
      </c>
      <c r="C7103" s="1" t="n">
        <v>45798</v>
      </c>
      <c r="D7103" t="inlineStr">
        <is>
          <t>UPPSALA LÄN</t>
        </is>
      </c>
      <c r="E7103" t="inlineStr">
        <is>
          <t>TIERP</t>
        </is>
      </c>
      <c r="F7103" t="inlineStr">
        <is>
          <t>Bergvik skog öst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22525-2025</t>
        </is>
      </c>
      <c r="B7104" s="1" t="n">
        <v>45786</v>
      </c>
      <c r="C7104" s="1" t="n">
        <v>45798</v>
      </c>
      <c r="D7104" t="inlineStr">
        <is>
          <t>UPPSALA LÄN</t>
        </is>
      </c>
      <c r="E7104" t="inlineStr">
        <is>
          <t>HÅBO</t>
        </is>
      </c>
      <c r="F7104" t="inlineStr">
        <is>
          <t>Kyrkan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22460-2025</t>
        </is>
      </c>
      <c r="B7105" s="1" t="n">
        <v>45786</v>
      </c>
      <c r="C7105" s="1" t="n">
        <v>45798</v>
      </c>
      <c r="D7105" t="inlineStr">
        <is>
          <t>UPPSALA LÄN</t>
        </is>
      </c>
      <c r="E7105" t="inlineStr">
        <is>
          <t>HEBY</t>
        </is>
      </c>
      <c r="F7105" t="inlineStr">
        <is>
          <t>Kyrkan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22524-2025</t>
        </is>
      </c>
      <c r="B7106" s="1" t="n">
        <v>45786</v>
      </c>
      <c r="C7106" s="1" t="n">
        <v>45798</v>
      </c>
      <c r="D7106" t="inlineStr">
        <is>
          <t>UPPSALA LÄN</t>
        </is>
      </c>
      <c r="E7106" t="inlineStr">
        <is>
          <t>HÅBO</t>
        </is>
      </c>
      <c r="F7106" t="inlineStr">
        <is>
          <t>Kyrkan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22528-2025</t>
        </is>
      </c>
      <c r="B7107" s="1" t="n">
        <v>45786</v>
      </c>
      <c r="C7107" s="1" t="n">
        <v>45798</v>
      </c>
      <c r="D7107" t="inlineStr">
        <is>
          <t>UPPSALA LÄN</t>
        </is>
      </c>
      <c r="E7107" t="inlineStr">
        <is>
          <t>TIERP</t>
        </is>
      </c>
      <c r="F7107" t="inlineStr">
        <is>
          <t>Övriga Aktiebolag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22729-2025</t>
        </is>
      </c>
      <c r="B7108" s="1" t="n">
        <v>45789</v>
      </c>
      <c r="C7108" s="1" t="n">
        <v>45798</v>
      </c>
      <c r="D7108" t="inlineStr">
        <is>
          <t>UPPSALA LÄN</t>
        </is>
      </c>
      <c r="E7108" t="inlineStr">
        <is>
          <t>ENKÖPING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22677-2025</t>
        </is>
      </c>
      <c r="B7109" s="1" t="n">
        <v>45789</v>
      </c>
      <c r="C7109" s="1" t="n">
        <v>45798</v>
      </c>
      <c r="D7109" t="inlineStr">
        <is>
          <t>UPPSALA LÄN</t>
        </is>
      </c>
      <c r="E7109" t="inlineStr">
        <is>
          <t>ENKÖPING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22680-2025</t>
        </is>
      </c>
      <c r="B7110" s="1" t="n">
        <v>45789</v>
      </c>
      <c r="C7110" s="1" t="n">
        <v>45798</v>
      </c>
      <c r="D7110" t="inlineStr">
        <is>
          <t>UPPSALA LÄN</t>
        </is>
      </c>
      <c r="E7110" t="inlineStr">
        <is>
          <t>ENKÖPING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45798</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22725-2025</t>
        </is>
      </c>
      <c r="B7112" s="1" t="n">
        <v>45789</v>
      </c>
      <c r="C7112" s="1" t="n">
        <v>45798</v>
      </c>
      <c r="D7112" t="inlineStr">
        <is>
          <t>UPPSALA LÄN</t>
        </is>
      </c>
      <c r="E7112" t="inlineStr">
        <is>
          <t>ENKÖPING</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22795-2025</t>
        </is>
      </c>
      <c r="B7113" s="1" t="n">
        <v>45789</v>
      </c>
      <c r="C7113" s="1" t="n">
        <v>45798</v>
      </c>
      <c r="D7113" t="inlineStr">
        <is>
          <t>UPPSALA LÄN</t>
        </is>
      </c>
      <c r="E7113" t="inlineStr">
        <is>
          <t>ENKÖPING</t>
        </is>
      </c>
      <c r="G7113" t="n">
        <v>10.4</v>
      </c>
      <c r="H7113" t="n">
        <v>0</v>
      </c>
      <c r="I7113" t="n">
        <v>0</v>
      </c>
      <c r="J7113" t="n">
        <v>0</v>
      </c>
      <c r="K7113" t="n">
        <v>0</v>
      </c>
      <c r="L7113" t="n">
        <v>0</v>
      </c>
      <c r="M7113" t="n">
        <v>0</v>
      </c>
      <c r="N7113" t="n">
        <v>0</v>
      </c>
      <c r="O7113" t="n">
        <v>0</v>
      </c>
      <c r="P7113" t="n">
        <v>0</v>
      </c>
      <c r="Q7113" t="n">
        <v>0</v>
      </c>
      <c r="R7113" s="2" t="inlineStr"/>
    </row>
    <row r="7114" ht="15" customHeight="1">
      <c r="A7114" t="inlineStr">
        <is>
          <t>A 22632-2025</t>
        </is>
      </c>
      <c r="B7114" s="1" t="n">
        <v>45789</v>
      </c>
      <c r="C7114" s="1" t="n">
        <v>45798</v>
      </c>
      <c r="D7114" t="inlineStr">
        <is>
          <t>UPPSALA LÄN</t>
        </is>
      </c>
      <c r="E7114" t="inlineStr">
        <is>
          <t>ENKÖPING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22770-2025</t>
        </is>
      </c>
      <c r="B7115" s="1" t="n">
        <v>45789</v>
      </c>
      <c r="C7115" s="1" t="n">
        <v>45798</v>
      </c>
      <c r="D7115" t="inlineStr">
        <is>
          <t>UPPSALA LÄN</t>
        </is>
      </c>
      <c r="E7115" t="inlineStr">
        <is>
          <t>ENKÖPING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22786-2025</t>
        </is>
      </c>
      <c r="B7116" s="1" t="n">
        <v>45789</v>
      </c>
      <c r="C7116" s="1" t="n">
        <v>45798</v>
      </c>
      <c r="D7116" t="inlineStr">
        <is>
          <t>UPPSALA LÄN</t>
        </is>
      </c>
      <c r="E7116" t="inlineStr">
        <is>
          <t>ENKÖPING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22679-2025</t>
        </is>
      </c>
      <c r="B7117" s="1" t="n">
        <v>45789</v>
      </c>
      <c r="C7117" s="1" t="n">
        <v>45798</v>
      </c>
      <c r="D7117" t="inlineStr">
        <is>
          <t>UPPSALA LÄN</t>
        </is>
      </c>
      <c r="E7117" t="inlineStr">
        <is>
          <t>ENKÖPING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22802-2025</t>
        </is>
      </c>
      <c r="B7118" s="1" t="n">
        <v>45789</v>
      </c>
      <c r="C7118" s="1" t="n">
        <v>45798</v>
      </c>
      <c r="D7118" t="inlineStr">
        <is>
          <t>UPPSALA LÄN</t>
        </is>
      </c>
      <c r="E7118" t="inlineStr">
        <is>
          <t>ENKÖPING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22793-2025</t>
        </is>
      </c>
      <c r="B7119" s="1" t="n">
        <v>45789</v>
      </c>
      <c r="C7119" s="1" t="n">
        <v>45798</v>
      </c>
      <c r="D7119" t="inlineStr">
        <is>
          <t>UPPSALA LÄN</t>
        </is>
      </c>
      <c r="E7119" t="inlineStr">
        <is>
          <t>ENKÖPING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22796-2025</t>
        </is>
      </c>
      <c r="B7120" s="1" t="n">
        <v>45789</v>
      </c>
      <c r="C7120" s="1" t="n">
        <v>45798</v>
      </c>
      <c r="D7120" t="inlineStr">
        <is>
          <t>UPPSALA LÄN</t>
        </is>
      </c>
      <c r="E7120" t="inlineStr">
        <is>
          <t>ENKÖPING</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22800-2025</t>
        </is>
      </c>
      <c r="B7121" s="1" t="n">
        <v>45789</v>
      </c>
      <c r="C7121" s="1" t="n">
        <v>45798</v>
      </c>
      <c r="D7121" t="inlineStr">
        <is>
          <t>UPPSALA LÄN</t>
        </is>
      </c>
      <c r="E7121" t="inlineStr">
        <is>
          <t>ENKÖPING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22981-2025</t>
        </is>
      </c>
      <c r="B7122" s="1" t="n">
        <v>45790</v>
      </c>
      <c r="C7122" s="1" t="n">
        <v>45798</v>
      </c>
      <c r="D7122" t="inlineStr">
        <is>
          <t>UPPSALA LÄN</t>
        </is>
      </c>
      <c r="E7122" t="inlineStr">
        <is>
          <t>ENKÖPING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22951-2025</t>
        </is>
      </c>
      <c r="B7123" s="1" t="n">
        <v>45790</v>
      </c>
      <c r="C7123" s="1" t="n">
        <v>45798</v>
      </c>
      <c r="D7123" t="inlineStr">
        <is>
          <t>UPPSALA LÄN</t>
        </is>
      </c>
      <c r="E7123" t="inlineStr">
        <is>
          <t>UPPSALA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22930-2025</t>
        </is>
      </c>
      <c r="B7124" s="1" t="n">
        <v>45790</v>
      </c>
      <c r="C7124" s="1" t="n">
        <v>45798</v>
      </c>
      <c r="D7124" t="inlineStr">
        <is>
          <t>UPPSALA LÄN</t>
        </is>
      </c>
      <c r="E7124" t="inlineStr">
        <is>
          <t>UPPSALA</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23020-2025</t>
        </is>
      </c>
      <c r="B7125" s="1" t="n">
        <v>45790</v>
      </c>
      <c r="C7125" s="1" t="n">
        <v>45798</v>
      </c>
      <c r="D7125" t="inlineStr">
        <is>
          <t>UPPSALA LÄN</t>
        </is>
      </c>
      <c r="E7125" t="inlineStr">
        <is>
          <t>ENKÖPING</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45798</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23312-2025</t>
        </is>
      </c>
      <c r="B7127" s="1" t="n">
        <v>45791</v>
      </c>
      <c r="C7127" s="1" t="n">
        <v>45798</v>
      </c>
      <c r="D7127" t="inlineStr">
        <is>
          <t>UPPSALA LÄN</t>
        </is>
      </c>
      <c r="E7127" t="inlineStr">
        <is>
          <t>TIERP</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45798</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45798</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45798</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23370-2025</t>
        </is>
      </c>
      <c r="B7131" s="1" t="n">
        <v>45791</v>
      </c>
      <c r="C7131" s="1" t="n">
        <v>45798</v>
      </c>
      <c r="D7131" t="inlineStr">
        <is>
          <t>UPPSALA LÄN</t>
        </is>
      </c>
      <c r="E7131" t="inlineStr">
        <is>
          <t>HÅBO</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23305-2025</t>
        </is>
      </c>
      <c r="B7132" s="1" t="n">
        <v>45791</v>
      </c>
      <c r="C7132" s="1" t="n">
        <v>45798</v>
      </c>
      <c r="D7132" t="inlineStr">
        <is>
          <t>UPPSALA LÄN</t>
        </is>
      </c>
      <c r="E7132" t="inlineStr">
        <is>
          <t>ÖSTHAMMAR</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45798</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23728-2025</t>
        </is>
      </c>
      <c r="B7134" s="1" t="n">
        <v>45793</v>
      </c>
      <c r="C7134" s="1" t="n">
        <v>45798</v>
      </c>
      <c r="D7134" t="inlineStr">
        <is>
          <t>UPPSALA LÄN</t>
        </is>
      </c>
      <c r="E7134" t="inlineStr">
        <is>
          <t>ÖSTHAMMAR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23890-2025</t>
        </is>
      </c>
      <c r="B7135" s="1" t="n">
        <v>45793</v>
      </c>
      <c r="C7135" s="1" t="n">
        <v>45798</v>
      </c>
      <c r="D7135" t="inlineStr">
        <is>
          <t>UPPSALA LÄN</t>
        </is>
      </c>
      <c r="E7135" t="inlineStr">
        <is>
          <t>HEBY</t>
        </is>
      </c>
      <c r="F7135" t="inlineStr">
        <is>
          <t>Bergvik skog väst AB</t>
        </is>
      </c>
      <c r="G7135" t="n">
        <v>35.2</v>
      </c>
      <c r="H7135" t="n">
        <v>0</v>
      </c>
      <c r="I7135" t="n">
        <v>0</v>
      </c>
      <c r="J7135" t="n">
        <v>0</v>
      </c>
      <c r="K7135" t="n">
        <v>0</v>
      </c>
      <c r="L7135" t="n">
        <v>0</v>
      </c>
      <c r="M7135" t="n">
        <v>0</v>
      </c>
      <c r="N7135" t="n">
        <v>0</v>
      </c>
      <c r="O7135" t="n">
        <v>0</v>
      </c>
      <c r="P7135" t="n">
        <v>0</v>
      </c>
      <c r="Q7135" t="n">
        <v>0</v>
      </c>
      <c r="R7135" s="2" t="inlineStr"/>
    </row>
    <row r="7136" ht="15" customHeight="1">
      <c r="A7136" t="inlineStr">
        <is>
          <t>A 23796-2025</t>
        </is>
      </c>
      <c r="B7136" s="1" t="n">
        <v>45793</v>
      </c>
      <c r="C7136" s="1" t="n">
        <v>45798</v>
      </c>
      <c r="D7136" t="inlineStr">
        <is>
          <t>UPPSALA LÄN</t>
        </is>
      </c>
      <c r="E7136" t="inlineStr">
        <is>
          <t>TIERP</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24174-2025</t>
        </is>
      </c>
      <c r="B7137" s="1" t="n">
        <v>45796</v>
      </c>
      <c r="C7137" s="1" t="n">
        <v>45798</v>
      </c>
      <c r="D7137" t="inlineStr">
        <is>
          <t>UPPSALA LÄN</t>
        </is>
      </c>
      <c r="E7137" t="inlineStr">
        <is>
          <t>ÖSTHAMMAR</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23968-2025</t>
        </is>
      </c>
      <c r="B7138" s="1" t="n">
        <v>45796</v>
      </c>
      <c r="C7138" s="1" t="n">
        <v>45798</v>
      </c>
      <c r="D7138" t="inlineStr">
        <is>
          <t>UPPSALA LÄN</t>
        </is>
      </c>
      <c r="E7138" t="inlineStr">
        <is>
          <t>ÖSTHAMMAR</t>
        </is>
      </c>
      <c r="F7138" t="inlineStr">
        <is>
          <t>Bergvik skog öst AB</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24160-2025</t>
        </is>
      </c>
      <c r="B7139" s="1" t="n">
        <v>45796</v>
      </c>
      <c r="C7139" s="1" t="n">
        <v>45798</v>
      </c>
      <c r="D7139" t="inlineStr">
        <is>
          <t>UPPSALA LÄN</t>
        </is>
      </c>
      <c r="E7139" t="inlineStr">
        <is>
          <t>TIERP</t>
        </is>
      </c>
      <c r="F7139" t="inlineStr">
        <is>
          <t>Bergvik skog öst AB</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24150-2025</t>
        </is>
      </c>
      <c r="B7140" s="1" t="n">
        <v>45796</v>
      </c>
      <c r="C7140" s="1" t="n">
        <v>45798</v>
      </c>
      <c r="D7140" t="inlineStr">
        <is>
          <t>UPPSALA LÄN</t>
        </is>
      </c>
      <c r="E7140" t="inlineStr">
        <is>
          <t>TIERP</t>
        </is>
      </c>
      <c r="F7140" t="inlineStr">
        <is>
          <t>Bergvik skog öst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24124-2025</t>
        </is>
      </c>
      <c r="B7141" s="1" t="n">
        <v>45796</v>
      </c>
      <c r="C7141" s="1" t="n">
        <v>45798</v>
      </c>
      <c r="D7141" t="inlineStr">
        <is>
          <t>UPPSALA LÄN</t>
        </is>
      </c>
      <c r="E7141" t="inlineStr">
        <is>
          <t>TIERP</t>
        </is>
      </c>
      <c r="F7141" t="inlineStr">
        <is>
          <t>Bergvik skog öst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24408-2025</t>
        </is>
      </c>
      <c r="B7142" s="1" t="n">
        <v>45797</v>
      </c>
      <c r="C7142" s="1" t="n">
        <v>45798</v>
      </c>
      <c r="D7142" t="inlineStr">
        <is>
          <t>UPPSALA LÄN</t>
        </is>
      </c>
      <c r="E7142" t="inlineStr">
        <is>
          <t>ÖSTHAMMAR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24268-2025</t>
        </is>
      </c>
      <c r="B7143" s="1" t="n">
        <v>45797</v>
      </c>
      <c r="C7143" s="1" t="n">
        <v>45798</v>
      </c>
      <c r="D7143" t="inlineStr">
        <is>
          <t>UPPSALA LÄN</t>
        </is>
      </c>
      <c r="E7143" t="inlineStr">
        <is>
          <t>UPPSALA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24415-2025</t>
        </is>
      </c>
      <c r="B7144" s="1" t="n">
        <v>45797</v>
      </c>
      <c r="C7144" s="1" t="n">
        <v>45798</v>
      </c>
      <c r="D7144" t="inlineStr">
        <is>
          <t>UPPSALA LÄN</t>
        </is>
      </c>
      <c r="E7144" t="inlineStr">
        <is>
          <t>ÖSTHAMMAR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24381-2025</t>
        </is>
      </c>
      <c r="B7145" s="1" t="n">
        <v>45797</v>
      </c>
      <c r="C7145" s="1" t="n">
        <v>45798</v>
      </c>
      <c r="D7145" t="inlineStr">
        <is>
          <t>UPPSALA LÄN</t>
        </is>
      </c>
      <c r="E7145" t="inlineStr">
        <is>
          <t>HEBY</t>
        </is>
      </c>
      <c r="F7145" t="inlineStr">
        <is>
          <t>Kyrkan</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24389-2025</t>
        </is>
      </c>
      <c r="B7146" s="1" t="n">
        <v>45797</v>
      </c>
      <c r="C7146" s="1" t="n">
        <v>45798</v>
      </c>
      <c r="D7146" t="inlineStr">
        <is>
          <t>UPPSALA LÄN</t>
        </is>
      </c>
      <c r="E7146" t="inlineStr">
        <is>
          <t>ÖSTHAMMAR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24401-2025</t>
        </is>
      </c>
      <c r="B7147" s="1" t="n">
        <v>45797</v>
      </c>
      <c r="C7147" s="1" t="n">
        <v>45798</v>
      </c>
      <c r="D7147" t="inlineStr">
        <is>
          <t>UPPSALA LÄN</t>
        </is>
      </c>
      <c r="E7147" t="inlineStr">
        <is>
          <t>ÖSTHAMMAR</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24284-2025</t>
        </is>
      </c>
      <c r="B7148" s="1" t="n">
        <v>45797</v>
      </c>
      <c r="C7148" s="1" t="n">
        <v>45798</v>
      </c>
      <c r="D7148" t="inlineStr">
        <is>
          <t>UPPSALA LÄN</t>
        </is>
      </c>
      <c r="E7148" t="inlineStr">
        <is>
          <t>UPPSALA</t>
        </is>
      </c>
      <c r="F7148" t="inlineStr">
        <is>
          <t>Holmen skog AB</t>
        </is>
      </c>
      <c r="G7148" t="n">
        <v>12.7</v>
      </c>
      <c r="H7148" t="n">
        <v>0</v>
      </c>
      <c r="I7148" t="n">
        <v>0</v>
      </c>
      <c r="J7148" t="n">
        <v>0</v>
      </c>
      <c r="K7148" t="n">
        <v>0</v>
      </c>
      <c r="L7148" t="n">
        <v>0</v>
      </c>
      <c r="M7148" t="n">
        <v>0</v>
      </c>
      <c r="N7148" t="n">
        <v>0</v>
      </c>
      <c r="O7148" t="n">
        <v>0</v>
      </c>
      <c r="P7148" t="n">
        <v>0</v>
      </c>
      <c r="Q7148" t="n">
        <v>0</v>
      </c>
      <c r="R7148" s="2" t="inlineStr"/>
    </row>
    <row r="7149">
      <c r="A7149" t="inlineStr">
        <is>
          <t>A 24412-2025</t>
        </is>
      </c>
      <c r="B7149" s="1" t="n">
        <v>45797</v>
      </c>
      <c r="C7149" s="1" t="n">
        <v>45798</v>
      </c>
      <c r="D7149" t="inlineStr">
        <is>
          <t>UPPSALA LÄN</t>
        </is>
      </c>
      <c r="E7149" t="inlineStr">
        <is>
          <t>ÖSTHAMMAR</t>
        </is>
      </c>
      <c r="G7149" t="n">
        <v>1.2</v>
      </c>
      <c r="H7149" t="n">
        <v>0</v>
      </c>
      <c r="I7149" t="n">
        <v>0</v>
      </c>
      <c r="J7149" t="n">
        <v>0</v>
      </c>
      <c r="K7149" t="n">
        <v>0</v>
      </c>
      <c r="L7149" t="n">
        <v>0</v>
      </c>
      <c r="M7149" t="n">
        <v>0</v>
      </c>
      <c r="N7149" t="n">
        <v>0</v>
      </c>
      <c r="O7149" t="n">
        <v>0</v>
      </c>
      <c r="P7149" t="n">
        <v>0</v>
      </c>
      <c r="Q7149" t="n">
        <v>0</v>
      </c>
      <c r="R7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2025-05-21T17:20:55Z</dcterms:created>
  <dcterms:modified xmlns:dcterms="http://purl.org/dc/terms/" xmlns:xsi="http://www.w3.org/2001/XMLSchema-instance" xsi:type="dcterms:W3CDTF">2025-05-21T17:21:01Z</dcterms:modified>
</cp:coreProperties>
</file>