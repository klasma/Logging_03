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45832</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45832</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45832</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45832</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45832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45832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45832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45832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45832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45832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45832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45832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45832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45832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45832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45832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45832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45832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45832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45832</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45832</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45832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45832</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45832</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45832</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45832</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45832</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45832</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45832</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45832</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45832</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45832</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45832</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45832</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234-2025</t>
        </is>
      </c>
      <c r="B46" s="1" t="n">
        <v>45660</v>
      </c>
      <c r="C46" s="1" t="n">
        <v>45832</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260-2025</t>
        </is>
      </c>
      <c r="B47" s="1" t="n">
        <v>45660</v>
      </c>
      <c r="C47" s="1" t="n">
        <v>45832</v>
      </c>
      <c r="D47" t="inlineStr">
        <is>
          <t>UPPSALA LÄN</t>
        </is>
      </c>
      <c r="E47" t="inlineStr">
        <is>
          <t>ÖSTHAMMAR</t>
        </is>
      </c>
      <c r="F47" t="inlineStr">
        <is>
          <t>Bergvik skog öst AB</t>
        </is>
      </c>
      <c r="G47" t="n">
        <v>15.7</v>
      </c>
      <c r="H47" t="n">
        <v>5</v>
      </c>
      <c r="I47" t="n">
        <v>2</v>
      </c>
      <c r="J47" t="n">
        <v>6</v>
      </c>
      <c r="K47" t="n">
        <v>2</v>
      </c>
      <c r="L47" t="n">
        <v>0</v>
      </c>
      <c r="M47" t="n">
        <v>0</v>
      </c>
      <c r="N47" t="n">
        <v>0</v>
      </c>
      <c r="O47" t="n">
        <v>8</v>
      </c>
      <c r="P47" t="n">
        <v>2</v>
      </c>
      <c r="Q47" t="n">
        <v>12</v>
      </c>
      <c r="R47" s="2" t="inlineStr">
        <is>
          <t>Knärot
Rynkskinn
Kortskaftad ärgspik
Leptoporus erubescens
Spillkråka
Talltita
Ullticka
Vedtrappmossa
Kattfotslav
Vågbandad barkbock
Kungsfågel
Blåsippa</t>
        </is>
      </c>
      <c r="S47">
        <f>HYPERLINK("https://klasma.github.io/Logging_0382/artfynd/A 260-2025 artfynd.xlsx", "A 260-2025")</f>
        <v/>
      </c>
      <c r="T47">
        <f>HYPERLINK("https://klasma.github.io/Logging_0382/kartor/A 260-2025 karta.png", "A 260-2025")</f>
        <v/>
      </c>
      <c r="U47">
        <f>HYPERLINK("https://klasma.github.io/Logging_0382/knärot/A 260-2025 karta knärot.png", "A 260-2025")</f>
        <v/>
      </c>
      <c r="V47">
        <f>HYPERLINK("https://klasma.github.io/Logging_0382/klagomål/A 260-2025 FSC-klagomål.docx", "A 260-2025")</f>
        <v/>
      </c>
      <c r="W47">
        <f>HYPERLINK("https://klasma.github.io/Logging_0382/klagomålsmail/A 260-2025 FSC-klagomål mail.docx", "A 260-2025")</f>
        <v/>
      </c>
      <c r="X47">
        <f>HYPERLINK("https://klasma.github.io/Logging_0382/tillsyn/A 260-2025 tillsynsbegäran.docx", "A 260-2025")</f>
        <v/>
      </c>
      <c r="Y47">
        <f>HYPERLINK("https://klasma.github.io/Logging_0382/tillsynsmail/A 260-2025 tillsynsbegäran mail.docx", "A 260-2025")</f>
        <v/>
      </c>
      <c r="Z47">
        <f>HYPERLINK("https://klasma.github.io/Logging_0382/fåglar/A 260-2025 prioriterade fågelarter.docx", "A 260-2025")</f>
        <v/>
      </c>
    </row>
    <row r="48" ht="15" customHeight="1">
      <c r="A48" t="inlineStr">
        <is>
          <t>A 49848-2019</t>
        </is>
      </c>
      <c r="B48" s="1" t="n">
        <v>43733</v>
      </c>
      <c r="C48" s="1" t="n">
        <v>45832</v>
      </c>
      <c r="D48" t="inlineStr">
        <is>
          <t>UPPSALA LÄN</t>
        </is>
      </c>
      <c r="E48" t="inlineStr">
        <is>
          <t>ENKÖPING</t>
        </is>
      </c>
      <c r="G48" t="n">
        <v>21</v>
      </c>
      <c r="H48" t="n">
        <v>5</v>
      </c>
      <c r="I48" t="n">
        <v>3</v>
      </c>
      <c r="J48" t="n">
        <v>2</v>
      </c>
      <c r="K48" t="n">
        <v>2</v>
      </c>
      <c r="L48" t="n">
        <v>0</v>
      </c>
      <c r="M48" t="n">
        <v>0</v>
      </c>
      <c r="N48" t="n">
        <v>0</v>
      </c>
      <c r="O48" t="n">
        <v>4</v>
      </c>
      <c r="P48" t="n">
        <v>2</v>
      </c>
      <c r="Q48" t="n">
        <v>11</v>
      </c>
      <c r="R48" s="2" t="inlineStr">
        <is>
          <t>Knärot
Violgubbe
Tallticka
Vedtrappmossa
Bronshjon
Grönpyrola
Thomsons trägnagare
Större vattensalamander
Åkergroda
Mindre vattensalamander
Blåsippa</t>
        </is>
      </c>
      <c r="S48">
        <f>HYPERLINK("https://klasma.github.io/Logging_0381/artfynd/A 49848-2019 artfynd.xlsx", "A 49848-2019")</f>
        <v/>
      </c>
      <c r="T48">
        <f>HYPERLINK("https://klasma.github.io/Logging_0381/kartor/A 49848-2019 karta.png", "A 49848-2019")</f>
        <v/>
      </c>
      <c r="U48">
        <f>HYPERLINK("https://klasma.github.io/Logging_0381/knärot/A 49848-2019 karta knärot.png", "A 49848-2019")</f>
        <v/>
      </c>
      <c r="V48">
        <f>HYPERLINK("https://klasma.github.io/Logging_0381/klagomål/A 49848-2019 FSC-klagomål.docx", "A 49848-2019")</f>
        <v/>
      </c>
      <c r="W48">
        <f>HYPERLINK("https://klasma.github.io/Logging_0381/klagomålsmail/A 49848-2019 FSC-klagomål mail.docx", "A 49848-2019")</f>
        <v/>
      </c>
      <c r="X48">
        <f>HYPERLINK("https://klasma.github.io/Logging_0381/tillsyn/A 49848-2019 tillsynsbegäran.docx", "A 49848-2019")</f>
        <v/>
      </c>
      <c r="Y48">
        <f>HYPERLINK("https://klasma.github.io/Logging_0381/tillsynsmail/A 49848-2019 tillsynsbegäran mail.docx", "A 49848-2019")</f>
        <v/>
      </c>
    </row>
    <row r="49" ht="15" customHeight="1">
      <c r="A49" t="inlineStr">
        <is>
          <t>A 36767-2020</t>
        </is>
      </c>
      <c r="B49" s="1" t="n">
        <v>44053</v>
      </c>
      <c r="C49" s="1" t="n">
        <v>45832</v>
      </c>
      <c r="D49" t="inlineStr">
        <is>
          <t>UPPSALA LÄN</t>
        </is>
      </c>
      <c r="E49" t="inlineStr">
        <is>
          <t>UPPSALA</t>
        </is>
      </c>
      <c r="G49" t="n">
        <v>4.1</v>
      </c>
      <c r="H49" t="n">
        <v>0</v>
      </c>
      <c r="I49" t="n">
        <v>3</v>
      </c>
      <c r="J49" t="n">
        <v>4</v>
      </c>
      <c r="K49" t="n">
        <v>3</v>
      </c>
      <c r="L49" t="n">
        <v>1</v>
      </c>
      <c r="M49" t="n">
        <v>0</v>
      </c>
      <c r="N49" t="n">
        <v>0</v>
      </c>
      <c r="O49" t="n">
        <v>8</v>
      </c>
      <c r="P49" t="n">
        <v>4</v>
      </c>
      <c r="Q49" t="n">
        <v>11</v>
      </c>
      <c r="R49" s="2" t="inlineStr">
        <is>
          <t>Lilafotad fingersvamp
Apelticka
Rostorangelav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3929-2021</t>
        </is>
      </c>
      <c r="B50" s="1" t="n">
        <v>44222</v>
      </c>
      <c r="C50" s="1" t="n">
        <v>45832</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10368-2022</t>
        </is>
      </c>
      <c r="B51" s="1" t="n">
        <v>44623</v>
      </c>
      <c r="C51" s="1" t="n">
        <v>45832</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45832</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47453-2023</t>
        </is>
      </c>
      <c r="B53" s="1" t="n">
        <v>45202</v>
      </c>
      <c r="C53" s="1" t="n">
        <v>45832</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30123-2024</t>
        </is>
      </c>
      <c r="B54" s="1" t="n">
        <v>45489</v>
      </c>
      <c r="C54" s="1" t="n">
        <v>45832</v>
      </c>
      <c r="D54" t="inlineStr">
        <is>
          <t>UPPSALA LÄN</t>
        </is>
      </c>
      <c r="E54" t="inlineStr">
        <is>
          <t>UPPSALA</t>
        </is>
      </c>
      <c r="G54" t="n">
        <v>3.6</v>
      </c>
      <c r="H54" t="n">
        <v>4</v>
      </c>
      <c r="I54" t="n">
        <v>6</v>
      </c>
      <c r="J54" t="n">
        <v>2</v>
      </c>
      <c r="K54" t="n">
        <v>0</v>
      </c>
      <c r="L54" t="n">
        <v>0</v>
      </c>
      <c r="M54" t="n">
        <v>1</v>
      </c>
      <c r="N54" t="n">
        <v>0</v>
      </c>
      <c r="O54" t="n">
        <v>3</v>
      </c>
      <c r="P54" t="n">
        <v>1</v>
      </c>
      <c r="Q54" t="n">
        <v>11</v>
      </c>
      <c r="R54" s="2" t="inlineStr">
        <is>
          <t>Skogsalm
Spillkråka
Ullticka
Brandticka
Fällmossa
Granbarkgnagare
Guldlockmossa
Nästrot
Svart trolldruva
Nattviol
Blåsippa</t>
        </is>
      </c>
      <c r="S54">
        <f>HYPERLINK("https://klasma.github.io/Logging_0380/artfynd/A 30123-2024 artfynd.xlsx", "A 30123-2024")</f>
        <v/>
      </c>
      <c r="T54">
        <f>HYPERLINK("https://klasma.github.io/Logging_0380/kartor/A 30123-2024 karta.png", "A 30123-2024")</f>
        <v/>
      </c>
      <c r="V54">
        <f>HYPERLINK("https://klasma.github.io/Logging_0380/klagomål/A 30123-2024 FSC-klagomål.docx", "A 30123-2024")</f>
        <v/>
      </c>
      <c r="W54">
        <f>HYPERLINK("https://klasma.github.io/Logging_0380/klagomålsmail/A 30123-2024 FSC-klagomål mail.docx", "A 30123-2024")</f>
        <v/>
      </c>
      <c r="X54">
        <f>HYPERLINK("https://klasma.github.io/Logging_0380/tillsyn/A 30123-2024 tillsynsbegäran.docx", "A 30123-2024")</f>
        <v/>
      </c>
      <c r="Y54">
        <f>HYPERLINK("https://klasma.github.io/Logging_0380/tillsynsmail/A 30123-2024 tillsynsbegäran mail.docx", "A 30123-2024")</f>
        <v/>
      </c>
      <c r="Z54">
        <f>HYPERLINK("https://klasma.github.io/Logging_0380/fåglar/A 30123-2024 prioriterade fågelarter.docx", "A 30123-2024")</f>
        <v/>
      </c>
    </row>
    <row r="55" ht="15" customHeight="1">
      <c r="A55" t="inlineStr">
        <is>
          <t>A 55274-2024</t>
        </is>
      </c>
      <c r="B55" s="1" t="n">
        <v>45621</v>
      </c>
      <c r="C55" s="1" t="n">
        <v>45832</v>
      </c>
      <c r="D55" t="inlineStr">
        <is>
          <t>UPPSALA LÄN</t>
        </is>
      </c>
      <c r="E55" t="inlineStr">
        <is>
          <t>HEBY</t>
        </is>
      </c>
      <c r="G55" t="n">
        <v>14.9</v>
      </c>
      <c r="H55" t="n">
        <v>5</v>
      </c>
      <c r="I55" t="n">
        <v>2</v>
      </c>
      <c r="J55" t="n">
        <v>5</v>
      </c>
      <c r="K55" t="n">
        <v>2</v>
      </c>
      <c r="L55" t="n">
        <v>0</v>
      </c>
      <c r="M55" t="n">
        <v>0</v>
      </c>
      <c r="N55" t="n">
        <v>0</v>
      </c>
      <c r="O55" t="n">
        <v>7</v>
      </c>
      <c r="P55" t="n">
        <v>2</v>
      </c>
      <c r="Q55" t="n">
        <v>11</v>
      </c>
      <c r="R55" s="2" t="inlineStr">
        <is>
          <t>Knärot
Rynkskinn
Garnlav
Järpe
Kolflarnlav
Talltita
Ullticka
Björksplintborre
Mörk husmossa
Blåsippa
Revlummer</t>
        </is>
      </c>
      <c r="S55">
        <f>HYPERLINK("https://klasma.github.io/Logging_0331/artfynd/A 55274-2024 artfynd.xlsx", "A 55274-2024")</f>
        <v/>
      </c>
      <c r="T55">
        <f>HYPERLINK("https://klasma.github.io/Logging_0331/kartor/A 55274-2024 karta.png", "A 55274-2024")</f>
        <v/>
      </c>
      <c r="U55">
        <f>HYPERLINK("https://klasma.github.io/Logging_0331/knärot/A 55274-2024 karta knärot.png", "A 55274-2024")</f>
        <v/>
      </c>
      <c r="V55">
        <f>HYPERLINK("https://klasma.github.io/Logging_0331/klagomål/A 55274-2024 FSC-klagomål.docx", "A 55274-2024")</f>
        <v/>
      </c>
      <c r="W55">
        <f>HYPERLINK("https://klasma.github.io/Logging_0331/klagomålsmail/A 55274-2024 FSC-klagomål mail.docx", "A 55274-2024")</f>
        <v/>
      </c>
      <c r="X55">
        <f>HYPERLINK("https://klasma.github.io/Logging_0331/tillsyn/A 55274-2024 tillsynsbegäran.docx", "A 55274-2024")</f>
        <v/>
      </c>
      <c r="Y55">
        <f>HYPERLINK("https://klasma.github.io/Logging_0331/tillsynsmail/A 55274-2024 tillsynsbegäran mail.docx", "A 55274-2024")</f>
        <v/>
      </c>
      <c r="Z55">
        <f>HYPERLINK("https://klasma.github.io/Logging_0331/fåglar/A 55274-2024 prioriterade fågelarter.docx", "A 55274-2024")</f>
        <v/>
      </c>
    </row>
    <row r="56" ht="15" customHeight="1">
      <c r="A56" t="inlineStr">
        <is>
          <t>A 64002-2019</t>
        </is>
      </c>
      <c r="B56" s="1" t="n">
        <v>43796</v>
      </c>
      <c r="C56" s="1" t="n">
        <v>45832</v>
      </c>
      <c r="D56" t="inlineStr">
        <is>
          <t>UPPSALA LÄN</t>
        </is>
      </c>
      <c r="E56" t="inlineStr">
        <is>
          <t>UPPSALA</t>
        </is>
      </c>
      <c r="F56" t="inlineStr">
        <is>
          <t>Holmen skog AB</t>
        </is>
      </c>
      <c r="G56" t="n">
        <v>5.8</v>
      </c>
      <c r="H56" t="n">
        <v>1</v>
      </c>
      <c r="I56" t="n">
        <v>5</v>
      </c>
      <c r="J56" t="n">
        <v>4</v>
      </c>
      <c r="K56" t="n">
        <v>1</v>
      </c>
      <c r="L56" t="n">
        <v>0</v>
      </c>
      <c r="M56" t="n">
        <v>0</v>
      </c>
      <c r="N56" t="n">
        <v>0</v>
      </c>
      <c r="O56" t="n">
        <v>5</v>
      </c>
      <c r="P56" t="n">
        <v>1</v>
      </c>
      <c r="Q56" t="n">
        <v>10</v>
      </c>
      <c r="R56" s="2" t="inlineStr">
        <is>
          <t>Knärot
Grantaggsvamp
Skrovlig flatbagge
Timmertickgnagare
Ullticka
Brandticka
Ljus vedstrit
Mörk vedstrit
Olivspindling
Thymalus limbatus</t>
        </is>
      </c>
      <c r="S56">
        <f>HYPERLINK("https://klasma.github.io/Logging_0380/artfynd/A 64002-2019 artfynd.xlsx", "A 64002-2019")</f>
        <v/>
      </c>
      <c r="T56">
        <f>HYPERLINK("https://klasma.github.io/Logging_0380/kartor/A 64002-2019 karta.png", "A 64002-2019")</f>
        <v/>
      </c>
      <c r="U56">
        <f>HYPERLINK("https://klasma.github.io/Logging_0380/knärot/A 64002-2019 karta knärot.png", "A 64002-2019")</f>
        <v/>
      </c>
      <c r="V56">
        <f>HYPERLINK("https://klasma.github.io/Logging_0380/klagomål/A 64002-2019 FSC-klagomål.docx", "A 64002-2019")</f>
        <v/>
      </c>
      <c r="W56">
        <f>HYPERLINK("https://klasma.github.io/Logging_0380/klagomålsmail/A 64002-2019 FSC-klagomål mail.docx", "A 64002-2019")</f>
        <v/>
      </c>
      <c r="X56">
        <f>HYPERLINK("https://klasma.github.io/Logging_0380/tillsyn/A 64002-2019 tillsynsbegäran.docx", "A 64002-2019")</f>
        <v/>
      </c>
      <c r="Y56">
        <f>HYPERLINK("https://klasma.github.io/Logging_0380/tillsynsmail/A 64002-2019 tillsynsbegäran mail.docx", "A 64002-2019")</f>
        <v/>
      </c>
    </row>
    <row r="57" ht="15" customHeight="1">
      <c r="A57" t="inlineStr">
        <is>
          <t>A 2802-2021</t>
        </is>
      </c>
      <c r="B57" s="1" t="n">
        <v>44215</v>
      </c>
      <c r="C57" s="1" t="n">
        <v>45832</v>
      </c>
      <c r="D57" t="inlineStr">
        <is>
          <t>UPPSALA LÄN</t>
        </is>
      </c>
      <c r="E57" t="inlineStr">
        <is>
          <t>TIERP</t>
        </is>
      </c>
      <c r="G57" t="n">
        <v>4.3</v>
      </c>
      <c r="H57" t="n">
        <v>0</v>
      </c>
      <c r="I57" t="n">
        <v>7</v>
      </c>
      <c r="J57" t="n">
        <v>2</v>
      </c>
      <c r="K57" t="n">
        <v>1</v>
      </c>
      <c r="L57" t="n">
        <v>0</v>
      </c>
      <c r="M57" t="n">
        <v>0</v>
      </c>
      <c r="N57" t="n">
        <v>0</v>
      </c>
      <c r="O57" t="n">
        <v>3</v>
      </c>
      <c r="P57" t="n">
        <v>1</v>
      </c>
      <c r="Q57" t="n">
        <v>10</v>
      </c>
      <c r="R57" s="2" t="inlineStr">
        <is>
          <t>Kopparspindling
Puderspindling
Äggspindling
Anisspindling
Diskvaxskivling
Fjällig taggsvamp s.str.
Kantjordstjärna
Kryddspindling
Olivspindling
Rödgul trumpetsvamp</t>
        </is>
      </c>
      <c r="S57">
        <f>HYPERLINK("https://klasma.github.io/Logging_0360/artfynd/A 2802-2021 artfynd.xlsx", "A 2802-2021")</f>
        <v/>
      </c>
      <c r="T57">
        <f>HYPERLINK("https://klasma.github.io/Logging_0360/kartor/A 2802-2021 karta.png", "A 2802-2021")</f>
        <v/>
      </c>
      <c r="V57">
        <f>HYPERLINK("https://klasma.github.io/Logging_0360/klagomål/A 2802-2021 FSC-klagomål.docx", "A 2802-2021")</f>
        <v/>
      </c>
      <c r="W57">
        <f>HYPERLINK("https://klasma.github.io/Logging_0360/klagomålsmail/A 2802-2021 FSC-klagomål mail.docx", "A 2802-2021")</f>
        <v/>
      </c>
      <c r="X57">
        <f>HYPERLINK("https://klasma.github.io/Logging_0360/tillsyn/A 2802-2021 tillsynsbegäran.docx", "A 2802-2021")</f>
        <v/>
      </c>
      <c r="Y57">
        <f>HYPERLINK("https://klasma.github.io/Logging_0360/tillsynsmail/A 2802-2021 tillsynsbegäran mail.docx", "A 2802-2021")</f>
        <v/>
      </c>
    </row>
    <row r="58" ht="15" customHeight="1">
      <c r="A58" t="inlineStr">
        <is>
          <t>A 45111-2021</t>
        </is>
      </c>
      <c r="B58" s="1" t="n">
        <v>44439</v>
      </c>
      <c r="C58" s="1" t="n">
        <v>45832</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45832</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45832</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45832</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20233-2022</t>
        </is>
      </c>
      <c r="B62" s="1" t="n">
        <v>44698</v>
      </c>
      <c r="C62" s="1" t="n">
        <v>45832</v>
      </c>
      <c r="D62" t="inlineStr">
        <is>
          <t>UPPSALA LÄN</t>
        </is>
      </c>
      <c r="E62" t="inlineStr">
        <is>
          <t>ÖSTHAMMAR</t>
        </is>
      </c>
      <c r="G62" t="n">
        <v>9.5</v>
      </c>
      <c r="H62" t="n">
        <v>0</v>
      </c>
      <c r="I62" t="n">
        <v>6</v>
      </c>
      <c r="J62" t="n">
        <v>2</v>
      </c>
      <c r="K62" t="n">
        <v>2</v>
      </c>
      <c r="L62" t="n">
        <v>0</v>
      </c>
      <c r="M62" t="n">
        <v>0</v>
      </c>
      <c r="N62" t="n">
        <v>0</v>
      </c>
      <c r="O62" t="n">
        <v>4</v>
      </c>
      <c r="P62" t="n">
        <v>2</v>
      </c>
      <c r="Q62" t="n">
        <v>10</v>
      </c>
      <c r="R62" s="2" t="inlineStr">
        <is>
          <t>Koppartaggsvamp
Violgubbe
Flattoppad klubbsvamp
Orange taggsvamp
Anisspindling
Dropptaggsvamp
Fjällig taggsvamp s.str.
Olivspindling
Rödgul trumpetsvamp
Svavelriska</t>
        </is>
      </c>
      <c r="S62">
        <f>HYPERLINK("https://klasma.github.io/Logging_0382/artfynd/A 20233-2022 artfynd.xlsx", "A 20233-2022")</f>
        <v/>
      </c>
      <c r="T62">
        <f>HYPERLINK("https://klasma.github.io/Logging_0382/kartor/A 20233-2022 karta.png", "A 20233-2022")</f>
        <v/>
      </c>
      <c r="V62">
        <f>HYPERLINK("https://klasma.github.io/Logging_0382/klagomål/A 20233-2022 FSC-klagomål.docx", "A 20233-2022")</f>
        <v/>
      </c>
      <c r="W62">
        <f>HYPERLINK("https://klasma.github.io/Logging_0382/klagomålsmail/A 20233-2022 FSC-klagomål mail.docx", "A 20233-2022")</f>
        <v/>
      </c>
      <c r="X62">
        <f>HYPERLINK("https://klasma.github.io/Logging_0382/tillsyn/A 20233-2022 tillsynsbegäran.docx", "A 20233-2022")</f>
        <v/>
      </c>
      <c r="Y62">
        <f>HYPERLINK("https://klasma.github.io/Logging_0382/tillsynsmail/A 20233-2022 tillsynsbegäran mail.docx", "A 20233-2022")</f>
        <v/>
      </c>
    </row>
    <row r="63" ht="15" customHeight="1">
      <c r="A63" t="inlineStr">
        <is>
          <t>A 55229-2024</t>
        </is>
      </c>
      <c r="B63" s="1" t="n">
        <v>45621</v>
      </c>
      <c r="C63" s="1" t="n">
        <v>45832</v>
      </c>
      <c r="D63" t="inlineStr">
        <is>
          <t>UPPSALA LÄN</t>
        </is>
      </c>
      <c r="E63" t="inlineStr">
        <is>
          <t>HEBY</t>
        </is>
      </c>
      <c r="G63" t="n">
        <v>5.3</v>
      </c>
      <c r="H63" t="n">
        <v>3</v>
      </c>
      <c r="I63" t="n">
        <v>4</v>
      </c>
      <c r="J63" t="n">
        <v>2</v>
      </c>
      <c r="K63" t="n">
        <v>2</v>
      </c>
      <c r="L63" t="n">
        <v>0</v>
      </c>
      <c r="M63" t="n">
        <v>0</v>
      </c>
      <c r="N63" t="n">
        <v>0</v>
      </c>
      <c r="O63" t="n">
        <v>4</v>
      </c>
      <c r="P63" t="n">
        <v>2</v>
      </c>
      <c r="Q63" t="n">
        <v>10</v>
      </c>
      <c r="R63" s="2" t="inlineStr">
        <is>
          <t>Knärot
Rynkskinn
Kolflarnlav
Ullticka
Bronshjon
Kattfotslav
Korallblylav
Mörk husmossa
Blåsippa
Revlummer</t>
        </is>
      </c>
      <c r="S63">
        <f>HYPERLINK("https://klasma.github.io/Logging_0331/artfynd/A 55229-2024 artfynd.xlsx", "A 55229-2024")</f>
        <v/>
      </c>
      <c r="T63">
        <f>HYPERLINK("https://klasma.github.io/Logging_0331/kartor/A 55229-2024 karta.png", "A 55229-2024")</f>
        <v/>
      </c>
      <c r="U63">
        <f>HYPERLINK("https://klasma.github.io/Logging_0331/knärot/A 55229-2024 karta knärot.png", "A 55229-2024")</f>
        <v/>
      </c>
      <c r="V63">
        <f>HYPERLINK("https://klasma.github.io/Logging_0331/klagomål/A 55229-2024 FSC-klagomål.docx", "A 55229-2024")</f>
        <v/>
      </c>
      <c r="W63">
        <f>HYPERLINK("https://klasma.github.io/Logging_0331/klagomålsmail/A 55229-2024 FSC-klagomål mail.docx", "A 55229-2024")</f>
        <v/>
      </c>
      <c r="X63">
        <f>HYPERLINK("https://klasma.github.io/Logging_0331/tillsyn/A 55229-2024 tillsynsbegäran.docx", "A 55229-2024")</f>
        <v/>
      </c>
      <c r="Y63">
        <f>HYPERLINK("https://klasma.github.io/Logging_0331/tillsynsmail/A 55229-2024 tillsynsbegäran mail.docx", "A 55229-2024")</f>
        <v/>
      </c>
    </row>
    <row r="64" ht="15" customHeight="1">
      <c r="A64" t="inlineStr">
        <is>
          <t>A 60673-2024</t>
        </is>
      </c>
      <c r="B64" s="1" t="n">
        <v>45644</v>
      </c>
      <c r="C64" s="1" t="n">
        <v>45832</v>
      </c>
      <c r="D64" t="inlineStr">
        <is>
          <t>UPPSALA LÄN</t>
        </is>
      </c>
      <c r="E64" t="inlineStr">
        <is>
          <t>TIERP</t>
        </is>
      </c>
      <c r="G64" t="n">
        <v>4</v>
      </c>
      <c r="H64" t="n">
        <v>0</v>
      </c>
      <c r="I64" t="n">
        <v>5</v>
      </c>
      <c r="J64" t="n">
        <v>3</v>
      </c>
      <c r="K64" t="n">
        <v>2</v>
      </c>
      <c r="L64" t="n">
        <v>0</v>
      </c>
      <c r="M64" t="n">
        <v>0</v>
      </c>
      <c r="N64" t="n">
        <v>0</v>
      </c>
      <c r="O64" t="n">
        <v>5</v>
      </c>
      <c r="P64" t="n">
        <v>2</v>
      </c>
      <c r="Q64" t="n">
        <v>10</v>
      </c>
      <c r="R64" s="2" t="inlineStr">
        <is>
          <t>Brandtaggsvamp
Fläckfingersvamp
Dofttaggsvamp
Svart taggsvamp
Vedtrappmossa
Brandmusseron
Fjällig taggsvamp s.str.
Korallblylav
Skinnlav
Tibast</t>
        </is>
      </c>
      <c r="S64">
        <f>HYPERLINK("https://klasma.github.io/Logging_0360/artfynd/A 60673-2024 artfynd.xlsx", "A 60673-2024")</f>
        <v/>
      </c>
      <c r="T64">
        <f>HYPERLINK("https://klasma.github.io/Logging_0360/kartor/A 60673-2024 karta.png", "A 60673-2024")</f>
        <v/>
      </c>
      <c r="V64">
        <f>HYPERLINK("https://klasma.github.io/Logging_0360/klagomål/A 60673-2024 FSC-klagomål.docx", "A 60673-2024")</f>
        <v/>
      </c>
      <c r="W64">
        <f>HYPERLINK("https://klasma.github.io/Logging_0360/klagomålsmail/A 60673-2024 FSC-klagomål mail.docx", "A 60673-2024")</f>
        <v/>
      </c>
      <c r="X64">
        <f>HYPERLINK("https://klasma.github.io/Logging_0360/tillsyn/A 60673-2024 tillsynsbegäran.docx", "A 60673-2024")</f>
        <v/>
      </c>
      <c r="Y64">
        <f>HYPERLINK("https://klasma.github.io/Logging_0360/tillsynsmail/A 60673-2024 tillsynsbegäran mail.docx", "A 60673-2024")</f>
        <v/>
      </c>
    </row>
    <row r="65" ht="15" customHeight="1">
      <c r="A65" t="inlineStr">
        <is>
          <t>A 28450-2021</t>
        </is>
      </c>
      <c r="B65" s="1" t="n">
        <v>44356</v>
      </c>
      <c r="C65" s="1" t="n">
        <v>45832</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31207-2022</t>
        </is>
      </c>
      <c r="B66" s="1" t="n">
        <v>44771</v>
      </c>
      <c r="C66" s="1" t="n">
        <v>45832</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2728-2023</t>
        </is>
      </c>
      <c r="B67" s="1" t="n">
        <v>44944</v>
      </c>
      <c r="C67" s="1" t="n">
        <v>45832</v>
      </c>
      <c r="D67" t="inlineStr">
        <is>
          <t>UPPSALA LÄN</t>
        </is>
      </c>
      <c r="E67" t="inlineStr">
        <is>
          <t>HÅBO</t>
        </is>
      </c>
      <c r="G67" t="n">
        <v>4.7</v>
      </c>
      <c r="H67" t="n">
        <v>2</v>
      </c>
      <c r="I67" t="n">
        <v>6</v>
      </c>
      <c r="J67" t="n">
        <v>1</v>
      </c>
      <c r="K67" t="n">
        <v>0</v>
      </c>
      <c r="L67" t="n">
        <v>0</v>
      </c>
      <c r="M67" t="n">
        <v>0</v>
      </c>
      <c r="N67" t="n">
        <v>0</v>
      </c>
      <c r="O67" t="n">
        <v>1</v>
      </c>
      <c r="P67" t="n">
        <v>0</v>
      </c>
      <c r="Q67" t="n">
        <v>9</v>
      </c>
      <c r="R67" s="2" t="inlineStr">
        <is>
          <t>Dofttaggsvamp
Anisspindling
Blåmossa
Fjällig taggsvamp s.str.
Källpraktmossa
Strimspindling
Svavelriska
Fläcknycklar
Nattviol</t>
        </is>
      </c>
      <c r="S67">
        <f>HYPERLINK("https://klasma.github.io/Logging_0305/artfynd/A 2728-2023 artfynd.xlsx", "A 2728-2023")</f>
        <v/>
      </c>
      <c r="T67">
        <f>HYPERLINK("https://klasma.github.io/Logging_0305/kartor/A 2728-2023 karta.png", "A 2728-2023")</f>
        <v/>
      </c>
      <c r="V67">
        <f>HYPERLINK("https://klasma.github.io/Logging_0305/klagomål/A 2728-2023 FSC-klagomål.docx", "A 2728-2023")</f>
        <v/>
      </c>
      <c r="W67">
        <f>HYPERLINK("https://klasma.github.io/Logging_0305/klagomålsmail/A 2728-2023 FSC-klagomål mail.docx", "A 2728-2023")</f>
        <v/>
      </c>
      <c r="X67">
        <f>HYPERLINK("https://klasma.github.io/Logging_0305/tillsyn/A 2728-2023 tillsynsbegäran.docx", "A 2728-2023")</f>
        <v/>
      </c>
      <c r="Y67">
        <f>HYPERLINK("https://klasma.github.io/Logging_0305/tillsynsmail/A 2728-2023 tillsynsbegäran mail.docx", "A 2728-2023")</f>
        <v/>
      </c>
    </row>
    <row r="68" ht="15" customHeight="1">
      <c r="A68" t="inlineStr">
        <is>
          <t>A 7444-2023</t>
        </is>
      </c>
      <c r="B68" s="1" t="n">
        <v>44971</v>
      </c>
      <c r="C68" s="1" t="n">
        <v>45832</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11878-2023</t>
        </is>
      </c>
      <c r="B69" s="1" t="n">
        <v>44995</v>
      </c>
      <c r="C69" s="1" t="n">
        <v>45832</v>
      </c>
      <c r="D69" t="inlineStr">
        <is>
          <t>UPPSALA LÄN</t>
        </is>
      </c>
      <c r="E69" t="inlineStr">
        <is>
          <t>TIERP</t>
        </is>
      </c>
      <c r="F69" t="inlineStr">
        <is>
          <t>Bergvik skog öst AB</t>
        </is>
      </c>
      <c r="G69" t="n">
        <v>38</v>
      </c>
      <c r="H69" t="n">
        <v>5</v>
      </c>
      <c r="I69" t="n">
        <v>4</v>
      </c>
      <c r="J69" t="n">
        <v>1</v>
      </c>
      <c r="K69" t="n">
        <v>2</v>
      </c>
      <c r="L69" t="n">
        <v>0</v>
      </c>
      <c r="M69" t="n">
        <v>0</v>
      </c>
      <c r="N69" t="n">
        <v>0</v>
      </c>
      <c r="O69" t="n">
        <v>3</v>
      </c>
      <c r="P69" t="n">
        <v>2</v>
      </c>
      <c r="Q69" t="n">
        <v>9</v>
      </c>
      <c r="R69" s="2" t="inlineStr">
        <is>
          <t>Knärot
Rynkskinn
Spillkråka
Anisspindling
Rödgul trumpetsvamp
Skogsknipprot
Sårläka
Blåsippa
Revlummer</t>
        </is>
      </c>
      <c r="S69">
        <f>HYPERLINK("https://klasma.github.io/Logging_0360/artfynd/A 11878-2023 artfynd.xlsx", "A 11878-2023")</f>
        <v/>
      </c>
      <c r="T69">
        <f>HYPERLINK("https://klasma.github.io/Logging_0360/kartor/A 11878-2023 karta.png", "A 11878-2023")</f>
        <v/>
      </c>
      <c r="U69">
        <f>HYPERLINK("https://klasma.github.io/Logging_0360/knärot/A 11878-2023 karta knärot.png", "A 11878-2023")</f>
        <v/>
      </c>
      <c r="V69">
        <f>HYPERLINK("https://klasma.github.io/Logging_0360/klagomål/A 11878-2023 FSC-klagomål.docx", "A 11878-2023")</f>
        <v/>
      </c>
      <c r="W69">
        <f>HYPERLINK("https://klasma.github.io/Logging_0360/klagomålsmail/A 11878-2023 FSC-klagomål mail.docx", "A 11878-2023")</f>
        <v/>
      </c>
      <c r="X69">
        <f>HYPERLINK("https://klasma.github.io/Logging_0360/tillsyn/A 11878-2023 tillsynsbegäran.docx", "A 11878-2023")</f>
        <v/>
      </c>
      <c r="Y69">
        <f>HYPERLINK("https://klasma.github.io/Logging_0360/tillsynsmail/A 11878-2023 tillsynsbegäran mail.docx", "A 11878-2023")</f>
        <v/>
      </c>
      <c r="Z69">
        <f>HYPERLINK("https://klasma.github.io/Logging_0360/fåglar/A 11878-2023 prioriterade fågelarter.docx", "A 11878-2023")</f>
        <v/>
      </c>
    </row>
    <row r="70" ht="15" customHeight="1">
      <c r="A70" t="inlineStr">
        <is>
          <t>A 44867-2023</t>
        </is>
      </c>
      <c r="B70" s="1" t="n">
        <v>45190</v>
      </c>
      <c r="C70" s="1" t="n">
        <v>45832</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46162-2023</t>
        </is>
      </c>
      <c r="B71" s="1" t="n">
        <v>45196</v>
      </c>
      <c r="C71" s="1" t="n">
        <v>45832</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45832</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52808-2023</t>
        </is>
      </c>
      <c r="B73" s="1" t="n">
        <v>45226</v>
      </c>
      <c r="C73" s="1" t="n">
        <v>45832</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19748-2024</t>
        </is>
      </c>
      <c r="B74" s="1" t="n">
        <v>45432</v>
      </c>
      <c r="C74" s="1" t="n">
        <v>45832</v>
      </c>
      <c r="D74" t="inlineStr">
        <is>
          <t>UPPSALA LÄN</t>
        </is>
      </c>
      <c r="E74" t="inlineStr">
        <is>
          <t>ÖSTHAMMAR</t>
        </is>
      </c>
      <c r="G74" t="n">
        <v>1.3</v>
      </c>
      <c r="H74" t="n">
        <v>4</v>
      </c>
      <c r="I74" t="n">
        <v>3</v>
      </c>
      <c r="J74" t="n">
        <v>2</v>
      </c>
      <c r="K74" t="n">
        <v>2</v>
      </c>
      <c r="L74" t="n">
        <v>0</v>
      </c>
      <c r="M74" t="n">
        <v>0</v>
      </c>
      <c r="N74" t="n">
        <v>0</v>
      </c>
      <c r="O74" t="n">
        <v>4</v>
      </c>
      <c r="P74" t="n">
        <v>2</v>
      </c>
      <c r="Q74" t="n">
        <v>9</v>
      </c>
      <c r="R74" s="2" t="inlineStr">
        <is>
          <t>Koppartaggsvamp
Violgubbe
Spillkråka
Talltita
Brandticka
Fjällig taggsvamp s.str.
Zontaggsvamp
Blåsippa
Revlummer</t>
        </is>
      </c>
      <c r="S74">
        <f>HYPERLINK("https://klasma.github.io/Logging_0382/artfynd/A 19748-2024 artfynd.xlsx", "A 19748-2024")</f>
        <v/>
      </c>
      <c r="T74">
        <f>HYPERLINK("https://klasma.github.io/Logging_0382/kartor/A 19748-2024 karta.png", "A 19748-2024")</f>
        <v/>
      </c>
      <c r="U74">
        <f>HYPERLINK("https://klasma.github.io/Logging_0382/knärot/A 19748-2024 karta knärot.png", "A 19748-2024")</f>
        <v/>
      </c>
      <c r="V74">
        <f>HYPERLINK("https://klasma.github.io/Logging_0382/klagomål/A 19748-2024 FSC-klagomål.docx", "A 19748-2024")</f>
        <v/>
      </c>
      <c r="W74">
        <f>HYPERLINK("https://klasma.github.io/Logging_0382/klagomålsmail/A 19748-2024 FSC-klagomål mail.docx", "A 19748-2024")</f>
        <v/>
      </c>
      <c r="X74">
        <f>HYPERLINK("https://klasma.github.io/Logging_0382/tillsyn/A 19748-2024 tillsynsbegäran.docx", "A 19748-2024")</f>
        <v/>
      </c>
      <c r="Y74">
        <f>HYPERLINK("https://klasma.github.io/Logging_0382/tillsynsmail/A 19748-2024 tillsynsbegäran mail.docx", "A 19748-2024")</f>
        <v/>
      </c>
      <c r="Z74">
        <f>HYPERLINK("https://klasma.github.io/Logging_0382/fåglar/A 19748-2024 prioriterade fågelarter.docx", "A 19748-2024")</f>
        <v/>
      </c>
    </row>
    <row r="75" ht="15" customHeight="1">
      <c r="A75" t="inlineStr">
        <is>
          <t>A 12240-2025</t>
        </is>
      </c>
      <c r="B75" s="1" t="n">
        <v>45729</v>
      </c>
      <c r="C75" s="1" t="n">
        <v>45832</v>
      </c>
      <c r="D75" t="inlineStr">
        <is>
          <t>UPPSALA LÄN</t>
        </is>
      </c>
      <c r="E75" t="inlineStr">
        <is>
          <t>HEBY</t>
        </is>
      </c>
      <c r="G75" t="n">
        <v>5.5</v>
      </c>
      <c r="H75" t="n">
        <v>0</v>
      </c>
      <c r="I75" t="n">
        <v>5</v>
      </c>
      <c r="J75" t="n">
        <v>4</v>
      </c>
      <c r="K75" t="n">
        <v>0</v>
      </c>
      <c r="L75" t="n">
        <v>0</v>
      </c>
      <c r="M75" t="n">
        <v>0</v>
      </c>
      <c r="N75" t="n">
        <v>0</v>
      </c>
      <c r="O75" t="n">
        <v>4</v>
      </c>
      <c r="P75" t="n">
        <v>0</v>
      </c>
      <c r="Q75" t="n">
        <v>9</v>
      </c>
      <c r="R75" s="2" t="inlineStr">
        <is>
          <t>Druvfingersvamp
Grantaggsvamp
Gultoppig fingersvamp
Ullticka
Barkticka
Fjällig taggsvamp s.str.
Platt fjädermossa
Stekelbock
Stor aspticka</t>
        </is>
      </c>
      <c r="S75">
        <f>HYPERLINK("https://klasma.github.io/Logging_030331/artfynd/A 12240-2025 artfynd.xlsx", "A 12240-2025")</f>
        <v/>
      </c>
      <c r="T75">
        <f>HYPERLINK("https://klasma.github.io/Logging_030331/kartor/A 12240-2025 karta.png", "A 12240-2025")</f>
        <v/>
      </c>
      <c r="V75">
        <f>HYPERLINK("https://klasma.github.io/Logging_030331/klagomål/A 12240-2025 FSC-klagomål.docx", "A 12240-2025")</f>
        <v/>
      </c>
      <c r="W75">
        <f>HYPERLINK("https://klasma.github.io/Logging_030331/klagomålsmail/A 12240-2025 FSC-klagomål mail.docx", "A 12240-2025")</f>
        <v/>
      </c>
      <c r="X75">
        <f>HYPERLINK("https://klasma.github.io/Logging_030331/tillsyn/A 12240-2025 tillsynsbegäran.docx", "A 12240-2025")</f>
        <v/>
      </c>
      <c r="Y75">
        <f>HYPERLINK("https://klasma.github.io/Logging_030331/tillsynsmail/A 12240-2025 tillsynsbegäran mail.docx", "A 12240-2025")</f>
        <v/>
      </c>
    </row>
    <row r="76" ht="15" customHeight="1">
      <c r="A76" t="inlineStr">
        <is>
          <t>A 17846-2025</t>
        </is>
      </c>
      <c r="B76" s="1" t="n">
        <v>45758</v>
      </c>
      <c r="C76" s="1" t="n">
        <v>45832</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HYPERLINK("https://klasma.github.io/Logging_030380/artfynd/A 17846-2025 artfynd.xlsx", "A 17846-2025")</f>
        <v/>
      </c>
      <c r="T76">
        <f>HYPERLINK("https://klasma.github.io/Logging_030380/kartor/A 17846-2025 karta.png", "A 17846-2025")</f>
        <v/>
      </c>
      <c r="V76">
        <f>HYPERLINK("https://klasma.github.io/Logging_030380/klagomål/A 17846-2025 FSC-klagomål.docx", "A 17846-2025")</f>
        <v/>
      </c>
      <c r="W76">
        <f>HYPERLINK("https://klasma.github.io/Logging_030380/klagomålsmail/A 17846-2025 FSC-klagomål mail.docx", "A 17846-2025")</f>
        <v/>
      </c>
      <c r="X76">
        <f>HYPERLINK("https://klasma.github.io/Logging_030380/tillsyn/A 17846-2025 tillsynsbegäran.docx", "A 17846-2025")</f>
        <v/>
      </c>
      <c r="Y76">
        <f>HYPERLINK("https://klasma.github.io/Logging_030380/tillsynsmail/A 17846-2025 tillsynsbegäran mail.docx", "A 17846-2025")</f>
        <v/>
      </c>
    </row>
    <row r="77" ht="15" customHeight="1">
      <c r="A77" t="inlineStr">
        <is>
          <t>A 32680-2019</t>
        </is>
      </c>
      <c r="B77" s="1" t="n">
        <v>43647</v>
      </c>
      <c r="C77" s="1" t="n">
        <v>45832</v>
      </c>
      <c r="D77" t="inlineStr">
        <is>
          <t>UPPSALA LÄN</t>
        </is>
      </c>
      <c r="E77" t="inlineStr">
        <is>
          <t>ÖSTHAMMAR</t>
        </is>
      </c>
      <c r="G77" t="n">
        <v>8.300000000000001</v>
      </c>
      <c r="H77" t="n">
        <v>3</v>
      </c>
      <c r="I77" t="n">
        <v>5</v>
      </c>
      <c r="J77" t="n">
        <v>1</v>
      </c>
      <c r="K77" t="n">
        <v>1</v>
      </c>
      <c r="L77" t="n">
        <v>0</v>
      </c>
      <c r="M77" t="n">
        <v>0</v>
      </c>
      <c r="N77" t="n">
        <v>0</v>
      </c>
      <c r="O77" t="n">
        <v>2</v>
      </c>
      <c r="P77" t="n">
        <v>1</v>
      </c>
      <c r="Q77" t="n">
        <v>8</v>
      </c>
      <c r="R77" s="2" t="inlineStr">
        <is>
          <t>Violgubbe
Kalkkärrsgrynsnäcka
Anisspindling
Nästrot
Skinnlav
Skogsknipprot
Svavelriska
Blåsippa</t>
        </is>
      </c>
      <c r="S77">
        <f>HYPERLINK("https://klasma.github.io/Logging_0382/artfynd/A 32680-2019 artfynd.xlsx", "A 32680-2019")</f>
        <v/>
      </c>
      <c r="T77">
        <f>HYPERLINK("https://klasma.github.io/Logging_0382/kartor/A 32680-2019 karta.png", "A 32680-2019")</f>
        <v/>
      </c>
      <c r="V77">
        <f>HYPERLINK("https://klasma.github.io/Logging_0382/klagomål/A 32680-2019 FSC-klagomål.docx", "A 32680-2019")</f>
        <v/>
      </c>
      <c r="W77">
        <f>HYPERLINK("https://klasma.github.io/Logging_0382/klagomålsmail/A 32680-2019 FSC-klagomål mail.docx", "A 32680-2019")</f>
        <v/>
      </c>
      <c r="X77">
        <f>HYPERLINK("https://klasma.github.io/Logging_0382/tillsyn/A 32680-2019 tillsynsbegäran.docx", "A 32680-2019")</f>
        <v/>
      </c>
      <c r="Y77">
        <f>HYPERLINK("https://klasma.github.io/Logging_0382/tillsynsmail/A 32680-2019 tillsynsbegäran mail.docx", "A 32680-2019")</f>
        <v/>
      </c>
    </row>
    <row r="78" ht="15" customHeight="1">
      <c r="A78" t="inlineStr">
        <is>
          <t>A 8678-2020</t>
        </is>
      </c>
      <c r="B78" s="1" t="n">
        <v>43878</v>
      </c>
      <c r="C78" s="1" t="n">
        <v>45832</v>
      </c>
      <c r="D78" t="inlineStr">
        <is>
          <t>UPPSALA LÄN</t>
        </is>
      </c>
      <c r="E78" t="inlineStr">
        <is>
          <t>UPPSALA</t>
        </is>
      </c>
      <c r="G78" t="n">
        <v>1.8</v>
      </c>
      <c r="H78" t="n">
        <v>3</v>
      </c>
      <c r="I78" t="n">
        <v>3</v>
      </c>
      <c r="J78" t="n">
        <v>2</v>
      </c>
      <c r="K78" t="n">
        <v>0</v>
      </c>
      <c r="L78" t="n">
        <v>1</v>
      </c>
      <c r="M78" t="n">
        <v>1</v>
      </c>
      <c r="N78" t="n">
        <v>0</v>
      </c>
      <c r="O78" t="n">
        <v>4</v>
      </c>
      <c r="P78" t="n">
        <v>2</v>
      </c>
      <c r="Q78" t="n">
        <v>8</v>
      </c>
      <c r="R78" s="2" t="inlineStr">
        <is>
          <t>Skogsalm
Ask
Spillkråka
Ullticka
Fällmossa
Nästrot
Svart trolldruva
Blåsippa</t>
        </is>
      </c>
      <c r="S78">
        <f>HYPERLINK("https://klasma.github.io/Logging_0380/artfynd/A 8678-2020 artfynd.xlsx", "A 8678-2020")</f>
        <v/>
      </c>
      <c r="T78">
        <f>HYPERLINK("https://klasma.github.io/Logging_0380/kartor/A 8678-2020 karta.png", "A 8678-2020")</f>
        <v/>
      </c>
      <c r="V78">
        <f>HYPERLINK("https://klasma.github.io/Logging_0380/klagomål/A 8678-2020 FSC-klagomål.docx", "A 8678-2020")</f>
        <v/>
      </c>
      <c r="W78">
        <f>HYPERLINK("https://klasma.github.io/Logging_0380/klagomålsmail/A 8678-2020 FSC-klagomål mail.docx", "A 8678-2020")</f>
        <v/>
      </c>
      <c r="X78">
        <f>HYPERLINK("https://klasma.github.io/Logging_0380/tillsyn/A 8678-2020 tillsynsbegäran.docx", "A 8678-2020")</f>
        <v/>
      </c>
      <c r="Y78">
        <f>HYPERLINK("https://klasma.github.io/Logging_0380/tillsynsmail/A 8678-2020 tillsynsbegäran mail.docx", "A 8678-2020")</f>
        <v/>
      </c>
      <c r="Z78">
        <f>HYPERLINK("https://klasma.github.io/Logging_0380/fåglar/A 8678-2020 prioriterade fågelarter.docx", "A 8678-2020")</f>
        <v/>
      </c>
    </row>
    <row r="79" ht="15" customHeight="1">
      <c r="A79" t="inlineStr">
        <is>
          <t>A 61513-2020</t>
        </is>
      </c>
      <c r="B79" s="1" t="n">
        <v>44158</v>
      </c>
      <c r="C79" s="1" t="n">
        <v>45832</v>
      </c>
      <c r="D79" t="inlineStr">
        <is>
          <t>UPPSALA LÄN</t>
        </is>
      </c>
      <c r="E79" t="inlineStr">
        <is>
          <t>UPPSALA</t>
        </is>
      </c>
      <c r="F79" t="inlineStr">
        <is>
          <t>Övriga statliga verk och myndigheter</t>
        </is>
      </c>
      <c r="G79" t="n">
        <v>17</v>
      </c>
      <c r="H79" t="n">
        <v>1</v>
      </c>
      <c r="I79" t="n">
        <v>6</v>
      </c>
      <c r="J79" t="n">
        <v>1</v>
      </c>
      <c r="K79" t="n">
        <v>0</v>
      </c>
      <c r="L79" t="n">
        <v>0</v>
      </c>
      <c r="M79" t="n">
        <v>0</v>
      </c>
      <c r="N79" t="n">
        <v>0</v>
      </c>
      <c r="O79" t="n">
        <v>1</v>
      </c>
      <c r="P79" t="n">
        <v>0</v>
      </c>
      <c r="Q79" t="n">
        <v>8</v>
      </c>
      <c r="R79" s="2" t="inlineStr">
        <is>
          <t>Vedtrappmossa
Bårdlav
Dvärgtufs
Piskbaronmossa
Platt fjädermossa
Stubbspretmossa
Vedticka
Blåsippa</t>
        </is>
      </c>
      <c r="S79">
        <f>HYPERLINK("https://klasma.github.io/Logging_0380/artfynd/A 61513-2020 artfynd.xlsx", "A 61513-2020")</f>
        <v/>
      </c>
      <c r="T79">
        <f>HYPERLINK("https://klasma.github.io/Logging_0380/kartor/A 61513-2020 karta.png", "A 61513-2020")</f>
        <v/>
      </c>
      <c r="V79">
        <f>HYPERLINK("https://klasma.github.io/Logging_0380/klagomål/A 61513-2020 FSC-klagomål.docx", "A 61513-2020")</f>
        <v/>
      </c>
      <c r="W79">
        <f>HYPERLINK("https://klasma.github.io/Logging_0380/klagomålsmail/A 61513-2020 FSC-klagomål mail.docx", "A 61513-2020")</f>
        <v/>
      </c>
      <c r="X79">
        <f>HYPERLINK("https://klasma.github.io/Logging_0380/tillsyn/A 61513-2020 tillsynsbegäran.docx", "A 61513-2020")</f>
        <v/>
      </c>
      <c r="Y79">
        <f>HYPERLINK("https://klasma.github.io/Logging_0380/tillsynsmail/A 61513-2020 tillsynsbegäran mail.docx", "A 61513-2020")</f>
        <v/>
      </c>
    </row>
    <row r="80" ht="15" customHeight="1">
      <c r="A80" t="inlineStr">
        <is>
          <t>A 66979-2020</t>
        </is>
      </c>
      <c r="B80" s="1" t="n">
        <v>44180</v>
      </c>
      <c r="C80" s="1" t="n">
        <v>45832</v>
      </c>
      <c r="D80" t="inlineStr">
        <is>
          <t>UPPSALA LÄN</t>
        </is>
      </c>
      <c r="E80" t="inlineStr">
        <is>
          <t>UPPSALA</t>
        </is>
      </c>
      <c r="F80" t="inlineStr">
        <is>
          <t>Övriga statliga verk och myndigheter</t>
        </is>
      </c>
      <c r="G80" t="n">
        <v>8.300000000000001</v>
      </c>
      <c r="H80" t="n">
        <v>1</v>
      </c>
      <c r="I80" t="n">
        <v>4</v>
      </c>
      <c r="J80" t="n">
        <v>2</v>
      </c>
      <c r="K80" t="n">
        <v>1</v>
      </c>
      <c r="L80" t="n">
        <v>0</v>
      </c>
      <c r="M80" t="n">
        <v>0</v>
      </c>
      <c r="N80" t="n">
        <v>0</v>
      </c>
      <c r="O80" t="n">
        <v>3</v>
      </c>
      <c r="P80" t="n">
        <v>1</v>
      </c>
      <c r="Q80" t="n">
        <v>8</v>
      </c>
      <c r="R80" s="2" t="inlineStr">
        <is>
          <t>Rynkskinn
Tallticka
Ullticka
Brandticka
Fällmossa
Jättesvampmal
Rävticka
Blåsippa</t>
        </is>
      </c>
      <c r="S80">
        <f>HYPERLINK("https://klasma.github.io/Logging_0380/artfynd/A 66979-2020 artfynd.xlsx", "A 66979-2020")</f>
        <v/>
      </c>
      <c r="T80">
        <f>HYPERLINK("https://klasma.github.io/Logging_0380/kartor/A 66979-2020 karta.png", "A 66979-2020")</f>
        <v/>
      </c>
      <c r="V80">
        <f>HYPERLINK("https://klasma.github.io/Logging_0380/klagomål/A 66979-2020 FSC-klagomål.docx", "A 66979-2020")</f>
        <v/>
      </c>
      <c r="W80">
        <f>HYPERLINK("https://klasma.github.io/Logging_0380/klagomålsmail/A 66979-2020 FSC-klagomål mail.docx", "A 66979-2020")</f>
        <v/>
      </c>
      <c r="X80">
        <f>HYPERLINK("https://klasma.github.io/Logging_0380/tillsyn/A 66979-2020 tillsynsbegäran.docx", "A 66979-2020")</f>
        <v/>
      </c>
      <c r="Y80">
        <f>HYPERLINK("https://klasma.github.io/Logging_0380/tillsynsmail/A 66979-2020 tillsynsbegäran mail.docx", "A 66979-2020")</f>
        <v/>
      </c>
    </row>
    <row r="81" ht="15" customHeight="1">
      <c r="A81" t="inlineStr">
        <is>
          <t>A 61014-2021</t>
        </is>
      </c>
      <c r="B81" s="1" t="n">
        <v>44497</v>
      </c>
      <c r="C81" s="1" t="n">
        <v>45832</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33708-2022</t>
        </is>
      </c>
      <c r="B82" s="1" t="n">
        <v>44789</v>
      </c>
      <c r="C82" s="1" t="n">
        <v>45832</v>
      </c>
      <c r="D82" t="inlineStr">
        <is>
          <t>UPPSALA LÄN</t>
        </is>
      </c>
      <c r="E82" t="inlineStr">
        <is>
          <t>ÖSTHAMMAR</t>
        </is>
      </c>
      <c r="G82" t="n">
        <v>6.5</v>
      </c>
      <c r="H82" t="n">
        <v>7</v>
      </c>
      <c r="I82" t="n">
        <v>0</v>
      </c>
      <c r="J82" t="n">
        <v>6</v>
      </c>
      <c r="K82" t="n">
        <v>1</v>
      </c>
      <c r="L82" t="n">
        <v>0</v>
      </c>
      <c r="M82" t="n">
        <v>0</v>
      </c>
      <c r="N82" t="n">
        <v>0</v>
      </c>
      <c r="O82" t="n">
        <v>7</v>
      </c>
      <c r="P82" t="n">
        <v>1</v>
      </c>
      <c r="Q82" t="n">
        <v>8</v>
      </c>
      <c r="R82" s="2" t="inlineStr">
        <is>
          <t>Stare
Grönsångare
Leopardsköldbagge
Nordfladdermus
Rosenfink
Rödvingetrast
Svartvit flugsnappare
Dvärgpipistrell</t>
        </is>
      </c>
      <c r="S82">
        <f>HYPERLINK("https://klasma.github.io/Logging_0382/artfynd/A 33708-2022 artfynd.xlsx", "A 33708-2022")</f>
        <v/>
      </c>
      <c r="T82">
        <f>HYPERLINK("https://klasma.github.io/Logging_0382/kartor/A 33708-2022 karta.png", "A 33708-2022")</f>
        <v/>
      </c>
      <c r="V82">
        <f>HYPERLINK("https://klasma.github.io/Logging_0382/klagomål/A 33708-2022 FSC-klagomål.docx", "A 33708-2022")</f>
        <v/>
      </c>
      <c r="W82">
        <f>HYPERLINK("https://klasma.github.io/Logging_0382/klagomålsmail/A 33708-2022 FSC-klagomål mail.docx", "A 33708-2022")</f>
        <v/>
      </c>
      <c r="X82">
        <f>HYPERLINK("https://klasma.github.io/Logging_0382/tillsyn/A 33708-2022 tillsynsbegäran.docx", "A 33708-2022")</f>
        <v/>
      </c>
      <c r="Y82">
        <f>HYPERLINK("https://klasma.github.io/Logging_0382/tillsynsmail/A 33708-2022 tillsynsbegäran mail.docx", "A 33708-2022")</f>
        <v/>
      </c>
      <c r="Z82">
        <f>HYPERLINK("https://klasma.github.io/Logging_0382/fåglar/A 33708-2022 prioriterade fågelarter.docx", "A 33708-2022")</f>
        <v/>
      </c>
    </row>
    <row r="83" ht="15" customHeight="1">
      <c r="A83" t="inlineStr">
        <is>
          <t>A 58453-2022</t>
        </is>
      </c>
      <c r="B83" s="1" t="n">
        <v>44901</v>
      </c>
      <c r="C83" s="1" t="n">
        <v>45832</v>
      </c>
      <c r="D83" t="inlineStr">
        <is>
          <t>UPPSALA LÄN</t>
        </is>
      </c>
      <c r="E83" t="inlineStr">
        <is>
          <t>UPPSALA</t>
        </is>
      </c>
      <c r="G83" t="n">
        <v>1.5</v>
      </c>
      <c r="H83" t="n">
        <v>1</v>
      </c>
      <c r="I83" t="n">
        <v>4</v>
      </c>
      <c r="J83" t="n">
        <v>3</v>
      </c>
      <c r="K83" t="n">
        <v>0</v>
      </c>
      <c r="L83" t="n">
        <v>0</v>
      </c>
      <c r="M83" t="n">
        <v>0</v>
      </c>
      <c r="N83" t="n">
        <v>0</v>
      </c>
      <c r="O83" t="n">
        <v>3</v>
      </c>
      <c r="P83" t="n">
        <v>0</v>
      </c>
      <c r="Q83" t="n">
        <v>8</v>
      </c>
      <c r="R83" s="2" t="inlineStr">
        <is>
          <t>Lunglav
Rutskinn
Skuggorangelav
Fällmossa
Guldlockmossa
Hasselticka
Svart trolldruva
Blåsippa</t>
        </is>
      </c>
      <c r="S83">
        <f>HYPERLINK("https://klasma.github.io/Logging_0380/artfynd/A 58453-2022 artfynd.xlsx", "A 58453-2022")</f>
        <v/>
      </c>
      <c r="T83">
        <f>HYPERLINK("https://klasma.github.io/Logging_0380/kartor/A 58453-2022 karta.png", "A 58453-2022")</f>
        <v/>
      </c>
      <c r="V83">
        <f>HYPERLINK("https://klasma.github.io/Logging_0380/klagomål/A 58453-2022 FSC-klagomål.docx", "A 58453-2022")</f>
        <v/>
      </c>
      <c r="W83">
        <f>HYPERLINK("https://klasma.github.io/Logging_0380/klagomålsmail/A 58453-2022 FSC-klagomål mail.docx", "A 58453-2022")</f>
        <v/>
      </c>
      <c r="X83">
        <f>HYPERLINK("https://klasma.github.io/Logging_0380/tillsyn/A 58453-2022 tillsynsbegäran.docx", "A 58453-2022")</f>
        <v/>
      </c>
      <c r="Y83">
        <f>HYPERLINK("https://klasma.github.io/Logging_0380/tillsynsmail/A 58453-2022 tillsynsbegäran mail.docx", "A 58453-2022")</f>
        <v/>
      </c>
    </row>
    <row r="84" ht="15" customHeight="1">
      <c r="A84" t="inlineStr">
        <is>
          <t>A 60805-2022</t>
        </is>
      </c>
      <c r="B84" s="1" t="n">
        <v>44914</v>
      </c>
      <c r="C84" s="1" t="n">
        <v>45832</v>
      </c>
      <c r="D84" t="inlineStr">
        <is>
          <t>UPPSALA LÄN</t>
        </is>
      </c>
      <c r="E84" t="inlineStr">
        <is>
          <t>HEBY</t>
        </is>
      </c>
      <c r="G84" t="n">
        <v>6.8</v>
      </c>
      <c r="H84" t="n">
        <v>1</v>
      </c>
      <c r="I84" t="n">
        <v>4</v>
      </c>
      <c r="J84" t="n">
        <v>2</v>
      </c>
      <c r="K84" t="n">
        <v>2</v>
      </c>
      <c r="L84" t="n">
        <v>0</v>
      </c>
      <c r="M84" t="n">
        <v>0</v>
      </c>
      <c r="N84" t="n">
        <v>0</v>
      </c>
      <c r="O84" t="n">
        <v>4</v>
      </c>
      <c r="P84" t="n">
        <v>2</v>
      </c>
      <c r="Q84" t="n">
        <v>8</v>
      </c>
      <c r="R84" s="2" t="inlineStr">
        <is>
          <t>Knärot
Rynkskinn
Kandelabersvamp
Ullticka
Aspvedgnagare
Bronshjon
Thomsons trägnagare
Vedticka</t>
        </is>
      </c>
      <c r="S84">
        <f>HYPERLINK("https://klasma.github.io/Logging_0331/artfynd/A 60805-2022 artfynd.xlsx", "A 60805-2022")</f>
        <v/>
      </c>
      <c r="T84">
        <f>HYPERLINK("https://klasma.github.io/Logging_0331/kartor/A 60805-2022 karta.png", "A 60805-2022")</f>
        <v/>
      </c>
      <c r="U84">
        <f>HYPERLINK("https://klasma.github.io/Logging_0331/knärot/A 60805-2022 karta knärot.png", "A 60805-2022")</f>
        <v/>
      </c>
      <c r="V84">
        <f>HYPERLINK("https://klasma.github.io/Logging_0331/klagomål/A 60805-2022 FSC-klagomål.docx", "A 60805-2022")</f>
        <v/>
      </c>
      <c r="W84">
        <f>HYPERLINK("https://klasma.github.io/Logging_0331/klagomålsmail/A 60805-2022 FSC-klagomål mail.docx", "A 60805-2022")</f>
        <v/>
      </c>
      <c r="X84">
        <f>HYPERLINK("https://klasma.github.io/Logging_0331/tillsyn/A 60805-2022 tillsynsbegäran.docx", "A 60805-2022")</f>
        <v/>
      </c>
      <c r="Y84">
        <f>HYPERLINK("https://klasma.github.io/Logging_0331/tillsynsmail/A 60805-2022 tillsynsbegäran mail.docx", "A 60805-2022")</f>
        <v/>
      </c>
    </row>
    <row r="85" ht="15" customHeight="1">
      <c r="A85" t="inlineStr">
        <is>
          <t>A 1783-2023</t>
        </is>
      </c>
      <c r="B85" s="1" t="n">
        <v>44938</v>
      </c>
      <c r="C85" s="1" t="n">
        <v>45832</v>
      </c>
      <c r="D85" t="inlineStr">
        <is>
          <t>UPPSALA LÄN</t>
        </is>
      </c>
      <c r="E85" t="inlineStr">
        <is>
          <t>ÖSTHAMMAR</t>
        </is>
      </c>
      <c r="G85" t="n">
        <v>4.1</v>
      </c>
      <c r="H85" t="n">
        <v>4</v>
      </c>
      <c r="I85" t="n">
        <v>4</v>
      </c>
      <c r="J85" t="n">
        <v>1</v>
      </c>
      <c r="K85" t="n">
        <v>2</v>
      </c>
      <c r="L85" t="n">
        <v>0</v>
      </c>
      <c r="M85" t="n">
        <v>0</v>
      </c>
      <c r="N85" t="n">
        <v>0</v>
      </c>
      <c r="O85" t="n">
        <v>3</v>
      </c>
      <c r="P85" t="n">
        <v>2</v>
      </c>
      <c r="Q85" t="n">
        <v>8</v>
      </c>
      <c r="R85" s="2" t="inlineStr">
        <is>
          <t>Fjällfotad fingersvamp
Knärot
Svart taggsvamp
Skogsknipprot
Sårläka
Tibast
Tvåblad
Fläcknycklar</t>
        </is>
      </c>
      <c r="S85">
        <f>HYPERLINK("https://klasma.github.io/Logging_0382/artfynd/A 1783-2023 artfynd.xlsx", "A 1783-2023")</f>
        <v/>
      </c>
      <c r="T85">
        <f>HYPERLINK("https://klasma.github.io/Logging_0382/kartor/A 1783-2023 karta.png", "A 1783-2023")</f>
        <v/>
      </c>
      <c r="U85">
        <f>HYPERLINK("https://klasma.github.io/Logging_0382/knärot/A 1783-2023 karta knärot.png", "A 1783-2023")</f>
        <v/>
      </c>
      <c r="V85">
        <f>HYPERLINK("https://klasma.github.io/Logging_0382/klagomål/A 1783-2023 FSC-klagomål.docx", "A 1783-2023")</f>
        <v/>
      </c>
      <c r="W85">
        <f>HYPERLINK("https://klasma.github.io/Logging_0382/klagomålsmail/A 1783-2023 FSC-klagomål mail.docx", "A 1783-2023")</f>
        <v/>
      </c>
      <c r="X85">
        <f>HYPERLINK("https://klasma.github.io/Logging_0382/tillsyn/A 1783-2023 tillsynsbegäran.docx", "A 1783-2023")</f>
        <v/>
      </c>
      <c r="Y85">
        <f>HYPERLINK("https://klasma.github.io/Logging_0382/tillsynsmail/A 1783-2023 tillsynsbegäran mail.docx", "A 1783-2023")</f>
        <v/>
      </c>
    </row>
    <row r="86" ht="15" customHeight="1">
      <c r="A86" t="inlineStr">
        <is>
          <t>A 26460-2023</t>
        </is>
      </c>
      <c r="B86" s="1" t="n">
        <v>45092</v>
      </c>
      <c r="C86" s="1" t="n">
        <v>45832</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44505-2023</t>
        </is>
      </c>
      <c r="B87" s="1" t="n">
        <v>45184</v>
      </c>
      <c r="C87" s="1" t="n">
        <v>45832</v>
      </c>
      <c r="D87" t="inlineStr">
        <is>
          <t>UPPSALA LÄN</t>
        </is>
      </c>
      <c r="E87" t="inlineStr">
        <is>
          <t>TIERP</t>
        </is>
      </c>
      <c r="G87" t="n">
        <v>2.9</v>
      </c>
      <c r="H87" t="n">
        <v>3</v>
      </c>
      <c r="I87" t="n">
        <v>6</v>
      </c>
      <c r="J87" t="n">
        <v>1</v>
      </c>
      <c r="K87" t="n">
        <v>0</v>
      </c>
      <c r="L87" t="n">
        <v>0</v>
      </c>
      <c r="M87" t="n">
        <v>0</v>
      </c>
      <c r="N87" t="n">
        <v>0</v>
      </c>
      <c r="O87" t="n">
        <v>1</v>
      </c>
      <c r="P87" t="n">
        <v>0</v>
      </c>
      <c r="Q87" t="n">
        <v>8</v>
      </c>
      <c r="R87" s="2" t="inlineStr">
        <is>
          <t>Svart taggsvamp
Anisspindling
Dropptaggsvamp
Guckusko
Olivspindling
Skarp dropptaggsvamp
Tvåblad
Nattviol</t>
        </is>
      </c>
      <c r="S87">
        <f>HYPERLINK("https://klasma.github.io/Logging_0360/artfynd/A 44505-2023 artfynd.xlsx", "A 44505-2023")</f>
        <v/>
      </c>
      <c r="T87">
        <f>HYPERLINK("https://klasma.github.io/Logging_0360/kartor/A 44505-2023 karta.png", "A 44505-2023")</f>
        <v/>
      </c>
      <c r="V87">
        <f>HYPERLINK("https://klasma.github.io/Logging_0360/klagomål/A 44505-2023 FSC-klagomål.docx", "A 44505-2023")</f>
        <v/>
      </c>
      <c r="W87">
        <f>HYPERLINK("https://klasma.github.io/Logging_0360/klagomålsmail/A 44505-2023 FSC-klagomål mail.docx", "A 44505-2023")</f>
        <v/>
      </c>
      <c r="X87">
        <f>HYPERLINK("https://klasma.github.io/Logging_0360/tillsyn/A 44505-2023 tillsynsbegäran.docx", "A 44505-2023")</f>
        <v/>
      </c>
      <c r="Y87">
        <f>HYPERLINK("https://klasma.github.io/Logging_0360/tillsynsmail/A 44505-2023 tillsynsbegäran mail.docx", "A 44505-2023")</f>
        <v/>
      </c>
    </row>
    <row r="88" ht="15" customHeight="1">
      <c r="A88" t="inlineStr">
        <is>
          <t>A 43725-2023</t>
        </is>
      </c>
      <c r="B88" s="1" t="n">
        <v>45187</v>
      </c>
      <c r="C88" s="1" t="n">
        <v>45832</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48995-2023</t>
        </is>
      </c>
      <c r="B89" s="1" t="n">
        <v>45209</v>
      </c>
      <c r="C89" s="1" t="n">
        <v>45832</v>
      </c>
      <c r="D89" t="inlineStr">
        <is>
          <t>UPPSALA LÄN</t>
        </is>
      </c>
      <c r="E89" t="inlineStr">
        <is>
          <t>KNIVSTA</t>
        </is>
      </c>
      <c r="G89" t="n">
        <v>13.5</v>
      </c>
      <c r="H89" t="n">
        <v>7</v>
      </c>
      <c r="I89" t="n">
        <v>1</v>
      </c>
      <c r="J89" t="n">
        <v>2</v>
      </c>
      <c r="K89" t="n">
        <v>1</v>
      </c>
      <c r="L89" t="n">
        <v>1</v>
      </c>
      <c r="M89" t="n">
        <v>0</v>
      </c>
      <c r="N89" t="n">
        <v>0</v>
      </c>
      <c r="O89" t="n">
        <v>4</v>
      </c>
      <c r="P89" t="n">
        <v>2</v>
      </c>
      <c r="Q89" t="n">
        <v>8</v>
      </c>
      <c r="R89" s="2" t="inlineStr">
        <is>
          <t>Grönfink
Stare
Gulsparv
Ärtsångare
Tibast
Grönsiska
Järnsparv
Kungsfågel</t>
        </is>
      </c>
      <c r="S89">
        <f>HYPERLINK("https://klasma.github.io/Logging_0330/artfynd/A 48995-2023 artfynd.xlsx", "A 48995-2023")</f>
        <v/>
      </c>
      <c r="T89">
        <f>HYPERLINK("https://klasma.github.io/Logging_0330/kartor/A 48995-2023 karta.png", "A 48995-2023")</f>
        <v/>
      </c>
      <c r="V89">
        <f>HYPERLINK("https://klasma.github.io/Logging_0330/klagomål/A 48995-2023 FSC-klagomål.docx", "A 48995-2023")</f>
        <v/>
      </c>
      <c r="W89">
        <f>HYPERLINK("https://klasma.github.io/Logging_0330/klagomålsmail/A 48995-2023 FSC-klagomål mail.docx", "A 48995-2023")</f>
        <v/>
      </c>
      <c r="X89">
        <f>HYPERLINK("https://klasma.github.io/Logging_0330/tillsyn/A 48995-2023 tillsynsbegäran.docx", "A 48995-2023")</f>
        <v/>
      </c>
      <c r="Y89">
        <f>HYPERLINK("https://klasma.github.io/Logging_0330/tillsynsmail/A 48995-2023 tillsynsbegäran mail.docx", "A 48995-2023")</f>
        <v/>
      </c>
      <c r="Z89">
        <f>HYPERLINK("https://klasma.github.io/Logging_0330/fåglar/A 48995-2023 prioriterade fågelarter.docx", "A 48995-2023")</f>
        <v/>
      </c>
    </row>
    <row r="90" ht="15" customHeight="1">
      <c r="A90" t="inlineStr">
        <is>
          <t>A 55345-2023</t>
        </is>
      </c>
      <c r="B90" s="1" t="n">
        <v>45238</v>
      </c>
      <c r="C90" s="1" t="n">
        <v>45832</v>
      </c>
      <c r="D90" t="inlineStr">
        <is>
          <t>UPPSALA LÄN</t>
        </is>
      </c>
      <c r="E90" t="inlineStr">
        <is>
          <t>ÖSTHAMMAR</t>
        </is>
      </c>
      <c r="F90" t="inlineStr">
        <is>
          <t>Bergvik skog öst AB</t>
        </is>
      </c>
      <c r="G90" t="n">
        <v>10.2</v>
      </c>
      <c r="H90" t="n">
        <v>5</v>
      </c>
      <c r="I90" t="n">
        <v>3</v>
      </c>
      <c r="J90" t="n">
        <v>1</v>
      </c>
      <c r="K90" t="n">
        <v>1</v>
      </c>
      <c r="L90" t="n">
        <v>0</v>
      </c>
      <c r="M90" t="n">
        <v>0</v>
      </c>
      <c r="N90" t="n">
        <v>0</v>
      </c>
      <c r="O90" t="n">
        <v>2</v>
      </c>
      <c r="P90" t="n">
        <v>1</v>
      </c>
      <c r="Q90" t="n">
        <v>8</v>
      </c>
      <c r="R90" s="2" t="inlineStr">
        <is>
          <t>Knärot
Spillkråka
Grönpyrola
Kattfotslav
Vågbandad barkbock
Tjäder
Blåsippa
Revlummer</t>
        </is>
      </c>
      <c r="S90">
        <f>HYPERLINK("https://klasma.github.io/Logging_0382/artfynd/A 55345-2023 artfynd.xlsx", "A 55345-2023")</f>
        <v/>
      </c>
      <c r="T90">
        <f>HYPERLINK("https://klasma.github.io/Logging_0382/kartor/A 55345-2023 karta.png", "A 55345-2023")</f>
        <v/>
      </c>
      <c r="U90">
        <f>HYPERLINK("https://klasma.github.io/Logging_0382/knärot/A 55345-2023 karta knärot.png", "A 55345-2023")</f>
        <v/>
      </c>
      <c r="V90">
        <f>HYPERLINK("https://klasma.github.io/Logging_0382/klagomål/A 55345-2023 FSC-klagomål.docx", "A 55345-2023")</f>
        <v/>
      </c>
      <c r="W90">
        <f>HYPERLINK("https://klasma.github.io/Logging_0382/klagomålsmail/A 55345-2023 FSC-klagomål mail.docx", "A 55345-2023")</f>
        <v/>
      </c>
      <c r="X90">
        <f>HYPERLINK("https://klasma.github.io/Logging_0382/tillsyn/A 55345-2023 tillsynsbegäran.docx", "A 55345-2023")</f>
        <v/>
      </c>
      <c r="Y90">
        <f>HYPERLINK("https://klasma.github.io/Logging_0382/tillsynsmail/A 55345-2023 tillsynsbegäran mail.docx", "A 55345-2023")</f>
        <v/>
      </c>
      <c r="Z90">
        <f>HYPERLINK("https://klasma.github.io/Logging_0382/fåglar/A 55345-2023 prioriterade fågelarter.docx", "A 55345-2023")</f>
        <v/>
      </c>
    </row>
    <row r="91" ht="15" customHeight="1">
      <c r="A91" t="inlineStr">
        <is>
          <t>A 56952-2023</t>
        </is>
      </c>
      <c r="B91" s="1" t="n">
        <v>45244</v>
      </c>
      <c r="C91" s="1" t="n">
        <v>45832</v>
      </c>
      <c r="D91" t="inlineStr">
        <is>
          <t>UPPSALA LÄN</t>
        </is>
      </c>
      <c r="E91" t="inlineStr">
        <is>
          <t>ÖSTHAMMAR</t>
        </is>
      </c>
      <c r="G91" t="n">
        <v>4.2</v>
      </c>
      <c r="H91" t="n">
        <v>4</v>
      </c>
      <c r="I91" t="n">
        <v>1</v>
      </c>
      <c r="J91" t="n">
        <v>5</v>
      </c>
      <c r="K91" t="n">
        <v>1</v>
      </c>
      <c r="L91" t="n">
        <v>0</v>
      </c>
      <c r="M91" t="n">
        <v>0</v>
      </c>
      <c r="N91" t="n">
        <v>0</v>
      </c>
      <c r="O91" t="n">
        <v>6</v>
      </c>
      <c r="P91" t="n">
        <v>1</v>
      </c>
      <c r="Q91" t="n">
        <v>8</v>
      </c>
      <c r="R91" s="2" t="inlineStr">
        <is>
          <t>Knärot
Garnlav
Granticka
Spillkråka
Tallticka
Talltita
Blodticka
Kungsfågel</t>
        </is>
      </c>
      <c r="S91">
        <f>HYPERLINK("https://klasma.github.io/Logging_0382/artfynd/A 56952-2023 artfynd.xlsx", "A 56952-2023")</f>
        <v/>
      </c>
      <c r="T91">
        <f>HYPERLINK("https://klasma.github.io/Logging_0382/kartor/A 56952-2023 karta.png", "A 56952-2023")</f>
        <v/>
      </c>
      <c r="U91">
        <f>HYPERLINK("https://klasma.github.io/Logging_0382/knärot/A 56952-2023 karta knärot.png", "A 56952-2023")</f>
        <v/>
      </c>
      <c r="V91">
        <f>HYPERLINK("https://klasma.github.io/Logging_0382/klagomål/A 56952-2023 FSC-klagomål.docx", "A 56952-2023")</f>
        <v/>
      </c>
      <c r="W91">
        <f>HYPERLINK("https://klasma.github.io/Logging_0382/klagomålsmail/A 56952-2023 FSC-klagomål mail.docx", "A 56952-2023")</f>
        <v/>
      </c>
      <c r="X91">
        <f>HYPERLINK("https://klasma.github.io/Logging_0382/tillsyn/A 56952-2023 tillsynsbegäran.docx", "A 56952-2023")</f>
        <v/>
      </c>
      <c r="Y91">
        <f>HYPERLINK("https://klasma.github.io/Logging_0382/tillsynsmail/A 56952-2023 tillsynsbegäran mail.docx", "A 56952-2023")</f>
        <v/>
      </c>
      <c r="Z91">
        <f>HYPERLINK("https://klasma.github.io/Logging_0382/fåglar/A 56952-2023 prioriterade fågelarter.docx", "A 56952-2023")</f>
        <v/>
      </c>
    </row>
    <row r="92" ht="15" customHeight="1">
      <c r="A92" t="inlineStr">
        <is>
          <t>A 21674-2024</t>
        </is>
      </c>
      <c r="B92" s="1" t="n">
        <v>45442</v>
      </c>
      <c r="C92" s="1" t="n">
        <v>45832</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46275-2024</t>
        </is>
      </c>
      <c r="B93" s="1" t="n">
        <v>45581</v>
      </c>
      <c r="C93" s="1" t="n">
        <v>45832</v>
      </c>
      <c r="D93" t="inlineStr">
        <is>
          <t>UPPSALA LÄN</t>
        </is>
      </c>
      <c r="E93" t="inlineStr">
        <is>
          <t>ÄLVKARLEBY</t>
        </is>
      </c>
      <c r="G93" t="n">
        <v>1.9</v>
      </c>
      <c r="H93" t="n">
        <v>2</v>
      </c>
      <c r="I93" t="n">
        <v>5</v>
      </c>
      <c r="J93" t="n">
        <v>2</v>
      </c>
      <c r="K93" t="n">
        <v>1</v>
      </c>
      <c r="L93" t="n">
        <v>0</v>
      </c>
      <c r="M93" t="n">
        <v>0</v>
      </c>
      <c r="N93" t="n">
        <v>0</v>
      </c>
      <c r="O93" t="n">
        <v>3</v>
      </c>
      <c r="P93" t="n">
        <v>1</v>
      </c>
      <c r="Q93" t="n">
        <v>8</v>
      </c>
      <c r="R93" s="2" t="inlineStr">
        <is>
          <t>Violgubbe
Backklöver
Ullticka
Nästrot
Skogsknipprot
Sårläka
Thomsons trägnagare
Vanlig flatbagge</t>
        </is>
      </c>
      <c r="S93">
        <f>HYPERLINK("https://klasma.github.io/Logging_0319/artfynd/A 46275-2024 artfynd.xlsx", "A 46275-2024")</f>
        <v/>
      </c>
      <c r="T93">
        <f>HYPERLINK("https://klasma.github.io/Logging_0319/kartor/A 46275-2024 karta.png", "A 46275-2024")</f>
        <v/>
      </c>
      <c r="V93">
        <f>HYPERLINK("https://klasma.github.io/Logging_0319/klagomål/A 46275-2024 FSC-klagomål.docx", "A 46275-2024")</f>
        <v/>
      </c>
      <c r="W93">
        <f>HYPERLINK("https://klasma.github.io/Logging_0319/klagomålsmail/A 46275-2024 FSC-klagomål mail.docx", "A 46275-2024")</f>
        <v/>
      </c>
      <c r="X93">
        <f>HYPERLINK("https://klasma.github.io/Logging_0319/tillsyn/A 46275-2024 tillsynsbegäran.docx", "A 46275-2024")</f>
        <v/>
      </c>
      <c r="Y93">
        <f>HYPERLINK("https://klasma.github.io/Logging_0319/tillsynsmail/A 46275-2024 tillsynsbegäran mail.docx", "A 46275-2024")</f>
        <v/>
      </c>
    </row>
    <row r="94" ht="15" customHeight="1">
      <c r="A94" t="inlineStr">
        <is>
          <t>A 46741-2024</t>
        </is>
      </c>
      <c r="B94" s="1" t="n">
        <v>45583</v>
      </c>
      <c r="C94" s="1" t="n">
        <v>45832</v>
      </c>
      <c r="D94" t="inlineStr">
        <is>
          <t>UPPSALA LÄN</t>
        </is>
      </c>
      <c r="E94" t="inlineStr">
        <is>
          <t>UPPSALA</t>
        </is>
      </c>
      <c r="F94" t="inlineStr">
        <is>
          <t>Sveaskog</t>
        </is>
      </c>
      <c r="G94" t="n">
        <v>5.1</v>
      </c>
      <c r="H94" t="n">
        <v>2</v>
      </c>
      <c r="I94" t="n">
        <v>3</v>
      </c>
      <c r="J94" t="n">
        <v>3</v>
      </c>
      <c r="K94" t="n">
        <v>1</v>
      </c>
      <c r="L94" t="n">
        <v>0</v>
      </c>
      <c r="M94" t="n">
        <v>0</v>
      </c>
      <c r="N94" t="n">
        <v>0</v>
      </c>
      <c r="O94" t="n">
        <v>4</v>
      </c>
      <c r="P94" t="n">
        <v>1</v>
      </c>
      <c r="Q94" t="n">
        <v>8</v>
      </c>
      <c r="R94" s="2" t="inlineStr">
        <is>
          <t>Knärot
Granticka
Lunglav
Vedtrappmossa
Barkkornlav
Lönnlav
Vedticka
Vanlig padda</t>
        </is>
      </c>
      <c r="S94">
        <f>HYPERLINK("https://klasma.github.io/Logging_0380/artfynd/A 46741-2024 artfynd.xlsx", "A 46741-2024")</f>
        <v/>
      </c>
      <c r="T94">
        <f>HYPERLINK("https://klasma.github.io/Logging_0380/kartor/A 46741-2024 karta.png", "A 46741-2024")</f>
        <v/>
      </c>
      <c r="U94">
        <f>HYPERLINK("https://klasma.github.io/Logging_0380/knärot/A 46741-2024 karta knärot.png", "A 46741-2024")</f>
        <v/>
      </c>
      <c r="V94">
        <f>HYPERLINK("https://klasma.github.io/Logging_0380/klagomål/A 46741-2024 FSC-klagomål.docx", "A 46741-2024")</f>
        <v/>
      </c>
      <c r="W94">
        <f>HYPERLINK("https://klasma.github.io/Logging_0380/klagomålsmail/A 46741-2024 FSC-klagomål mail.docx", "A 46741-2024")</f>
        <v/>
      </c>
      <c r="X94">
        <f>HYPERLINK("https://klasma.github.io/Logging_0380/tillsyn/A 46741-2024 tillsynsbegäran.docx", "A 46741-2024")</f>
        <v/>
      </c>
      <c r="Y94">
        <f>HYPERLINK("https://klasma.github.io/Logging_0380/tillsynsmail/A 46741-2024 tillsynsbegäran mail.docx", "A 46741-2024")</f>
        <v/>
      </c>
    </row>
    <row r="95" ht="15" customHeight="1">
      <c r="A95" t="inlineStr">
        <is>
          <t>A 55518-2024</t>
        </is>
      </c>
      <c r="B95" s="1" t="n">
        <v>45622</v>
      </c>
      <c r="C95" s="1" t="n">
        <v>45832</v>
      </c>
      <c r="D95" t="inlineStr">
        <is>
          <t>UPPSALA LÄN</t>
        </is>
      </c>
      <c r="E95" t="inlineStr">
        <is>
          <t>ÖSTHAMMAR</t>
        </is>
      </c>
      <c r="F95" t="inlineStr">
        <is>
          <t>Bergvik skog öst AB</t>
        </is>
      </c>
      <c r="G95" t="n">
        <v>9.5</v>
      </c>
      <c r="H95" t="n">
        <v>4</v>
      </c>
      <c r="I95" t="n">
        <v>2</v>
      </c>
      <c r="J95" t="n">
        <v>4</v>
      </c>
      <c r="K95" t="n">
        <v>1</v>
      </c>
      <c r="L95" t="n">
        <v>0</v>
      </c>
      <c r="M95" t="n">
        <v>0</v>
      </c>
      <c r="N95" t="n">
        <v>0</v>
      </c>
      <c r="O95" t="n">
        <v>5</v>
      </c>
      <c r="P95" t="n">
        <v>1</v>
      </c>
      <c r="Q95" t="n">
        <v>8</v>
      </c>
      <c r="R95" s="2" t="inlineStr">
        <is>
          <t>Knärot
Spillkråka
Talltita
Ullticka
Vedtrappmossa
Gullgröppa
Rödgul trumpetsvamp
Blåsippa</t>
        </is>
      </c>
      <c r="S95">
        <f>HYPERLINK("https://klasma.github.io/Logging_0382/artfynd/A 55518-2024 artfynd.xlsx", "A 55518-2024")</f>
        <v/>
      </c>
      <c r="T95">
        <f>HYPERLINK("https://klasma.github.io/Logging_0382/kartor/A 55518-2024 karta.png", "A 55518-2024")</f>
        <v/>
      </c>
      <c r="U95">
        <f>HYPERLINK("https://klasma.github.io/Logging_0382/knärot/A 55518-2024 karta knärot.png", "A 55518-2024")</f>
        <v/>
      </c>
      <c r="V95">
        <f>HYPERLINK("https://klasma.github.io/Logging_0382/klagomål/A 55518-2024 FSC-klagomål.docx", "A 55518-2024")</f>
        <v/>
      </c>
      <c r="W95">
        <f>HYPERLINK("https://klasma.github.io/Logging_0382/klagomålsmail/A 55518-2024 FSC-klagomål mail.docx", "A 55518-2024")</f>
        <v/>
      </c>
      <c r="X95">
        <f>HYPERLINK("https://klasma.github.io/Logging_0382/tillsyn/A 55518-2024 tillsynsbegäran.docx", "A 55518-2024")</f>
        <v/>
      </c>
      <c r="Y95">
        <f>HYPERLINK("https://klasma.github.io/Logging_0382/tillsynsmail/A 55518-2024 tillsynsbegäran mail.docx", "A 55518-2024")</f>
        <v/>
      </c>
      <c r="Z95">
        <f>HYPERLINK("https://klasma.github.io/Logging_0382/fåglar/A 55518-2024 prioriterade fågelarter.docx", "A 55518-2024")</f>
        <v/>
      </c>
    </row>
    <row r="96" ht="15" customHeight="1">
      <c r="A96" t="inlineStr">
        <is>
          <t>A 9406-2025</t>
        </is>
      </c>
      <c r="B96" s="1" t="n">
        <v>45715</v>
      </c>
      <c r="C96" s="1" t="n">
        <v>45832</v>
      </c>
      <c r="D96" t="inlineStr">
        <is>
          <t>UPPSALA LÄN</t>
        </is>
      </c>
      <c r="E96" t="inlineStr">
        <is>
          <t>UPPSALA</t>
        </is>
      </c>
      <c r="G96" t="n">
        <v>1.5</v>
      </c>
      <c r="H96" t="n">
        <v>5</v>
      </c>
      <c r="I96" t="n">
        <v>2</v>
      </c>
      <c r="J96" t="n">
        <v>4</v>
      </c>
      <c r="K96" t="n">
        <v>0</v>
      </c>
      <c r="L96" t="n">
        <v>0</v>
      </c>
      <c r="M96" t="n">
        <v>0</v>
      </c>
      <c r="N96" t="n">
        <v>0</v>
      </c>
      <c r="O96" t="n">
        <v>4</v>
      </c>
      <c r="P96" t="n">
        <v>0</v>
      </c>
      <c r="Q96" t="n">
        <v>8</v>
      </c>
      <c r="R96" s="2" t="inlineStr">
        <is>
          <t>Fyrflikig jordstjärna
Skrattmås
Svartvit flugsnappare
Sävsparv
Papegojvaxskivling/rödgrön vaxskivling
Trådticka
Vanlig snok
Blåsippa</t>
        </is>
      </c>
      <c r="S96">
        <f>HYPERLINK("https://klasma.github.io/Logging_030380/artfynd/A 9406-2025 artfynd.xlsx", "A 9406-2025")</f>
        <v/>
      </c>
      <c r="T96">
        <f>HYPERLINK("https://klasma.github.io/Logging_030380/kartor/A 9406-2025 karta.png", "A 9406-2025")</f>
        <v/>
      </c>
      <c r="V96">
        <f>HYPERLINK("https://klasma.github.io/Logging_030380/klagomål/A 9406-2025 FSC-klagomål.docx", "A 9406-2025")</f>
        <v/>
      </c>
      <c r="W96">
        <f>HYPERLINK("https://klasma.github.io/Logging_030380/klagomålsmail/A 9406-2025 FSC-klagomål mail.docx", "A 9406-2025")</f>
        <v/>
      </c>
      <c r="X96">
        <f>HYPERLINK("https://klasma.github.io/Logging_030380/tillsyn/A 9406-2025 tillsynsbegäran.docx", "A 9406-2025")</f>
        <v/>
      </c>
      <c r="Y96">
        <f>HYPERLINK("https://klasma.github.io/Logging_030380/tillsynsmail/A 9406-2025 tillsynsbegäran mail.docx", "A 9406-2025")</f>
        <v/>
      </c>
      <c r="Z96">
        <f>HYPERLINK("https://klasma.github.io/Logging_030380/fåglar/A 9406-2025 prioriterade fågelarter.docx", "A 9406-2025")</f>
        <v/>
      </c>
    </row>
    <row r="97" ht="15" customHeight="1">
      <c r="A97" t="inlineStr">
        <is>
          <t>A 33313-2019</t>
        </is>
      </c>
      <c r="B97" s="1" t="n">
        <v>43650</v>
      </c>
      <c r="C97" s="1" t="n">
        <v>45832</v>
      </c>
      <c r="D97" t="inlineStr">
        <is>
          <t>UPPSALA LÄN</t>
        </is>
      </c>
      <c r="E97" t="inlineStr">
        <is>
          <t>ENKÖPING</t>
        </is>
      </c>
      <c r="G97" t="n">
        <v>2.1</v>
      </c>
      <c r="H97" t="n">
        <v>0</v>
      </c>
      <c r="I97" t="n">
        <v>6</v>
      </c>
      <c r="J97" t="n">
        <v>1</v>
      </c>
      <c r="K97" t="n">
        <v>0</v>
      </c>
      <c r="L97" t="n">
        <v>0</v>
      </c>
      <c r="M97" t="n">
        <v>0</v>
      </c>
      <c r="N97" t="n">
        <v>0</v>
      </c>
      <c r="O97" t="n">
        <v>1</v>
      </c>
      <c r="P97" t="n">
        <v>0</v>
      </c>
      <c r="Q97" t="n">
        <v>7</v>
      </c>
      <c r="R97" s="2" t="inlineStr">
        <is>
          <t>Grynig filtlav
Barkticka
Hasselticka
Platt fjädermossa
Rävticka
Stor aspticka
Trubbfjädermossa</t>
        </is>
      </c>
      <c r="S97">
        <f>HYPERLINK("https://klasma.github.io/Logging_0381/artfynd/A 33313-2019 artfynd.xlsx", "A 33313-2019")</f>
        <v/>
      </c>
      <c r="T97">
        <f>HYPERLINK("https://klasma.github.io/Logging_0381/kartor/A 33313-2019 karta.png", "A 33313-2019")</f>
        <v/>
      </c>
      <c r="V97">
        <f>HYPERLINK("https://klasma.github.io/Logging_0381/klagomål/A 33313-2019 FSC-klagomål.docx", "A 33313-2019")</f>
        <v/>
      </c>
      <c r="W97">
        <f>HYPERLINK("https://klasma.github.io/Logging_0381/klagomålsmail/A 33313-2019 FSC-klagomål mail.docx", "A 33313-2019")</f>
        <v/>
      </c>
      <c r="X97">
        <f>HYPERLINK("https://klasma.github.io/Logging_0381/tillsyn/A 33313-2019 tillsynsbegäran.docx", "A 33313-2019")</f>
        <v/>
      </c>
      <c r="Y97">
        <f>HYPERLINK("https://klasma.github.io/Logging_0381/tillsynsmail/A 33313-2019 tillsynsbegäran mail.docx", "A 33313-2019")</f>
        <v/>
      </c>
    </row>
    <row r="98" ht="15" customHeight="1">
      <c r="A98" t="inlineStr">
        <is>
          <t>A 65970-2019</t>
        </is>
      </c>
      <c r="B98" s="1" t="n">
        <v>43805</v>
      </c>
      <c r="C98" s="1" t="n">
        <v>45832</v>
      </c>
      <c r="D98" t="inlineStr">
        <is>
          <t>UPPSALA LÄN</t>
        </is>
      </c>
      <c r="E98" t="inlineStr">
        <is>
          <t>HEBY</t>
        </is>
      </c>
      <c r="G98" t="n">
        <v>12.7</v>
      </c>
      <c r="H98" t="n">
        <v>2</v>
      </c>
      <c r="I98" t="n">
        <v>3</v>
      </c>
      <c r="J98" t="n">
        <v>1</v>
      </c>
      <c r="K98" t="n">
        <v>3</v>
      </c>
      <c r="L98" t="n">
        <v>0</v>
      </c>
      <c r="M98" t="n">
        <v>0</v>
      </c>
      <c r="N98" t="n">
        <v>0</v>
      </c>
      <c r="O98" t="n">
        <v>4</v>
      </c>
      <c r="P98" t="n">
        <v>3</v>
      </c>
      <c r="Q98" t="n">
        <v>7</v>
      </c>
      <c r="R98" s="2" t="inlineStr">
        <is>
          <t>Bombmurkla
Knärot
Rynkskinn
Ullticka
Bronshjon
Thomsons trägnagare
Vågbandad barkbock</t>
        </is>
      </c>
      <c r="S98">
        <f>HYPERLINK("https://klasma.github.io/Logging_0331/artfynd/A 65970-2019 artfynd.xlsx", "A 65970-2019")</f>
        <v/>
      </c>
      <c r="T98">
        <f>HYPERLINK("https://klasma.github.io/Logging_0331/kartor/A 65970-2019 karta.png", "A 65970-2019")</f>
        <v/>
      </c>
      <c r="U98">
        <f>HYPERLINK("https://klasma.github.io/Logging_0331/knärot/A 65970-2019 karta knärot.png", "A 65970-2019")</f>
        <v/>
      </c>
      <c r="V98">
        <f>HYPERLINK("https://klasma.github.io/Logging_0331/klagomål/A 65970-2019 FSC-klagomål.docx", "A 65970-2019")</f>
        <v/>
      </c>
      <c r="W98">
        <f>HYPERLINK("https://klasma.github.io/Logging_0331/klagomålsmail/A 65970-2019 FSC-klagomål mail.docx", "A 65970-2019")</f>
        <v/>
      </c>
      <c r="X98">
        <f>HYPERLINK("https://klasma.github.io/Logging_0331/tillsyn/A 65970-2019 tillsynsbegäran.docx", "A 65970-2019")</f>
        <v/>
      </c>
      <c r="Y98">
        <f>HYPERLINK("https://klasma.github.io/Logging_0331/tillsynsmail/A 65970-2019 tillsynsbegäran mail.docx", "A 65970-2019")</f>
        <v/>
      </c>
    </row>
    <row r="99" ht="15" customHeight="1">
      <c r="A99" t="inlineStr">
        <is>
          <t>A 1030-2021</t>
        </is>
      </c>
      <c r="B99" s="1" t="n">
        <v>44206</v>
      </c>
      <c r="C99" s="1" t="n">
        <v>45832</v>
      </c>
      <c r="D99" t="inlineStr">
        <is>
          <t>UPPSALA LÄN</t>
        </is>
      </c>
      <c r="E99" t="inlineStr">
        <is>
          <t>KNIVSTA</t>
        </is>
      </c>
      <c r="G99" t="n">
        <v>4.4</v>
      </c>
      <c r="H99" t="n">
        <v>2</v>
      </c>
      <c r="I99" t="n">
        <v>0</v>
      </c>
      <c r="J99" t="n">
        <v>5</v>
      </c>
      <c r="K99" t="n">
        <v>0</v>
      </c>
      <c r="L99" t="n">
        <v>0</v>
      </c>
      <c r="M99" t="n">
        <v>1</v>
      </c>
      <c r="N99" t="n">
        <v>0</v>
      </c>
      <c r="O99" t="n">
        <v>6</v>
      </c>
      <c r="P99" t="n">
        <v>1</v>
      </c>
      <c r="Q99" t="n">
        <v>7</v>
      </c>
      <c r="R99" s="2" t="inlineStr">
        <is>
          <t>Skogsalm
Backklöver
Duvhök
Sexfläckig bastardsvärmare
Solvända
Svartpälsbi
Blåsippa</t>
        </is>
      </c>
      <c r="S99">
        <f>HYPERLINK("https://klasma.github.io/Logging_0330/artfynd/A 1030-2021 artfynd.xlsx", "A 1030-2021")</f>
        <v/>
      </c>
      <c r="T99">
        <f>HYPERLINK("https://klasma.github.io/Logging_0330/kartor/A 1030-2021 karta.png", "A 1030-2021")</f>
        <v/>
      </c>
      <c r="V99">
        <f>HYPERLINK("https://klasma.github.io/Logging_0330/klagomål/A 1030-2021 FSC-klagomål.docx", "A 1030-2021")</f>
        <v/>
      </c>
      <c r="W99">
        <f>HYPERLINK("https://klasma.github.io/Logging_0330/klagomålsmail/A 1030-2021 FSC-klagomål mail.docx", "A 1030-2021")</f>
        <v/>
      </c>
      <c r="X99">
        <f>HYPERLINK("https://klasma.github.io/Logging_0330/tillsyn/A 1030-2021 tillsynsbegäran.docx", "A 1030-2021")</f>
        <v/>
      </c>
      <c r="Y99">
        <f>HYPERLINK("https://klasma.github.io/Logging_0330/tillsynsmail/A 1030-2021 tillsynsbegäran mail.docx", "A 1030-2021")</f>
        <v/>
      </c>
      <c r="Z99">
        <f>HYPERLINK("https://klasma.github.io/Logging_0330/fåglar/A 1030-2021 prioriterade fågelarter.docx", "A 1030-2021")</f>
        <v/>
      </c>
    </row>
    <row r="100" ht="15" customHeight="1">
      <c r="A100" t="inlineStr">
        <is>
          <t>A 19544-2021</t>
        </is>
      </c>
      <c r="B100" s="1" t="n">
        <v>44312</v>
      </c>
      <c r="C100" s="1" t="n">
        <v>45832</v>
      </c>
      <c r="D100" t="inlineStr">
        <is>
          <t>UPPSALA LÄN</t>
        </is>
      </c>
      <c r="E100" t="inlineStr">
        <is>
          <t>ÖSTHAMMAR</t>
        </is>
      </c>
      <c r="G100" t="n">
        <v>11.1</v>
      </c>
      <c r="H100" t="n">
        <v>0</v>
      </c>
      <c r="I100" t="n">
        <v>5</v>
      </c>
      <c r="J100" t="n">
        <v>0</v>
      </c>
      <c r="K100" t="n">
        <v>2</v>
      </c>
      <c r="L100" t="n">
        <v>0</v>
      </c>
      <c r="M100" t="n">
        <v>0</v>
      </c>
      <c r="N100" t="n">
        <v>0</v>
      </c>
      <c r="O100" t="n">
        <v>2</v>
      </c>
      <c r="P100" t="n">
        <v>2</v>
      </c>
      <c r="Q100" t="n">
        <v>7</v>
      </c>
      <c r="R100" s="2" t="inlineStr">
        <is>
          <t>Bullspindling
Gul lammticka
Anisspindling
Olivspindling
Rödgul trumpetsvamp
Strimspindling
Svavelriska</t>
        </is>
      </c>
      <c r="S100">
        <f>HYPERLINK("https://klasma.github.io/Logging_0382/artfynd/A 19544-2021 artfynd.xlsx", "A 19544-2021")</f>
        <v/>
      </c>
      <c r="T100">
        <f>HYPERLINK("https://klasma.github.io/Logging_0382/kartor/A 19544-2021 karta.png", "A 19544-2021")</f>
        <v/>
      </c>
      <c r="V100">
        <f>HYPERLINK("https://klasma.github.io/Logging_0382/klagomål/A 19544-2021 FSC-klagomål.docx", "A 19544-2021")</f>
        <v/>
      </c>
      <c r="W100">
        <f>HYPERLINK("https://klasma.github.io/Logging_0382/klagomålsmail/A 19544-2021 FSC-klagomål mail.docx", "A 19544-2021")</f>
        <v/>
      </c>
      <c r="X100">
        <f>HYPERLINK("https://klasma.github.io/Logging_0382/tillsyn/A 19544-2021 tillsynsbegäran.docx", "A 19544-2021")</f>
        <v/>
      </c>
      <c r="Y100">
        <f>HYPERLINK("https://klasma.github.io/Logging_0382/tillsynsmail/A 19544-2021 tillsynsbegäran mail.docx", "A 19544-2021")</f>
        <v/>
      </c>
    </row>
    <row r="101" ht="15" customHeight="1">
      <c r="A101" t="inlineStr">
        <is>
          <t>A 23874-2021</t>
        </is>
      </c>
      <c r="B101" s="1" t="n">
        <v>44335</v>
      </c>
      <c r="C101" s="1" t="n">
        <v>45832</v>
      </c>
      <c r="D101" t="inlineStr">
        <is>
          <t>UPPSALA LÄN</t>
        </is>
      </c>
      <c r="E101" t="inlineStr">
        <is>
          <t>ÖSTHAMMAR</t>
        </is>
      </c>
      <c r="G101" t="n">
        <v>6</v>
      </c>
      <c r="H101" t="n">
        <v>2</v>
      </c>
      <c r="I101" t="n">
        <v>4</v>
      </c>
      <c r="J101" t="n">
        <v>1</v>
      </c>
      <c r="K101" t="n">
        <v>1</v>
      </c>
      <c r="L101" t="n">
        <v>0</v>
      </c>
      <c r="M101" t="n">
        <v>0</v>
      </c>
      <c r="N101" t="n">
        <v>0</v>
      </c>
      <c r="O101" t="n">
        <v>2</v>
      </c>
      <c r="P101" t="n">
        <v>1</v>
      </c>
      <c r="Q101" t="n">
        <v>7</v>
      </c>
      <c r="R101" s="2" t="inlineStr">
        <is>
          <t>Aspgelélav
Havsörn
Granbarkgnagare
Kattfotslav
Skinnlav
Tibast
Blåsippa</t>
        </is>
      </c>
      <c r="S101">
        <f>HYPERLINK("https://klasma.github.io/Logging_0382/artfynd/A 23874-2021 artfynd.xlsx", "A 23874-2021")</f>
        <v/>
      </c>
      <c r="T101">
        <f>HYPERLINK("https://klasma.github.io/Logging_0382/kartor/A 23874-2021 karta.png", "A 23874-2021")</f>
        <v/>
      </c>
      <c r="V101">
        <f>HYPERLINK("https://klasma.github.io/Logging_0382/klagomål/A 23874-2021 FSC-klagomål.docx", "A 23874-2021")</f>
        <v/>
      </c>
      <c r="W101">
        <f>HYPERLINK("https://klasma.github.io/Logging_0382/klagomålsmail/A 23874-2021 FSC-klagomål mail.docx", "A 23874-2021")</f>
        <v/>
      </c>
      <c r="X101">
        <f>HYPERLINK("https://klasma.github.io/Logging_0382/tillsyn/A 23874-2021 tillsynsbegäran.docx", "A 23874-2021")</f>
        <v/>
      </c>
      <c r="Y101">
        <f>HYPERLINK("https://klasma.github.io/Logging_0382/tillsynsmail/A 23874-2021 tillsynsbegäran mail.docx", "A 23874-2021")</f>
        <v/>
      </c>
      <c r="Z101">
        <f>HYPERLINK("https://klasma.github.io/Logging_0382/fåglar/A 23874-2021 prioriterade fågelarter.docx", "A 23874-2021")</f>
        <v/>
      </c>
    </row>
    <row r="102" ht="15" customHeight="1">
      <c r="A102" t="inlineStr">
        <is>
          <t>A 33012-2021</t>
        </is>
      </c>
      <c r="B102" s="1" t="n">
        <v>44376</v>
      </c>
      <c r="C102" s="1" t="n">
        <v>45832</v>
      </c>
      <c r="D102" t="inlineStr">
        <is>
          <t>UPPSALA LÄN</t>
        </is>
      </c>
      <c r="E102" t="inlineStr">
        <is>
          <t>UPPSALA</t>
        </is>
      </c>
      <c r="F102" t="inlineStr">
        <is>
          <t>Holmen skog AB</t>
        </is>
      </c>
      <c r="G102" t="n">
        <v>10.9</v>
      </c>
      <c r="H102" t="n">
        <v>4</v>
      </c>
      <c r="I102" t="n">
        <v>4</v>
      </c>
      <c r="J102" t="n">
        <v>0</v>
      </c>
      <c r="K102" t="n">
        <v>1</v>
      </c>
      <c r="L102" t="n">
        <v>0</v>
      </c>
      <c r="M102" t="n">
        <v>0</v>
      </c>
      <c r="N102" t="n">
        <v>0</v>
      </c>
      <c r="O102" t="n">
        <v>1</v>
      </c>
      <c r="P102" t="n">
        <v>1</v>
      </c>
      <c r="Q102" t="n">
        <v>7</v>
      </c>
      <c r="R102" s="2" t="inlineStr">
        <is>
          <t>Knärot
Grön sköldmossa
Grönpyrola
Källpraktmossa
Skogshakmossa
Blåsippa
Revlummer</t>
        </is>
      </c>
      <c r="S102">
        <f>HYPERLINK("https://klasma.github.io/Logging_0380/artfynd/A 33012-2021 artfynd.xlsx", "A 33012-2021")</f>
        <v/>
      </c>
      <c r="T102">
        <f>HYPERLINK("https://klasma.github.io/Logging_0380/kartor/A 33012-2021 karta.png", "A 33012-2021")</f>
        <v/>
      </c>
      <c r="U102">
        <f>HYPERLINK("https://klasma.github.io/Logging_0380/knärot/A 33012-2021 karta knärot.png", "A 33012-2021")</f>
        <v/>
      </c>
      <c r="V102">
        <f>HYPERLINK("https://klasma.github.io/Logging_0380/klagomål/A 33012-2021 FSC-klagomål.docx", "A 33012-2021")</f>
        <v/>
      </c>
      <c r="W102">
        <f>HYPERLINK("https://klasma.github.io/Logging_0380/klagomålsmail/A 33012-2021 FSC-klagomål mail.docx", "A 33012-2021")</f>
        <v/>
      </c>
      <c r="X102">
        <f>HYPERLINK("https://klasma.github.io/Logging_0380/tillsyn/A 33012-2021 tillsynsbegäran.docx", "A 33012-2021")</f>
        <v/>
      </c>
      <c r="Y102">
        <f>HYPERLINK("https://klasma.github.io/Logging_0380/tillsynsmail/A 33012-2021 tillsynsbegäran mail.docx", "A 33012-2021")</f>
        <v/>
      </c>
    </row>
    <row r="103" ht="15" customHeight="1">
      <c r="A103" t="inlineStr">
        <is>
          <t>A 1760-2023</t>
        </is>
      </c>
      <c r="B103" s="1" t="n">
        <v>44938</v>
      </c>
      <c r="C103" s="1" t="n">
        <v>45832</v>
      </c>
      <c r="D103" t="inlineStr">
        <is>
          <t>UPPSALA LÄN</t>
        </is>
      </c>
      <c r="E103" t="inlineStr">
        <is>
          <t>UPPSALA</t>
        </is>
      </c>
      <c r="F103" t="inlineStr">
        <is>
          <t>Holmen skog AB</t>
        </is>
      </c>
      <c r="G103" t="n">
        <v>2.1</v>
      </c>
      <c r="H103" t="n">
        <v>2</v>
      </c>
      <c r="I103" t="n">
        <v>2</v>
      </c>
      <c r="J103" t="n">
        <v>3</v>
      </c>
      <c r="K103" t="n">
        <v>0</v>
      </c>
      <c r="L103" t="n">
        <v>0</v>
      </c>
      <c r="M103" t="n">
        <v>0</v>
      </c>
      <c r="N103" t="n">
        <v>0</v>
      </c>
      <c r="O103" t="n">
        <v>3</v>
      </c>
      <c r="P103" t="n">
        <v>0</v>
      </c>
      <c r="Q103" t="n">
        <v>7</v>
      </c>
      <c r="R103" s="2" t="inlineStr">
        <is>
          <t>Lunglav
Ullticka
Vippärt
Svart trolldruva
Vårärt
Skogsödla
Gullviva</t>
        </is>
      </c>
      <c r="S103">
        <f>HYPERLINK("https://klasma.github.io/Logging_0380/artfynd/A 1760-2023 artfynd.xlsx", "A 1760-2023")</f>
        <v/>
      </c>
      <c r="T103">
        <f>HYPERLINK("https://klasma.github.io/Logging_0380/kartor/A 1760-2023 karta.png", "A 1760-2023")</f>
        <v/>
      </c>
      <c r="V103">
        <f>HYPERLINK("https://klasma.github.io/Logging_0380/klagomål/A 1760-2023 FSC-klagomål.docx", "A 1760-2023")</f>
        <v/>
      </c>
      <c r="W103">
        <f>HYPERLINK("https://klasma.github.io/Logging_0380/klagomålsmail/A 1760-2023 FSC-klagomål mail.docx", "A 1760-2023")</f>
        <v/>
      </c>
      <c r="X103">
        <f>HYPERLINK("https://klasma.github.io/Logging_0380/tillsyn/A 1760-2023 tillsynsbegäran.docx", "A 1760-2023")</f>
        <v/>
      </c>
      <c r="Y103">
        <f>HYPERLINK("https://klasma.github.io/Logging_0380/tillsynsmail/A 1760-2023 tillsynsbegäran mail.docx", "A 1760-2023")</f>
        <v/>
      </c>
    </row>
    <row r="104" ht="15" customHeight="1">
      <c r="A104" t="inlineStr">
        <is>
          <t>A 14836-2023</t>
        </is>
      </c>
      <c r="B104" s="1" t="n">
        <v>45013</v>
      </c>
      <c r="C104" s="1" t="n">
        <v>45832</v>
      </c>
      <c r="D104" t="inlineStr">
        <is>
          <t>UPPSALA LÄN</t>
        </is>
      </c>
      <c r="E104" t="inlineStr">
        <is>
          <t>UPPSALA</t>
        </is>
      </c>
      <c r="G104" t="n">
        <v>8.199999999999999</v>
      </c>
      <c r="H104" t="n">
        <v>5</v>
      </c>
      <c r="I104" t="n">
        <v>2</v>
      </c>
      <c r="J104" t="n">
        <v>3</v>
      </c>
      <c r="K104" t="n">
        <v>1</v>
      </c>
      <c r="L104" t="n">
        <v>0</v>
      </c>
      <c r="M104" t="n">
        <v>0</v>
      </c>
      <c r="N104" t="n">
        <v>0</v>
      </c>
      <c r="O104" t="n">
        <v>4</v>
      </c>
      <c r="P104" t="n">
        <v>1</v>
      </c>
      <c r="Q104" t="n">
        <v>7</v>
      </c>
      <c r="R104" s="2" t="inlineStr">
        <is>
          <t>Kricka
Entita
Gulsparv
Rödvingetrast
Björksplintborre
Jättesvampmal
Nötkråka</t>
        </is>
      </c>
      <c r="S104">
        <f>HYPERLINK("https://klasma.github.io/Logging_0380/artfynd/A 14836-2023 artfynd.xlsx", "A 14836-2023")</f>
        <v/>
      </c>
      <c r="T104">
        <f>HYPERLINK("https://klasma.github.io/Logging_0380/kartor/A 14836-2023 karta.png", "A 14836-2023")</f>
        <v/>
      </c>
      <c r="V104">
        <f>HYPERLINK("https://klasma.github.io/Logging_0380/klagomål/A 14836-2023 FSC-klagomål.docx", "A 14836-2023")</f>
        <v/>
      </c>
      <c r="W104">
        <f>HYPERLINK("https://klasma.github.io/Logging_0380/klagomålsmail/A 14836-2023 FSC-klagomål mail.docx", "A 14836-2023")</f>
        <v/>
      </c>
      <c r="X104">
        <f>HYPERLINK("https://klasma.github.io/Logging_0380/tillsyn/A 14836-2023 tillsynsbegäran.docx", "A 14836-2023")</f>
        <v/>
      </c>
      <c r="Y104">
        <f>HYPERLINK("https://klasma.github.io/Logging_0380/tillsynsmail/A 14836-2023 tillsynsbegäran mail.docx", "A 14836-2023")</f>
        <v/>
      </c>
      <c r="Z104">
        <f>HYPERLINK("https://klasma.github.io/Logging_0380/fåglar/A 14836-2023 prioriterade fågelarter.docx", "A 14836-2023")</f>
        <v/>
      </c>
    </row>
    <row r="105" ht="15" customHeight="1">
      <c r="A105" t="inlineStr">
        <is>
          <t>A 21038-2023</t>
        </is>
      </c>
      <c r="B105" s="1" t="n">
        <v>45061</v>
      </c>
      <c r="C105" s="1" t="n">
        <v>45832</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31018-2023</t>
        </is>
      </c>
      <c r="B106" s="1" t="n">
        <v>45113</v>
      </c>
      <c r="C106" s="1" t="n">
        <v>45832</v>
      </c>
      <c r="D106" t="inlineStr">
        <is>
          <t>UPPSALA LÄN</t>
        </is>
      </c>
      <c r="E106" t="inlineStr">
        <is>
          <t>HEBY</t>
        </is>
      </c>
      <c r="G106" t="n">
        <v>11</v>
      </c>
      <c r="H106" t="n">
        <v>5</v>
      </c>
      <c r="I106" t="n">
        <v>2</v>
      </c>
      <c r="J106" t="n">
        <v>1</v>
      </c>
      <c r="K106" t="n">
        <v>1</v>
      </c>
      <c r="L106" t="n">
        <v>0</v>
      </c>
      <c r="M106" t="n">
        <v>0</v>
      </c>
      <c r="N106" t="n">
        <v>0</v>
      </c>
      <c r="O106" t="n">
        <v>2</v>
      </c>
      <c r="P106" t="n">
        <v>1</v>
      </c>
      <c r="Q106" t="n">
        <v>7</v>
      </c>
      <c r="R106" s="2" t="inlineStr">
        <is>
          <t>Knärot
Talltita
Grönpyrola
Rödgul trumpetsvamp
Fläcknycklar
Mattlummer
Revlummer</t>
        </is>
      </c>
      <c r="S106">
        <f>HYPERLINK("https://klasma.github.io/Logging_0331/artfynd/A 31018-2023 artfynd.xlsx", "A 31018-2023")</f>
        <v/>
      </c>
      <c r="T106">
        <f>HYPERLINK("https://klasma.github.io/Logging_0331/kartor/A 31018-2023 karta.png", "A 31018-2023")</f>
        <v/>
      </c>
      <c r="U106">
        <f>HYPERLINK("https://klasma.github.io/Logging_0331/knärot/A 31018-2023 karta knärot.png", "A 31018-2023")</f>
        <v/>
      </c>
      <c r="V106">
        <f>HYPERLINK("https://klasma.github.io/Logging_0331/klagomål/A 31018-2023 FSC-klagomål.docx", "A 31018-2023")</f>
        <v/>
      </c>
      <c r="W106">
        <f>HYPERLINK("https://klasma.github.io/Logging_0331/klagomålsmail/A 31018-2023 FSC-klagomål mail.docx", "A 31018-2023")</f>
        <v/>
      </c>
      <c r="X106">
        <f>HYPERLINK("https://klasma.github.io/Logging_0331/tillsyn/A 31018-2023 tillsynsbegäran.docx", "A 31018-2023")</f>
        <v/>
      </c>
      <c r="Y106">
        <f>HYPERLINK("https://klasma.github.io/Logging_0331/tillsynsmail/A 31018-2023 tillsynsbegäran mail.docx", "A 31018-2023")</f>
        <v/>
      </c>
      <c r="Z106">
        <f>HYPERLINK("https://klasma.github.io/Logging_0331/fåglar/A 31018-2023 prioriterade fågelarter.docx", "A 31018-2023")</f>
        <v/>
      </c>
    </row>
    <row r="107" ht="15" customHeight="1">
      <c r="A107" t="inlineStr">
        <is>
          <t>A 31628-2023</t>
        </is>
      </c>
      <c r="B107" s="1" t="n">
        <v>45117</v>
      </c>
      <c r="C107" s="1" t="n">
        <v>45832</v>
      </c>
      <c r="D107" t="inlineStr">
        <is>
          <t>UPPSALA LÄN</t>
        </is>
      </c>
      <c r="E107" t="inlineStr">
        <is>
          <t>UPPSALA</t>
        </is>
      </c>
      <c r="G107" t="n">
        <v>15</v>
      </c>
      <c r="H107" t="n">
        <v>2</v>
      </c>
      <c r="I107" t="n">
        <v>2</v>
      </c>
      <c r="J107" t="n">
        <v>4</v>
      </c>
      <c r="K107" t="n">
        <v>1</v>
      </c>
      <c r="L107" t="n">
        <v>0</v>
      </c>
      <c r="M107" t="n">
        <v>0</v>
      </c>
      <c r="N107" t="n">
        <v>0</v>
      </c>
      <c r="O107" t="n">
        <v>5</v>
      </c>
      <c r="P107" t="n">
        <v>1</v>
      </c>
      <c r="Q107" t="n">
        <v>7</v>
      </c>
      <c r="R107" s="2" t="inlineStr">
        <is>
          <t>Knärot
Skogsklocka
Spillkråka
Tallticka
Vedtrappmossa
Grönpyrola
Stubbspretmossa</t>
        </is>
      </c>
      <c r="S107">
        <f>HYPERLINK("https://klasma.github.io/Logging_0380/artfynd/A 31628-2023 artfynd.xlsx", "A 31628-2023")</f>
        <v/>
      </c>
      <c r="T107">
        <f>HYPERLINK("https://klasma.github.io/Logging_0380/kartor/A 31628-2023 karta.png", "A 31628-2023")</f>
        <v/>
      </c>
      <c r="U107">
        <f>HYPERLINK("https://klasma.github.io/Logging_0380/knärot/A 31628-2023 karta knärot.png", "A 31628-2023")</f>
        <v/>
      </c>
      <c r="V107">
        <f>HYPERLINK("https://klasma.github.io/Logging_0380/klagomål/A 31628-2023 FSC-klagomål.docx", "A 31628-2023")</f>
        <v/>
      </c>
      <c r="W107">
        <f>HYPERLINK("https://klasma.github.io/Logging_0380/klagomålsmail/A 31628-2023 FSC-klagomål mail.docx", "A 31628-2023")</f>
        <v/>
      </c>
      <c r="X107">
        <f>HYPERLINK("https://klasma.github.io/Logging_0380/tillsyn/A 31628-2023 tillsynsbegäran.docx", "A 31628-2023")</f>
        <v/>
      </c>
      <c r="Y107">
        <f>HYPERLINK("https://klasma.github.io/Logging_0380/tillsynsmail/A 31628-2023 tillsynsbegäran mail.docx", "A 31628-2023")</f>
        <v/>
      </c>
      <c r="Z107">
        <f>HYPERLINK("https://klasma.github.io/Logging_0380/fåglar/A 31628-2023 prioriterade fågelarter.docx", "A 31628-2023")</f>
        <v/>
      </c>
    </row>
    <row r="108" ht="15" customHeight="1">
      <c r="A108" t="inlineStr">
        <is>
          <t>A 46533-2023</t>
        </is>
      </c>
      <c r="B108" s="1" t="n">
        <v>45197</v>
      </c>
      <c r="C108" s="1" t="n">
        <v>45832</v>
      </c>
      <c r="D108" t="inlineStr">
        <is>
          <t>UPPSALA LÄN</t>
        </is>
      </c>
      <c r="E108" t="inlineStr">
        <is>
          <t>UPPSALA</t>
        </is>
      </c>
      <c r="F108" t="inlineStr">
        <is>
          <t>Allmännings- och besparingsskogar</t>
        </is>
      </c>
      <c r="G108" t="n">
        <v>11.5</v>
      </c>
      <c r="H108" t="n">
        <v>3</v>
      </c>
      <c r="I108" t="n">
        <v>1</v>
      </c>
      <c r="J108" t="n">
        <v>4</v>
      </c>
      <c r="K108" t="n">
        <v>1</v>
      </c>
      <c r="L108" t="n">
        <v>0</v>
      </c>
      <c r="M108" t="n">
        <v>0</v>
      </c>
      <c r="N108" t="n">
        <v>0</v>
      </c>
      <c r="O108" t="n">
        <v>5</v>
      </c>
      <c r="P108" t="n">
        <v>1</v>
      </c>
      <c r="Q108" t="n">
        <v>7</v>
      </c>
      <c r="R108" s="2" t="inlineStr">
        <is>
          <t>Knärot
Lunglav
Tallticka
Talltita
Vedskivlav
Korallblylav
Tjäder</t>
        </is>
      </c>
      <c r="S108">
        <f>HYPERLINK("https://klasma.github.io/Logging_0380/artfynd/A 46533-2023 artfynd.xlsx", "A 46533-2023")</f>
        <v/>
      </c>
      <c r="T108">
        <f>HYPERLINK("https://klasma.github.io/Logging_0380/kartor/A 46533-2023 karta.png", "A 46533-2023")</f>
        <v/>
      </c>
      <c r="U108">
        <f>HYPERLINK("https://klasma.github.io/Logging_0380/knärot/A 46533-2023 karta knärot.png", "A 46533-2023")</f>
        <v/>
      </c>
      <c r="V108">
        <f>HYPERLINK("https://klasma.github.io/Logging_0380/klagomål/A 46533-2023 FSC-klagomål.docx", "A 46533-2023")</f>
        <v/>
      </c>
      <c r="W108">
        <f>HYPERLINK("https://klasma.github.io/Logging_0380/klagomålsmail/A 46533-2023 FSC-klagomål mail.docx", "A 46533-2023")</f>
        <v/>
      </c>
      <c r="X108">
        <f>HYPERLINK("https://klasma.github.io/Logging_0380/tillsyn/A 46533-2023 tillsynsbegäran.docx", "A 46533-2023")</f>
        <v/>
      </c>
      <c r="Y108">
        <f>HYPERLINK("https://klasma.github.io/Logging_0380/tillsynsmail/A 46533-2023 tillsynsbegäran mail.docx", "A 46533-2023")</f>
        <v/>
      </c>
      <c r="Z108">
        <f>HYPERLINK("https://klasma.github.io/Logging_0380/fåglar/A 46533-2023 prioriterade fågelarter.docx", "A 46533-2023")</f>
        <v/>
      </c>
    </row>
    <row r="109" ht="15" customHeight="1">
      <c r="A109" t="inlineStr">
        <is>
          <t>A 57663-2023</t>
        </is>
      </c>
      <c r="B109" s="1" t="n">
        <v>45246</v>
      </c>
      <c r="C109" s="1" t="n">
        <v>45832</v>
      </c>
      <c r="D109" t="inlineStr">
        <is>
          <t>UPPSALA LÄN</t>
        </is>
      </c>
      <c r="E109" t="inlineStr">
        <is>
          <t>ÖSTHAMMAR</t>
        </is>
      </c>
      <c r="F109" t="inlineStr">
        <is>
          <t>Bergvik skog öst AB</t>
        </is>
      </c>
      <c r="G109" t="n">
        <v>17.4</v>
      </c>
      <c r="H109" t="n">
        <v>2</v>
      </c>
      <c r="I109" t="n">
        <v>6</v>
      </c>
      <c r="J109" t="n">
        <v>1</v>
      </c>
      <c r="K109" t="n">
        <v>0</v>
      </c>
      <c r="L109" t="n">
        <v>0</v>
      </c>
      <c r="M109" t="n">
        <v>0</v>
      </c>
      <c r="N109" t="n">
        <v>0</v>
      </c>
      <c r="O109" t="n">
        <v>1</v>
      </c>
      <c r="P109" t="n">
        <v>0</v>
      </c>
      <c r="Q109" t="n">
        <v>7</v>
      </c>
      <c r="R109" s="2" t="inlineStr">
        <is>
          <t>Slåtterfibbla
Fjällig taggsvamp s.str.
Nästrot
Skogsknipprot
Strimspindling
Svavelriska
Tibast</t>
        </is>
      </c>
      <c r="S109">
        <f>HYPERLINK("https://klasma.github.io/Logging_0382/artfynd/A 57663-2023 artfynd.xlsx", "A 57663-2023")</f>
        <v/>
      </c>
      <c r="T109">
        <f>HYPERLINK("https://klasma.github.io/Logging_0382/kartor/A 57663-2023 karta.png", "A 57663-2023")</f>
        <v/>
      </c>
      <c r="V109">
        <f>HYPERLINK("https://klasma.github.io/Logging_0382/klagomål/A 57663-2023 FSC-klagomål.docx", "A 57663-2023")</f>
        <v/>
      </c>
      <c r="W109">
        <f>HYPERLINK("https://klasma.github.io/Logging_0382/klagomålsmail/A 57663-2023 FSC-klagomål mail.docx", "A 57663-2023")</f>
        <v/>
      </c>
      <c r="X109">
        <f>HYPERLINK("https://klasma.github.io/Logging_0382/tillsyn/A 57663-2023 tillsynsbegäran.docx", "A 57663-2023")</f>
        <v/>
      </c>
      <c r="Y109">
        <f>HYPERLINK("https://klasma.github.io/Logging_0382/tillsynsmail/A 57663-2023 tillsynsbegäran mail.docx", "A 57663-2023")</f>
        <v/>
      </c>
    </row>
    <row r="110" ht="15" customHeight="1">
      <c r="A110" t="inlineStr">
        <is>
          <t>A 31073-2024</t>
        </is>
      </c>
      <c r="B110" s="1" t="n">
        <v>45502</v>
      </c>
      <c r="C110" s="1" t="n">
        <v>45832</v>
      </c>
      <c r="D110" t="inlineStr">
        <is>
          <t>UPPSALA LÄN</t>
        </is>
      </c>
      <c r="E110" t="inlineStr">
        <is>
          <t>UPPSALA</t>
        </is>
      </c>
      <c r="G110" t="n">
        <v>12.9</v>
      </c>
      <c r="H110" t="n">
        <v>1</v>
      </c>
      <c r="I110" t="n">
        <v>4</v>
      </c>
      <c r="J110" t="n">
        <v>2</v>
      </c>
      <c r="K110" t="n">
        <v>1</v>
      </c>
      <c r="L110" t="n">
        <v>0</v>
      </c>
      <c r="M110" t="n">
        <v>0</v>
      </c>
      <c r="N110" t="n">
        <v>0</v>
      </c>
      <c r="O110" t="n">
        <v>3</v>
      </c>
      <c r="P110" t="n">
        <v>1</v>
      </c>
      <c r="Q110" t="n">
        <v>7</v>
      </c>
      <c r="R110" s="2" t="inlineStr">
        <is>
          <t>Knärot
Gul taggsvamp
Orange taggsvamp
Brandticka
Mandelriska
Rödgul trumpetsvamp
Rökmusseron</t>
        </is>
      </c>
      <c r="S110">
        <f>HYPERLINK("https://klasma.github.io/Logging_0380/artfynd/A 31073-2024 artfynd.xlsx", "A 31073-2024")</f>
        <v/>
      </c>
      <c r="T110">
        <f>HYPERLINK("https://klasma.github.io/Logging_0380/kartor/A 31073-2024 karta.png", "A 31073-2024")</f>
        <v/>
      </c>
      <c r="U110">
        <f>HYPERLINK("https://klasma.github.io/Logging_0380/knärot/A 31073-2024 karta knärot.png", "A 31073-2024")</f>
        <v/>
      </c>
      <c r="V110">
        <f>HYPERLINK("https://klasma.github.io/Logging_0380/klagomål/A 31073-2024 FSC-klagomål.docx", "A 31073-2024")</f>
        <v/>
      </c>
      <c r="W110">
        <f>HYPERLINK("https://klasma.github.io/Logging_0380/klagomålsmail/A 31073-2024 FSC-klagomål mail.docx", "A 31073-2024")</f>
        <v/>
      </c>
      <c r="X110">
        <f>HYPERLINK("https://klasma.github.io/Logging_0380/tillsyn/A 31073-2024 tillsynsbegäran.docx", "A 31073-2024")</f>
        <v/>
      </c>
      <c r="Y110">
        <f>HYPERLINK("https://klasma.github.io/Logging_0380/tillsynsmail/A 31073-2024 tillsynsbegäran mail.docx", "A 31073-2024")</f>
        <v/>
      </c>
    </row>
    <row r="111" ht="15" customHeight="1">
      <c r="A111" t="inlineStr">
        <is>
          <t>A 42231-2024</t>
        </is>
      </c>
      <c r="B111" s="1" t="n">
        <v>45562</v>
      </c>
      <c r="C111" s="1" t="n">
        <v>45832</v>
      </c>
      <c r="D111" t="inlineStr">
        <is>
          <t>UPPSALA LÄN</t>
        </is>
      </c>
      <c r="E111" t="inlineStr">
        <is>
          <t>TIERP</t>
        </is>
      </c>
      <c r="F111" t="inlineStr">
        <is>
          <t>Bergvik skog öst AB</t>
        </is>
      </c>
      <c r="G111" t="n">
        <v>17.1</v>
      </c>
      <c r="H111" t="n">
        <v>4</v>
      </c>
      <c r="I111" t="n">
        <v>4</v>
      </c>
      <c r="J111" t="n">
        <v>1</v>
      </c>
      <c r="K111" t="n">
        <v>1</v>
      </c>
      <c r="L111" t="n">
        <v>0</v>
      </c>
      <c r="M111" t="n">
        <v>0</v>
      </c>
      <c r="N111" t="n">
        <v>0</v>
      </c>
      <c r="O111" t="n">
        <v>2</v>
      </c>
      <c r="P111" t="n">
        <v>1</v>
      </c>
      <c r="Q111" t="n">
        <v>7</v>
      </c>
      <c r="R111" s="2" t="inlineStr">
        <is>
          <t>Väddnätfjäril
Slåtterfibbla
Guckusko
Nästrot
Tibast
Underviol
Revlummer</t>
        </is>
      </c>
      <c r="S111">
        <f>HYPERLINK("https://klasma.github.io/Logging_0360/artfynd/A 42231-2024 artfynd.xlsx", "A 42231-2024")</f>
        <v/>
      </c>
      <c r="T111">
        <f>HYPERLINK("https://klasma.github.io/Logging_0360/kartor/A 42231-2024 karta.png", "A 42231-2024")</f>
        <v/>
      </c>
      <c r="V111">
        <f>HYPERLINK("https://klasma.github.io/Logging_0360/klagomål/A 42231-2024 FSC-klagomål.docx", "A 42231-2024")</f>
        <v/>
      </c>
      <c r="W111">
        <f>HYPERLINK("https://klasma.github.io/Logging_0360/klagomålsmail/A 42231-2024 FSC-klagomål mail.docx", "A 42231-2024")</f>
        <v/>
      </c>
      <c r="X111">
        <f>HYPERLINK("https://klasma.github.io/Logging_0360/tillsyn/A 42231-2024 tillsynsbegäran.docx", "A 42231-2024")</f>
        <v/>
      </c>
      <c r="Y111">
        <f>HYPERLINK("https://klasma.github.io/Logging_0360/tillsynsmail/A 42231-2024 tillsynsbegäran mail.docx", "A 42231-2024")</f>
        <v/>
      </c>
    </row>
    <row r="112" ht="15" customHeight="1">
      <c r="A112" t="inlineStr">
        <is>
          <t>A 58432-2024</t>
        </is>
      </c>
      <c r="B112" s="1" t="n">
        <v>45634</v>
      </c>
      <c r="C112" s="1" t="n">
        <v>45832</v>
      </c>
      <c r="D112" t="inlineStr">
        <is>
          <t>UPPSALA LÄN</t>
        </is>
      </c>
      <c r="E112" t="inlineStr">
        <is>
          <t>ÖSTHAMMAR</t>
        </is>
      </c>
      <c r="G112" t="n">
        <v>8.4</v>
      </c>
      <c r="H112" t="n">
        <v>7</v>
      </c>
      <c r="I112" t="n">
        <v>0</v>
      </c>
      <c r="J112" t="n">
        <v>6</v>
      </c>
      <c r="K112" t="n">
        <v>1</v>
      </c>
      <c r="L112" t="n">
        <v>0</v>
      </c>
      <c r="M112" t="n">
        <v>0</v>
      </c>
      <c r="N112" t="n">
        <v>0</v>
      </c>
      <c r="O112" t="n">
        <v>7</v>
      </c>
      <c r="P112" t="n">
        <v>1</v>
      </c>
      <c r="Q112" t="n">
        <v>7</v>
      </c>
      <c r="R112" s="2" t="inlineStr">
        <is>
          <t>Stare
Buskskvätta
Rosenfink
Rödvingetrast
Spillkråka
Svartvit flugsnappare
Ärtsångare</t>
        </is>
      </c>
      <c r="S112">
        <f>HYPERLINK("https://klasma.github.io/Logging_0382/artfynd/A 58432-2024 artfynd.xlsx", "A 58432-2024")</f>
        <v/>
      </c>
      <c r="T112">
        <f>HYPERLINK("https://klasma.github.io/Logging_0382/kartor/A 58432-2024 karta.png", "A 58432-2024")</f>
        <v/>
      </c>
      <c r="V112">
        <f>HYPERLINK("https://klasma.github.io/Logging_0382/klagomål/A 58432-2024 FSC-klagomål.docx", "A 58432-2024")</f>
        <v/>
      </c>
      <c r="W112">
        <f>HYPERLINK("https://klasma.github.io/Logging_0382/klagomålsmail/A 58432-2024 FSC-klagomål mail.docx", "A 58432-2024")</f>
        <v/>
      </c>
      <c r="X112">
        <f>HYPERLINK("https://klasma.github.io/Logging_0382/tillsyn/A 58432-2024 tillsynsbegäran.docx", "A 58432-2024")</f>
        <v/>
      </c>
      <c r="Y112">
        <f>HYPERLINK("https://klasma.github.io/Logging_0382/tillsynsmail/A 58432-2024 tillsynsbegäran mail.docx", "A 58432-2024")</f>
        <v/>
      </c>
      <c r="Z112">
        <f>HYPERLINK("https://klasma.github.io/Logging_0382/fåglar/A 58432-2024 prioriterade fågelarter.docx", "A 58432-2024")</f>
        <v/>
      </c>
    </row>
    <row r="113" ht="15" customHeight="1">
      <c r="A113" t="inlineStr">
        <is>
          <t>A 3954-2025</t>
        </is>
      </c>
      <c r="B113" s="1" t="n">
        <v>45684</v>
      </c>
      <c r="C113" s="1" t="n">
        <v>45832</v>
      </c>
      <c r="D113" t="inlineStr">
        <is>
          <t>UPPSALA LÄN</t>
        </is>
      </c>
      <c r="E113" t="inlineStr">
        <is>
          <t>ÄLVKARLEBY</t>
        </is>
      </c>
      <c r="G113" t="n">
        <v>5.5</v>
      </c>
      <c r="H113" t="n">
        <v>1</v>
      </c>
      <c r="I113" t="n">
        <v>1</v>
      </c>
      <c r="J113" t="n">
        <v>5</v>
      </c>
      <c r="K113" t="n">
        <v>0</v>
      </c>
      <c r="L113" t="n">
        <v>0</v>
      </c>
      <c r="M113" t="n">
        <v>0</v>
      </c>
      <c r="N113" t="n">
        <v>0</v>
      </c>
      <c r="O113" t="n">
        <v>5</v>
      </c>
      <c r="P113" t="n">
        <v>0</v>
      </c>
      <c r="Q113" t="n">
        <v>7</v>
      </c>
      <c r="R113" s="2" t="inlineStr">
        <is>
          <t>Backklöver
Flentimotej
Sandviol
Slåtterfibbla
Vanlig sandviol
Igelkottsröksvamp
Revlummer</t>
        </is>
      </c>
      <c r="S113">
        <f>HYPERLINK("https://klasma.github.io/Logging_0319/artfynd/A 3954-2025 artfynd.xlsx", "A 3954-2025")</f>
        <v/>
      </c>
      <c r="T113">
        <f>HYPERLINK("https://klasma.github.io/Logging_0319/kartor/A 3954-2025 karta.png", "A 3954-2025")</f>
        <v/>
      </c>
      <c r="V113">
        <f>HYPERLINK("https://klasma.github.io/Logging_0319/klagomål/A 3954-2025 FSC-klagomål.docx", "A 3954-2025")</f>
        <v/>
      </c>
      <c r="W113">
        <f>HYPERLINK("https://klasma.github.io/Logging_0319/klagomålsmail/A 3954-2025 FSC-klagomål mail.docx", "A 3954-2025")</f>
        <v/>
      </c>
      <c r="X113">
        <f>HYPERLINK("https://klasma.github.io/Logging_0319/tillsyn/A 3954-2025 tillsynsbegäran.docx", "A 3954-2025")</f>
        <v/>
      </c>
      <c r="Y113">
        <f>HYPERLINK("https://klasma.github.io/Logging_0319/tillsynsmail/A 3954-2025 tillsynsbegäran mail.docx", "A 3954-2025")</f>
        <v/>
      </c>
    </row>
    <row r="114" ht="15" customHeight="1">
      <c r="A114" t="inlineStr">
        <is>
          <t>A 16242-2025</t>
        </is>
      </c>
      <c r="B114" s="1" t="n">
        <v>45746</v>
      </c>
      <c r="C114" s="1" t="n">
        <v>45832</v>
      </c>
      <c r="D114" t="inlineStr">
        <is>
          <t>UPPSALA LÄN</t>
        </is>
      </c>
      <c r="E114" t="inlineStr">
        <is>
          <t>ÖSTHAMMAR</t>
        </is>
      </c>
      <c r="G114" t="n">
        <v>28</v>
      </c>
      <c r="H114" t="n">
        <v>3</v>
      </c>
      <c r="I114" t="n">
        <v>3</v>
      </c>
      <c r="J114" t="n">
        <v>3</v>
      </c>
      <c r="K114" t="n">
        <v>0</v>
      </c>
      <c r="L114" t="n">
        <v>0</v>
      </c>
      <c r="M114" t="n">
        <v>0</v>
      </c>
      <c r="N114" t="n">
        <v>0</v>
      </c>
      <c r="O114" t="n">
        <v>3</v>
      </c>
      <c r="P114" t="n">
        <v>0</v>
      </c>
      <c r="Q114" t="n">
        <v>7</v>
      </c>
      <c r="R114" s="2" t="inlineStr">
        <is>
          <t>Spillkråka
Ullticka
Vedtrappmossa
Grön sköldmossa
Jättesvampmal
Vågbandad barkbock
Blåsippa</t>
        </is>
      </c>
      <c r="S114">
        <f>HYPERLINK("https://klasma.github.io/Logging_030382/artfynd/A 16242-2025 artfynd.xlsx", "A 16242-2025")</f>
        <v/>
      </c>
      <c r="T114">
        <f>HYPERLINK("https://klasma.github.io/Logging_030382/kartor/A 16242-2025 karta.png", "A 16242-2025")</f>
        <v/>
      </c>
      <c r="V114">
        <f>HYPERLINK("https://klasma.github.io/Logging_030382/klagomål/A 16242-2025 FSC-klagomål.docx", "A 16242-2025")</f>
        <v/>
      </c>
      <c r="W114">
        <f>HYPERLINK("https://klasma.github.io/Logging_030382/klagomålsmail/A 16242-2025 FSC-klagomål mail.docx", "A 16242-2025")</f>
        <v/>
      </c>
      <c r="X114">
        <f>HYPERLINK("https://klasma.github.io/Logging_030382/tillsyn/A 16242-2025 tillsynsbegäran.docx", "A 16242-2025")</f>
        <v/>
      </c>
      <c r="Y114">
        <f>HYPERLINK("https://klasma.github.io/Logging_030382/tillsynsmail/A 16242-2025 tillsynsbegäran mail.docx", "A 16242-2025")</f>
        <v/>
      </c>
      <c r="Z114">
        <f>HYPERLINK("https://klasma.github.io/Logging_030382/fåglar/A 16242-2025 prioriterade fågelarter.docx", "A 16242-2025")</f>
        <v/>
      </c>
    </row>
    <row r="115" ht="15" customHeight="1">
      <c r="A115" t="inlineStr">
        <is>
          <t>A 16239-2025</t>
        </is>
      </c>
      <c r="B115" s="1" t="n">
        <v>45746</v>
      </c>
      <c r="C115" s="1" t="n">
        <v>45832</v>
      </c>
      <c r="D115" t="inlineStr">
        <is>
          <t>UPPSALA LÄN</t>
        </is>
      </c>
      <c r="E115" t="inlineStr">
        <is>
          <t>ÖSTHAMMAR</t>
        </is>
      </c>
      <c r="G115" t="n">
        <v>6.9</v>
      </c>
      <c r="H115" t="n">
        <v>5</v>
      </c>
      <c r="I115" t="n">
        <v>3</v>
      </c>
      <c r="J115" t="n">
        <v>2</v>
      </c>
      <c r="K115" t="n">
        <v>1</v>
      </c>
      <c r="L115" t="n">
        <v>0</v>
      </c>
      <c r="M115" t="n">
        <v>0</v>
      </c>
      <c r="N115" t="n">
        <v>0</v>
      </c>
      <c r="O115" t="n">
        <v>3</v>
      </c>
      <c r="P115" t="n">
        <v>1</v>
      </c>
      <c r="Q115" t="n">
        <v>7</v>
      </c>
      <c r="R115" s="2" t="inlineStr">
        <is>
          <t>Knärot
Talltita
Ullticka
Grön sköldmossa
Grönpyrola
Nästrot
Blåsippa</t>
        </is>
      </c>
      <c r="S115">
        <f>HYPERLINK("https://klasma.github.io/Logging_030382/artfynd/A 16239-2025 artfynd.xlsx", "A 16239-2025")</f>
        <v/>
      </c>
      <c r="T115">
        <f>HYPERLINK("https://klasma.github.io/Logging_030382/kartor/A 16239-2025 karta.png", "A 16239-2025")</f>
        <v/>
      </c>
      <c r="U115">
        <f>HYPERLINK("https://klasma.github.io/Logging_030382/knärot/A 16239-2025 karta knärot.png", "A 16239-2025")</f>
        <v/>
      </c>
      <c r="V115">
        <f>HYPERLINK("https://klasma.github.io/Logging_030382/klagomål/A 16239-2025 FSC-klagomål.docx", "A 16239-2025")</f>
        <v/>
      </c>
      <c r="W115">
        <f>HYPERLINK("https://klasma.github.io/Logging_030382/klagomålsmail/A 16239-2025 FSC-klagomål mail.docx", "A 16239-2025")</f>
        <v/>
      </c>
      <c r="X115">
        <f>HYPERLINK("https://klasma.github.io/Logging_030382/tillsyn/A 16239-2025 tillsynsbegäran.docx", "A 16239-2025")</f>
        <v/>
      </c>
      <c r="Y115">
        <f>HYPERLINK("https://klasma.github.io/Logging_030382/tillsynsmail/A 16239-2025 tillsynsbegäran mail.docx", "A 16239-2025")</f>
        <v/>
      </c>
      <c r="Z115">
        <f>HYPERLINK("https://klasma.github.io/Logging_030382/fåglar/A 16239-2025 prioriterade fågelarter.docx", "A 16239-2025")</f>
        <v/>
      </c>
    </row>
    <row r="116" ht="15" customHeight="1">
      <c r="A116" t="inlineStr">
        <is>
          <t>A 20993-2025</t>
        </is>
      </c>
      <c r="B116" s="1" t="n">
        <v>45777</v>
      </c>
      <c r="C116" s="1" t="n">
        <v>45832</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20993-2025 artfynd.xlsx", "A 20993-2025")</f>
        <v/>
      </c>
      <c r="T116">
        <f>HYPERLINK("https://klasma.github.io/Logging_030331/kartor/A 20993-2025 karta.png", "A 20993-2025")</f>
        <v/>
      </c>
      <c r="U116">
        <f>HYPERLINK("https://klasma.github.io/Logging_030331/knärot/A 20993-2025 karta knärot.png", "A 20993-2025")</f>
        <v/>
      </c>
      <c r="V116">
        <f>HYPERLINK("https://klasma.github.io/Logging_030331/klagomål/A 20993-2025 FSC-klagomål.docx", "A 20993-2025")</f>
        <v/>
      </c>
      <c r="W116">
        <f>HYPERLINK("https://klasma.github.io/Logging_030331/klagomålsmail/A 20993-2025 FSC-klagomål mail.docx", "A 20993-2025")</f>
        <v/>
      </c>
      <c r="X116">
        <f>HYPERLINK("https://klasma.github.io/Logging_030331/tillsyn/A 20993-2025 tillsynsbegäran.docx", "A 20993-2025")</f>
        <v/>
      </c>
      <c r="Y116">
        <f>HYPERLINK("https://klasma.github.io/Logging_030331/tillsynsmail/A 20993-2025 tillsynsbegäran mail.docx", "A 20993-2025")</f>
        <v/>
      </c>
      <c r="Z116">
        <f>HYPERLINK("https://klasma.github.io/Logging_030331/fåglar/A 20993-2025 prioriterade fågelarter.docx", "A 20993-2025")</f>
        <v/>
      </c>
    </row>
    <row r="117" ht="15" customHeight="1">
      <c r="A117" t="inlineStr">
        <is>
          <t>A 20980-2025</t>
        </is>
      </c>
      <c r="B117" s="1" t="n">
        <v>45777</v>
      </c>
      <c r="C117" s="1" t="n">
        <v>45832</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20980-2025 artfynd.xlsx", "A 20980-2025")</f>
        <v/>
      </c>
      <c r="T117">
        <f>HYPERLINK("https://klasma.github.io/Logging_030331/kartor/A 20980-2025 karta.png", "A 20980-2025")</f>
        <v/>
      </c>
      <c r="U117">
        <f>HYPERLINK("https://klasma.github.io/Logging_030331/knärot/A 20980-2025 karta knärot.png", "A 20980-2025")</f>
        <v/>
      </c>
      <c r="V117">
        <f>HYPERLINK("https://klasma.github.io/Logging_030331/klagomål/A 20980-2025 FSC-klagomål.docx", "A 20980-2025")</f>
        <v/>
      </c>
      <c r="W117">
        <f>HYPERLINK("https://klasma.github.io/Logging_030331/klagomålsmail/A 20980-2025 FSC-klagomål mail.docx", "A 20980-2025")</f>
        <v/>
      </c>
      <c r="X117">
        <f>HYPERLINK("https://klasma.github.io/Logging_030331/tillsyn/A 20980-2025 tillsynsbegäran.docx", "A 20980-2025")</f>
        <v/>
      </c>
      <c r="Y117">
        <f>HYPERLINK("https://klasma.github.io/Logging_030331/tillsynsmail/A 20980-2025 tillsynsbegäran mail.docx", "A 20980-2025")</f>
        <v/>
      </c>
      <c r="Z117">
        <f>HYPERLINK("https://klasma.github.io/Logging_030331/fåglar/A 20980-2025 prioriterade fågelarter.docx", "A 20980-2025")</f>
        <v/>
      </c>
    </row>
    <row r="118" ht="15" customHeight="1">
      <c r="A118" t="inlineStr">
        <is>
          <t>A 24987-2025</t>
        </is>
      </c>
      <c r="B118" s="1" t="n">
        <v>45799</v>
      </c>
      <c r="C118" s="1" t="n">
        <v>45832</v>
      </c>
      <c r="D118" t="inlineStr">
        <is>
          <t>UPPSALA LÄN</t>
        </is>
      </c>
      <c r="E118" t="inlineStr">
        <is>
          <t>UPPSALA</t>
        </is>
      </c>
      <c r="G118" t="n">
        <v>2.6</v>
      </c>
      <c r="H118" t="n">
        <v>1</v>
      </c>
      <c r="I118" t="n">
        <v>3</v>
      </c>
      <c r="J118" t="n">
        <v>3</v>
      </c>
      <c r="K118" t="n">
        <v>0</v>
      </c>
      <c r="L118" t="n">
        <v>0</v>
      </c>
      <c r="M118" t="n">
        <v>0</v>
      </c>
      <c r="N118" t="n">
        <v>0</v>
      </c>
      <c r="O118" t="n">
        <v>3</v>
      </c>
      <c r="P118" t="n">
        <v>0</v>
      </c>
      <c r="Q118" t="n">
        <v>7</v>
      </c>
      <c r="R118" s="2" t="inlineStr">
        <is>
          <t>Bronspraktbagge
Fyrflikig jordstjärna
Mindre timmerman
Fjällig taggsvamp s.str.
Skarp dropptaggsvamp
Svavelriska
Blåsippa</t>
        </is>
      </c>
      <c r="S118">
        <f>HYPERLINK("https://klasma.github.io/Logging_030380/artfynd/A 24987-2025 artfynd.xlsx", "A 24987-2025")</f>
        <v/>
      </c>
      <c r="T118">
        <f>HYPERLINK("https://klasma.github.io/Logging_030380/kartor/A 24987-2025 karta.png", "A 24987-2025")</f>
        <v/>
      </c>
      <c r="V118">
        <f>HYPERLINK("https://klasma.github.io/Logging_030380/klagomål/A 24987-2025 FSC-klagomål.docx", "A 24987-2025")</f>
        <v/>
      </c>
      <c r="W118">
        <f>HYPERLINK("https://klasma.github.io/Logging_030380/klagomålsmail/A 24987-2025 FSC-klagomål mail.docx", "A 24987-2025")</f>
        <v/>
      </c>
      <c r="X118">
        <f>HYPERLINK("https://klasma.github.io/Logging_030380/tillsyn/A 24987-2025 tillsynsbegäran.docx", "A 24987-2025")</f>
        <v/>
      </c>
      <c r="Y118">
        <f>HYPERLINK("https://klasma.github.io/Logging_030380/tillsynsmail/A 24987-2025 tillsynsbegäran mail.docx", "A 24987-2025")</f>
        <v/>
      </c>
    </row>
    <row r="119" ht="15" customHeight="1">
      <c r="A119" t="inlineStr">
        <is>
          <t>A 25604-2025</t>
        </is>
      </c>
      <c r="B119" s="1" t="n">
        <v>45803</v>
      </c>
      <c r="C119" s="1" t="n">
        <v>45832</v>
      </c>
      <c r="D119" t="inlineStr">
        <is>
          <t>UPPSALA LÄN</t>
        </is>
      </c>
      <c r="E119" t="inlineStr">
        <is>
          <t>UPPSALA</t>
        </is>
      </c>
      <c r="F119" t="inlineStr">
        <is>
          <t>Holmen skog AB</t>
        </is>
      </c>
      <c r="G119" t="n">
        <v>4.7</v>
      </c>
      <c r="H119" t="n">
        <v>7</v>
      </c>
      <c r="I119" t="n">
        <v>0</v>
      </c>
      <c r="J119" t="n">
        <v>2</v>
      </c>
      <c r="K119" t="n">
        <v>1</v>
      </c>
      <c r="L119" t="n">
        <v>0</v>
      </c>
      <c r="M119" t="n">
        <v>0</v>
      </c>
      <c r="N119" t="n">
        <v>0</v>
      </c>
      <c r="O119" t="n">
        <v>3</v>
      </c>
      <c r="P119" t="n">
        <v>1</v>
      </c>
      <c r="Q119" t="n">
        <v>7</v>
      </c>
      <c r="R119" s="2" t="inlineStr">
        <is>
          <t>Tallbit
Spillkråka
Talltita
Grönsiska
Kungsfågel
Kopparödla
Blåsippa</t>
        </is>
      </c>
      <c r="S119">
        <f>HYPERLINK("https://klasma.github.io/Logging_030380/artfynd/A 25604-2025 artfynd.xlsx", "A 25604-2025")</f>
        <v/>
      </c>
      <c r="T119">
        <f>HYPERLINK("https://klasma.github.io/Logging_030380/kartor/A 25604-2025 karta.png", "A 25604-2025")</f>
        <v/>
      </c>
      <c r="V119">
        <f>HYPERLINK("https://klasma.github.io/Logging_030380/klagomål/A 25604-2025 FSC-klagomål.docx", "A 25604-2025")</f>
        <v/>
      </c>
      <c r="W119">
        <f>HYPERLINK("https://klasma.github.io/Logging_030380/klagomålsmail/A 25604-2025 FSC-klagomål mail.docx", "A 25604-2025")</f>
        <v/>
      </c>
      <c r="X119">
        <f>HYPERLINK("https://klasma.github.io/Logging_030380/tillsyn/A 25604-2025 tillsynsbegäran.docx", "A 25604-2025")</f>
        <v/>
      </c>
      <c r="Y119">
        <f>HYPERLINK("https://klasma.github.io/Logging_030380/tillsynsmail/A 25604-2025 tillsynsbegäran mail.docx", "A 25604-2025")</f>
        <v/>
      </c>
      <c r="Z119">
        <f>HYPERLINK("https://klasma.github.io/Logging_030380/fåglar/A 25604-2025 prioriterade fågelarter.docx", "A 25604-2025")</f>
        <v/>
      </c>
    </row>
    <row r="120" ht="15" customHeight="1">
      <c r="A120" t="inlineStr">
        <is>
          <t>A 30443-2025</t>
        </is>
      </c>
      <c r="B120" s="1" t="n">
        <v>45827</v>
      </c>
      <c r="C120" s="1" t="n">
        <v>45832</v>
      </c>
      <c r="D120" t="inlineStr">
        <is>
          <t>UPPSALA LÄN</t>
        </is>
      </c>
      <c r="E120" t="inlineStr">
        <is>
          <t>UPPSALA</t>
        </is>
      </c>
      <c r="G120" t="n">
        <v>10.4</v>
      </c>
      <c r="H120" t="n">
        <v>0</v>
      </c>
      <c r="I120" t="n">
        <v>3</v>
      </c>
      <c r="J120" t="n">
        <v>3</v>
      </c>
      <c r="K120" t="n">
        <v>1</v>
      </c>
      <c r="L120" t="n">
        <v>0</v>
      </c>
      <c r="M120" t="n">
        <v>0</v>
      </c>
      <c r="N120" t="n">
        <v>0</v>
      </c>
      <c r="O120" t="n">
        <v>4</v>
      </c>
      <c r="P120" t="n">
        <v>1</v>
      </c>
      <c r="Q120" t="n">
        <v>7</v>
      </c>
      <c r="R120" s="2" t="inlineStr">
        <is>
          <t>Grangråticka
Dofttaggsvamp
Gultoppig fingersvamp
Orange taggsvamp
Granbarkgnagare
Guldkremla
Korallblylav</t>
        </is>
      </c>
      <c r="S120">
        <f>HYPERLINK("https://klasma.github.io/Logging_030380/artfynd/A 30443-2025 artfynd.xlsx", "A 30443-2025")</f>
        <v/>
      </c>
      <c r="T120">
        <f>HYPERLINK("https://klasma.github.io/Logging_030380/kartor/A 30443-2025 karta.png", "A 30443-2025")</f>
        <v/>
      </c>
      <c r="V120">
        <f>HYPERLINK("https://klasma.github.io/Logging_030380/klagomål/A 30443-2025 FSC-klagomål.docx", "A 30443-2025")</f>
        <v/>
      </c>
      <c r="W120">
        <f>HYPERLINK("https://klasma.github.io/Logging_030380/klagomålsmail/A 30443-2025 FSC-klagomål mail.docx", "A 30443-2025")</f>
        <v/>
      </c>
      <c r="X120">
        <f>HYPERLINK("https://klasma.github.io/Logging_030380/tillsyn/A 30443-2025 tillsynsbegäran.docx", "A 30443-2025")</f>
        <v/>
      </c>
      <c r="Y120">
        <f>HYPERLINK("https://klasma.github.io/Logging_030380/tillsynsmail/A 30443-2025 tillsynsbegäran mail.docx", "A 30443-2025")</f>
        <v/>
      </c>
    </row>
    <row r="121" ht="15" customHeight="1">
      <c r="A121" t="inlineStr">
        <is>
          <t>A 39073-2019</t>
        </is>
      </c>
      <c r="B121" s="1" t="n">
        <v>43689</v>
      </c>
      <c r="C121" s="1" t="n">
        <v>45832</v>
      </c>
      <c r="D121" t="inlineStr">
        <is>
          <t>UPPSALA LÄN</t>
        </is>
      </c>
      <c r="E121" t="inlineStr">
        <is>
          <t>HEBY</t>
        </is>
      </c>
      <c r="G121" t="n">
        <v>4.8</v>
      </c>
      <c r="H121" t="n">
        <v>1</v>
      </c>
      <c r="I121" t="n">
        <v>3</v>
      </c>
      <c r="J121" t="n">
        <v>1</v>
      </c>
      <c r="K121" t="n">
        <v>2</v>
      </c>
      <c r="L121" t="n">
        <v>0</v>
      </c>
      <c r="M121" t="n">
        <v>0</v>
      </c>
      <c r="N121" t="n">
        <v>0</v>
      </c>
      <c r="O121" t="n">
        <v>3</v>
      </c>
      <c r="P121" t="n">
        <v>2</v>
      </c>
      <c r="Q121" t="n">
        <v>6</v>
      </c>
      <c r="R121" s="2" t="inlineStr">
        <is>
          <t>Knärot
Rynkskinn
Ullticka
Bronshjon
Thomsons trägnagare
Vedticka</t>
        </is>
      </c>
      <c r="S121">
        <f>HYPERLINK("https://klasma.github.io/Logging_0331/artfynd/A 39073-2019 artfynd.xlsx", "A 39073-2019")</f>
        <v/>
      </c>
      <c r="T121">
        <f>HYPERLINK("https://klasma.github.io/Logging_0331/kartor/A 39073-2019 karta.png", "A 39073-2019")</f>
        <v/>
      </c>
      <c r="U121">
        <f>HYPERLINK("https://klasma.github.io/Logging_0331/knärot/A 39073-2019 karta knärot.png", "A 39073-2019")</f>
        <v/>
      </c>
      <c r="V121">
        <f>HYPERLINK("https://klasma.github.io/Logging_0331/klagomål/A 39073-2019 FSC-klagomål.docx", "A 39073-2019")</f>
        <v/>
      </c>
      <c r="W121">
        <f>HYPERLINK("https://klasma.github.io/Logging_0331/klagomålsmail/A 39073-2019 FSC-klagomål mail.docx", "A 39073-2019")</f>
        <v/>
      </c>
      <c r="X121">
        <f>HYPERLINK("https://klasma.github.io/Logging_0331/tillsyn/A 39073-2019 tillsynsbegäran.docx", "A 39073-2019")</f>
        <v/>
      </c>
      <c r="Y121">
        <f>HYPERLINK("https://klasma.github.io/Logging_0331/tillsynsmail/A 39073-2019 tillsynsbegäran mail.docx", "A 39073-2019")</f>
        <v/>
      </c>
    </row>
    <row r="122" ht="15" customHeight="1">
      <c r="A122" t="inlineStr">
        <is>
          <t>A 33087-2020</t>
        </is>
      </c>
      <c r="B122" s="1" t="n">
        <v>44021</v>
      </c>
      <c r="C122" s="1" t="n">
        <v>45832</v>
      </c>
      <c r="D122" t="inlineStr">
        <is>
          <t>UPPSALA LÄN</t>
        </is>
      </c>
      <c r="E122" t="inlineStr">
        <is>
          <t>ÖSTHAMMAR</t>
        </is>
      </c>
      <c r="G122" t="n">
        <v>5.5</v>
      </c>
      <c r="H122" t="n">
        <v>2</v>
      </c>
      <c r="I122" t="n">
        <v>1</v>
      </c>
      <c r="J122" t="n">
        <v>3</v>
      </c>
      <c r="K122" t="n">
        <v>2</v>
      </c>
      <c r="L122" t="n">
        <v>0</v>
      </c>
      <c r="M122" t="n">
        <v>0</v>
      </c>
      <c r="N122" t="n">
        <v>0</v>
      </c>
      <c r="O122" t="n">
        <v>5</v>
      </c>
      <c r="P122" t="n">
        <v>2</v>
      </c>
      <c r="Q122" t="n">
        <v>6</v>
      </c>
      <c r="R122" s="2" t="inlineStr">
        <is>
          <t>Knärot
Violgubbe
Dofttaggsvamp
Gultoppig fingersvamp
Orange taggsvamp
Skogsknipprot</t>
        </is>
      </c>
      <c r="S122">
        <f>HYPERLINK("https://klasma.github.io/Logging_0382/artfynd/A 33087-2020 artfynd.xlsx", "A 33087-2020")</f>
        <v/>
      </c>
      <c r="T122">
        <f>HYPERLINK("https://klasma.github.io/Logging_0382/kartor/A 33087-2020 karta.png", "A 33087-2020")</f>
        <v/>
      </c>
      <c r="U122">
        <f>HYPERLINK("https://klasma.github.io/Logging_0382/knärot/A 33087-2020 karta knärot.png", "A 33087-2020")</f>
        <v/>
      </c>
      <c r="V122">
        <f>HYPERLINK("https://klasma.github.io/Logging_0382/klagomål/A 33087-2020 FSC-klagomål.docx", "A 33087-2020")</f>
        <v/>
      </c>
      <c r="W122">
        <f>HYPERLINK("https://klasma.github.io/Logging_0382/klagomålsmail/A 33087-2020 FSC-klagomål mail.docx", "A 33087-2020")</f>
        <v/>
      </c>
      <c r="X122">
        <f>HYPERLINK("https://klasma.github.io/Logging_0382/tillsyn/A 33087-2020 tillsynsbegäran.docx", "A 33087-2020")</f>
        <v/>
      </c>
      <c r="Y122">
        <f>HYPERLINK("https://klasma.github.io/Logging_0382/tillsynsmail/A 33087-2020 tillsynsbegäran mail.docx", "A 33087-2020")</f>
        <v/>
      </c>
    </row>
    <row r="123" ht="15" customHeight="1">
      <c r="A123" t="inlineStr">
        <is>
          <t>A 52838-2020</t>
        </is>
      </c>
      <c r="B123" s="1" t="n">
        <v>44119</v>
      </c>
      <c r="C123" s="1" t="n">
        <v>45832</v>
      </c>
      <c r="D123" t="inlineStr">
        <is>
          <t>UPPSALA LÄN</t>
        </is>
      </c>
      <c r="E123" t="inlineStr">
        <is>
          <t>UPPSALA</t>
        </is>
      </c>
      <c r="G123" t="n">
        <v>4.8</v>
      </c>
      <c r="H123" t="n">
        <v>3</v>
      </c>
      <c r="I123" t="n">
        <v>3</v>
      </c>
      <c r="J123" t="n">
        <v>2</v>
      </c>
      <c r="K123" t="n">
        <v>0</v>
      </c>
      <c r="L123" t="n">
        <v>0</v>
      </c>
      <c r="M123" t="n">
        <v>0</v>
      </c>
      <c r="N123" t="n">
        <v>0</v>
      </c>
      <c r="O123" t="n">
        <v>2</v>
      </c>
      <c r="P123" t="n">
        <v>0</v>
      </c>
      <c r="Q123" t="n">
        <v>6</v>
      </c>
      <c r="R123" s="2" t="inlineStr">
        <is>
          <t>Spillkråka
Ärtsångare
Bronshjon
Fjällig taggsvamp s.str.
Thomsons trägnagare
Blåsippa</t>
        </is>
      </c>
      <c r="S123">
        <f>HYPERLINK("https://klasma.github.io/Logging_0380/artfynd/A 52838-2020 artfynd.xlsx", "A 52838-2020")</f>
        <v/>
      </c>
      <c r="T123">
        <f>HYPERLINK("https://klasma.github.io/Logging_0380/kartor/A 52838-2020 karta.png", "A 52838-2020")</f>
        <v/>
      </c>
      <c r="V123">
        <f>HYPERLINK("https://klasma.github.io/Logging_0380/klagomål/A 52838-2020 FSC-klagomål.docx", "A 52838-2020")</f>
        <v/>
      </c>
      <c r="W123">
        <f>HYPERLINK("https://klasma.github.io/Logging_0380/klagomålsmail/A 52838-2020 FSC-klagomål mail.docx", "A 52838-2020")</f>
        <v/>
      </c>
      <c r="X123">
        <f>HYPERLINK("https://klasma.github.io/Logging_0380/tillsyn/A 52838-2020 tillsynsbegäran.docx", "A 52838-2020")</f>
        <v/>
      </c>
      <c r="Y123">
        <f>HYPERLINK("https://klasma.github.io/Logging_0380/tillsynsmail/A 52838-2020 tillsynsbegäran mail.docx", "A 52838-2020")</f>
        <v/>
      </c>
      <c r="Z123">
        <f>HYPERLINK("https://klasma.github.io/Logging_0380/fåglar/A 52838-2020 prioriterade fågelarter.docx", "A 52838-2020")</f>
        <v/>
      </c>
    </row>
    <row r="124" ht="15" customHeight="1">
      <c r="A124" t="inlineStr">
        <is>
          <t>A 18037-2021</t>
        </is>
      </c>
      <c r="B124" s="1" t="n">
        <v>44301</v>
      </c>
      <c r="C124" s="1" t="n">
        <v>45832</v>
      </c>
      <c r="D124" t="inlineStr">
        <is>
          <t>UPPSALA LÄN</t>
        </is>
      </c>
      <c r="E124" t="inlineStr">
        <is>
          <t>ENKÖPING</t>
        </is>
      </c>
      <c r="G124" t="n">
        <v>17.2</v>
      </c>
      <c r="H124" t="n">
        <v>1</v>
      </c>
      <c r="I124" t="n">
        <v>1</v>
      </c>
      <c r="J124" t="n">
        <v>2</v>
      </c>
      <c r="K124" t="n">
        <v>2</v>
      </c>
      <c r="L124" t="n">
        <v>1</v>
      </c>
      <c r="M124" t="n">
        <v>0</v>
      </c>
      <c r="N124" t="n">
        <v>0</v>
      </c>
      <c r="O124" t="n">
        <v>5</v>
      </c>
      <c r="P124" t="n">
        <v>3</v>
      </c>
      <c r="Q124" t="n">
        <v>6</v>
      </c>
      <c r="R124" s="2" t="inlineStr">
        <is>
          <t>Ask
Gulvit blekspik
Rynkskinn
Spillkråka
Tallticka
Lönnlav</t>
        </is>
      </c>
      <c r="S124">
        <f>HYPERLINK("https://klasma.github.io/Logging_0381/artfynd/A 18037-2021 artfynd.xlsx", "A 18037-2021")</f>
        <v/>
      </c>
      <c r="T124">
        <f>HYPERLINK("https://klasma.github.io/Logging_0381/kartor/A 18037-2021 karta.png", "A 18037-2021")</f>
        <v/>
      </c>
      <c r="V124">
        <f>HYPERLINK("https://klasma.github.io/Logging_0381/klagomål/A 18037-2021 FSC-klagomål.docx", "A 18037-2021")</f>
        <v/>
      </c>
      <c r="W124">
        <f>HYPERLINK("https://klasma.github.io/Logging_0381/klagomålsmail/A 18037-2021 FSC-klagomål mail.docx", "A 18037-2021")</f>
        <v/>
      </c>
      <c r="X124">
        <f>HYPERLINK("https://klasma.github.io/Logging_0381/tillsyn/A 18037-2021 tillsynsbegäran.docx", "A 18037-2021")</f>
        <v/>
      </c>
      <c r="Y124">
        <f>HYPERLINK("https://klasma.github.io/Logging_0381/tillsynsmail/A 18037-2021 tillsynsbegäran mail.docx", "A 18037-2021")</f>
        <v/>
      </c>
      <c r="Z124">
        <f>HYPERLINK("https://klasma.github.io/Logging_0381/fåglar/A 18037-2021 prioriterade fågelarter.docx", "A 18037-2021")</f>
        <v/>
      </c>
    </row>
    <row r="125" ht="15" customHeight="1">
      <c r="A125" t="inlineStr">
        <is>
          <t>A 28577-2021</t>
        </is>
      </c>
      <c r="B125" s="1" t="n">
        <v>44356</v>
      </c>
      <c r="C125" s="1" t="n">
        <v>45832</v>
      </c>
      <c r="D125" t="inlineStr">
        <is>
          <t>UPPSALA LÄN</t>
        </is>
      </c>
      <c r="E125" t="inlineStr">
        <is>
          <t>UPPSALA</t>
        </is>
      </c>
      <c r="G125" t="n">
        <v>13.1</v>
      </c>
      <c r="H125" t="n">
        <v>2</v>
      </c>
      <c r="I125" t="n">
        <v>3</v>
      </c>
      <c r="J125" t="n">
        <v>2</v>
      </c>
      <c r="K125" t="n">
        <v>0</v>
      </c>
      <c r="L125" t="n">
        <v>0</v>
      </c>
      <c r="M125" t="n">
        <v>0</v>
      </c>
      <c r="N125" t="n">
        <v>0</v>
      </c>
      <c r="O125" t="n">
        <v>2</v>
      </c>
      <c r="P125" t="n">
        <v>0</v>
      </c>
      <c r="Q125" t="n">
        <v>6</v>
      </c>
      <c r="R125" s="2" t="inlineStr">
        <is>
          <t>Spillkråka
Ullticka
Bronshjon
Korallblylav
Thomsons trägnagare
Blåsippa</t>
        </is>
      </c>
      <c r="S125">
        <f>HYPERLINK("https://klasma.github.io/Logging_0380/artfynd/A 28577-2021 artfynd.xlsx", "A 28577-2021")</f>
        <v/>
      </c>
      <c r="T125">
        <f>HYPERLINK("https://klasma.github.io/Logging_0380/kartor/A 28577-2021 karta.png", "A 28577-2021")</f>
        <v/>
      </c>
      <c r="V125">
        <f>HYPERLINK("https://klasma.github.io/Logging_0380/klagomål/A 28577-2021 FSC-klagomål.docx", "A 28577-2021")</f>
        <v/>
      </c>
      <c r="W125">
        <f>HYPERLINK("https://klasma.github.io/Logging_0380/klagomålsmail/A 28577-2021 FSC-klagomål mail.docx", "A 28577-2021")</f>
        <v/>
      </c>
      <c r="X125">
        <f>HYPERLINK("https://klasma.github.io/Logging_0380/tillsyn/A 28577-2021 tillsynsbegäran.docx", "A 28577-2021")</f>
        <v/>
      </c>
      <c r="Y125">
        <f>HYPERLINK("https://klasma.github.io/Logging_0380/tillsynsmail/A 28577-2021 tillsynsbegäran mail.docx", "A 28577-2021")</f>
        <v/>
      </c>
      <c r="Z125">
        <f>HYPERLINK("https://klasma.github.io/Logging_0380/fåglar/A 28577-2021 prioriterade fågelarter.docx", "A 28577-2021")</f>
        <v/>
      </c>
    </row>
    <row r="126" ht="15" customHeight="1">
      <c r="A126" t="inlineStr">
        <is>
          <t>A 35911-2021</t>
        </is>
      </c>
      <c r="B126" s="1" t="n">
        <v>44387</v>
      </c>
      <c r="C126" s="1" t="n">
        <v>45832</v>
      </c>
      <c r="D126" t="inlineStr">
        <is>
          <t>UPPSALA LÄN</t>
        </is>
      </c>
      <c r="E126" t="inlineStr">
        <is>
          <t>ÖSTHAMMAR</t>
        </is>
      </c>
      <c r="F126" t="inlineStr">
        <is>
          <t>Sveaskog</t>
        </is>
      </c>
      <c r="G126" t="n">
        <v>5.5</v>
      </c>
      <c r="H126" t="n">
        <v>3</v>
      </c>
      <c r="I126" t="n">
        <v>2</v>
      </c>
      <c r="J126" t="n">
        <v>3</v>
      </c>
      <c r="K126" t="n">
        <v>0</v>
      </c>
      <c r="L126" t="n">
        <v>0</v>
      </c>
      <c r="M126" t="n">
        <v>0</v>
      </c>
      <c r="N126" t="n">
        <v>0</v>
      </c>
      <c r="O126" t="n">
        <v>3</v>
      </c>
      <c r="P126" t="n">
        <v>0</v>
      </c>
      <c r="Q126" t="n">
        <v>6</v>
      </c>
      <c r="R126" s="2" t="inlineStr">
        <is>
          <t>Gulsparv
Lunglav
Mindre hackspett
Lönnlav
Tibast
Blåsippa</t>
        </is>
      </c>
      <c r="S126">
        <f>HYPERLINK("https://klasma.github.io/Logging_0382/artfynd/A 35911-2021 artfynd.xlsx", "A 35911-2021")</f>
        <v/>
      </c>
      <c r="T126">
        <f>HYPERLINK("https://klasma.github.io/Logging_0382/kartor/A 35911-2021 karta.png", "A 35911-2021")</f>
        <v/>
      </c>
      <c r="V126">
        <f>HYPERLINK("https://klasma.github.io/Logging_0382/klagomål/A 35911-2021 FSC-klagomål.docx", "A 35911-2021")</f>
        <v/>
      </c>
      <c r="W126">
        <f>HYPERLINK("https://klasma.github.io/Logging_0382/klagomålsmail/A 35911-2021 FSC-klagomål mail.docx", "A 35911-2021")</f>
        <v/>
      </c>
      <c r="X126">
        <f>HYPERLINK("https://klasma.github.io/Logging_0382/tillsyn/A 35911-2021 tillsynsbegäran.docx", "A 35911-2021")</f>
        <v/>
      </c>
      <c r="Y126">
        <f>HYPERLINK("https://klasma.github.io/Logging_0382/tillsynsmail/A 35911-2021 tillsynsbegäran mail.docx", "A 35911-2021")</f>
        <v/>
      </c>
      <c r="Z126">
        <f>HYPERLINK("https://klasma.github.io/Logging_0382/fåglar/A 35911-2021 prioriterade fågelarter.docx", "A 35911-2021")</f>
        <v/>
      </c>
    </row>
    <row r="127" ht="15" customHeight="1">
      <c r="A127" t="inlineStr">
        <is>
          <t>A 32140-2022</t>
        </is>
      </c>
      <c r="B127" s="1" t="n">
        <v>44779</v>
      </c>
      <c r="C127" s="1" t="n">
        <v>45832</v>
      </c>
      <c r="D127" t="inlineStr">
        <is>
          <t>UPPSALA LÄN</t>
        </is>
      </c>
      <c r="E127" t="inlineStr">
        <is>
          <t>ÖSTHAMMAR</t>
        </is>
      </c>
      <c r="G127" t="n">
        <v>1.7</v>
      </c>
      <c r="H127" t="n">
        <v>3</v>
      </c>
      <c r="I127" t="n">
        <v>3</v>
      </c>
      <c r="J127" t="n">
        <v>1</v>
      </c>
      <c r="K127" t="n">
        <v>1</v>
      </c>
      <c r="L127" t="n">
        <v>0</v>
      </c>
      <c r="M127" t="n">
        <v>0</v>
      </c>
      <c r="N127" t="n">
        <v>0</v>
      </c>
      <c r="O127" t="n">
        <v>2</v>
      </c>
      <c r="P127" t="n">
        <v>1</v>
      </c>
      <c r="Q127" t="n">
        <v>6</v>
      </c>
      <c r="R127" s="2" t="inlineStr">
        <is>
          <t>Knärot
Spillkråka
Fjällig taggsvamp s.str.
Skarp dropptaggsvamp
Svavelriska
Blåsippa</t>
        </is>
      </c>
      <c r="S127">
        <f>HYPERLINK("https://klasma.github.io/Logging_0382/artfynd/A 32140-2022 artfynd.xlsx", "A 32140-2022")</f>
        <v/>
      </c>
      <c r="T127">
        <f>HYPERLINK("https://klasma.github.io/Logging_0382/kartor/A 32140-2022 karta.png", "A 32140-2022")</f>
        <v/>
      </c>
      <c r="U127">
        <f>HYPERLINK("https://klasma.github.io/Logging_0382/knärot/A 32140-2022 karta knärot.png", "A 32140-2022")</f>
        <v/>
      </c>
      <c r="V127">
        <f>HYPERLINK("https://klasma.github.io/Logging_0382/klagomål/A 32140-2022 FSC-klagomål.docx", "A 32140-2022")</f>
        <v/>
      </c>
      <c r="W127">
        <f>HYPERLINK("https://klasma.github.io/Logging_0382/klagomålsmail/A 32140-2022 FSC-klagomål mail.docx", "A 32140-2022")</f>
        <v/>
      </c>
      <c r="X127">
        <f>HYPERLINK("https://klasma.github.io/Logging_0382/tillsyn/A 32140-2022 tillsynsbegäran.docx", "A 32140-2022")</f>
        <v/>
      </c>
      <c r="Y127">
        <f>HYPERLINK("https://klasma.github.io/Logging_0382/tillsynsmail/A 32140-2022 tillsynsbegäran mail.docx", "A 32140-2022")</f>
        <v/>
      </c>
      <c r="Z127">
        <f>HYPERLINK("https://klasma.github.io/Logging_0382/fåglar/A 32140-2022 prioriterade fågelarter.docx", "A 32140-2022")</f>
        <v/>
      </c>
    </row>
    <row r="128" ht="15" customHeight="1">
      <c r="A128" t="inlineStr">
        <is>
          <t>A 34459-2022</t>
        </is>
      </c>
      <c r="B128" s="1" t="n">
        <v>44792</v>
      </c>
      <c r="C128" s="1" t="n">
        <v>45832</v>
      </c>
      <c r="D128" t="inlineStr">
        <is>
          <t>UPPSALA LÄN</t>
        </is>
      </c>
      <c r="E128" t="inlineStr">
        <is>
          <t>UPPSALA</t>
        </is>
      </c>
      <c r="F128" t="inlineStr">
        <is>
          <t>Kommuner</t>
        </is>
      </c>
      <c r="G128" t="n">
        <v>2.6</v>
      </c>
      <c r="H128" t="n">
        <v>5</v>
      </c>
      <c r="I128" t="n">
        <v>1</v>
      </c>
      <c r="J128" t="n">
        <v>0</v>
      </c>
      <c r="K128" t="n">
        <v>0</v>
      </c>
      <c r="L128" t="n">
        <v>1</v>
      </c>
      <c r="M128" t="n">
        <v>0</v>
      </c>
      <c r="N128" t="n">
        <v>0</v>
      </c>
      <c r="O128" t="n">
        <v>1</v>
      </c>
      <c r="P128" t="n">
        <v>1</v>
      </c>
      <c r="Q128" t="n">
        <v>6</v>
      </c>
      <c r="R128" s="2" t="inlineStr">
        <is>
          <t>Cinnoberbagge
Svart trolldruva
Åkergroda
Huggorm
Vanlig padda
Vanlig snok</t>
        </is>
      </c>
      <c r="S128">
        <f>HYPERLINK("https://klasma.github.io/Logging_0380/artfynd/A 34459-2022 artfynd.xlsx", "A 34459-2022")</f>
        <v/>
      </c>
      <c r="T128">
        <f>HYPERLINK("https://klasma.github.io/Logging_0380/kartor/A 34459-2022 karta.png", "A 34459-2022")</f>
        <v/>
      </c>
      <c r="V128">
        <f>HYPERLINK("https://klasma.github.io/Logging_0380/klagomål/A 34459-2022 FSC-klagomål.docx", "A 34459-2022")</f>
        <v/>
      </c>
      <c r="W128">
        <f>HYPERLINK("https://klasma.github.io/Logging_0380/klagomålsmail/A 34459-2022 FSC-klagomål mail.docx", "A 34459-2022")</f>
        <v/>
      </c>
      <c r="X128">
        <f>HYPERLINK("https://klasma.github.io/Logging_0380/tillsyn/A 34459-2022 tillsynsbegäran.docx", "A 34459-2022")</f>
        <v/>
      </c>
      <c r="Y128">
        <f>HYPERLINK("https://klasma.github.io/Logging_0380/tillsynsmail/A 34459-2022 tillsynsbegäran mail.docx", "A 34459-2022")</f>
        <v/>
      </c>
    </row>
    <row r="129" ht="15" customHeight="1">
      <c r="A129" t="inlineStr">
        <is>
          <t>A 41020-2022</t>
        </is>
      </c>
      <c r="B129" s="1" t="n">
        <v>44824</v>
      </c>
      <c r="C129" s="1" t="n">
        <v>45832</v>
      </c>
      <c r="D129" t="inlineStr">
        <is>
          <t>UPPSALA LÄN</t>
        </is>
      </c>
      <c r="E129" t="inlineStr">
        <is>
          <t>HEBY</t>
        </is>
      </c>
      <c r="F129" t="inlineStr">
        <is>
          <t>Bergvik skog väst AB</t>
        </is>
      </c>
      <c r="G129" t="n">
        <v>32.8</v>
      </c>
      <c r="H129" t="n">
        <v>3</v>
      </c>
      <c r="I129" t="n">
        <v>2</v>
      </c>
      <c r="J129" t="n">
        <v>2</v>
      </c>
      <c r="K129" t="n">
        <v>1</v>
      </c>
      <c r="L129" t="n">
        <v>0</v>
      </c>
      <c r="M129" t="n">
        <v>0</v>
      </c>
      <c r="N129" t="n">
        <v>0</v>
      </c>
      <c r="O129" t="n">
        <v>3</v>
      </c>
      <c r="P129" t="n">
        <v>1</v>
      </c>
      <c r="Q129" t="n">
        <v>6</v>
      </c>
      <c r="R129" s="2" t="inlineStr">
        <is>
          <t>Knärot
Garnlav
Motaggsvamp
Grönpyrola
Plattlummer
Fläcknycklar</t>
        </is>
      </c>
      <c r="S129">
        <f>HYPERLINK("https://klasma.github.io/Logging_0331/artfynd/A 41020-2022 artfynd.xlsx", "A 41020-2022")</f>
        <v/>
      </c>
      <c r="T129">
        <f>HYPERLINK("https://klasma.github.io/Logging_0331/kartor/A 41020-2022 karta.png", "A 41020-2022")</f>
        <v/>
      </c>
      <c r="U129">
        <f>HYPERLINK("https://klasma.github.io/Logging_0331/knärot/A 41020-2022 karta knärot.png", "A 41020-2022")</f>
        <v/>
      </c>
      <c r="V129">
        <f>HYPERLINK("https://klasma.github.io/Logging_0331/klagomål/A 41020-2022 FSC-klagomål.docx", "A 41020-2022")</f>
        <v/>
      </c>
      <c r="W129">
        <f>HYPERLINK("https://klasma.github.io/Logging_0331/klagomålsmail/A 41020-2022 FSC-klagomål mail.docx", "A 41020-2022")</f>
        <v/>
      </c>
      <c r="X129">
        <f>HYPERLINK("https://klasma.github.io/Logging_0331/tillsyn/A 41020-2022 tillsynsbegäran.docx", "A 41020-2022")</f>
        <v/>
      </c>
      <c r="Y129">
        <f>HYPERLINK("https://klasma.github.io/Logging_0331/tillsynsmail/A 41020-2022 tillsynsbegäran mail.docx", "A 41020-2022")</f>
        <v/>
      </c>
    </row>
    <row r="130" ht="15" customHeight="1">
      <c r="A130" t="inlineStr">
        <is>
          <t>A 62137-2022</t>
        </is>
      </c>
      <c r="B130" s="1" t="n">
        <v>44914</v>
      </c>
      <c r="C130" s="1" t="n">
        <v>45832</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8507-2023</t>
        </is>
      </c>
      <c r="B131" s="1" t="n">
        <v>44977</v>
      </c>
      <c r="C131" s="1" t="n">
        <v>45832</v>
      </c>
      <c r="D131" t="inlineStr">
        <is>
          <t>UPPSALA LÄN</t>
        </is>
      </c>
      <c r="E131" t="inlineStr">
        <is>
          <t>TIERP</t>
        </is>
      </c>
      <c r="F131" t="inlineStr">
        <is>
          <t>Bergvik skog väst AB</t>
        </is>
      </c>
      <c r="G131" t="n">
        <v>7.6</v>
      </c>
      <c r="H131" t="n">
        <v>1</v>
      </c>
      <c r="I131" t="n">
        <v>1</v>
      </c>
      <c r="J131" t="n">
        <v>4</v>
      </c>
      <c r="K131" t="n">
        <v>1</v>
      </c>
      <c r="L131" t="n">
        <v>0</v>
      </c>
      <c r="M131" t="n">
        <v>0</v>
      </c>
      <c r="N131" t="n">
        <v>0</v>
      </c>
      <c r="O131" t="n">
        <v>5</v>
      </c>
      <c r="P131" t="n">
        <v>1</v>
      </c>
      <c r="Q131" t="n">
        <v>6</v>
      </c>
      <c r="R131" s="2" t="inlineStr">
        <is>
          <t>Violgubbe
Dofttaggsvamp
Flattoppad klubbsvamp
Orange taggsvamp
Spillkråka
Dropptaggsvamp</t>
        </is>
      </c>
      <c r="S131">
        <f>HYPERLINK("https://klasma.github.io/Logging_0360/artfynd/A 8507-2023 artfynd.xlsx", "A 8507-2023")</f>
        <v/>
      </c>
      <c r="T131">
        <f>HYPERLINK("https://klasma.github.io/Logging_0360/kartor/A 8507-2023 karta.png", "A 8507-2023")</f>
        <v/>
      </c>
      <c r="V131">
        <f>HYPERLINK("https://klasma.github.io/Logging_0360/klagomål/A 8507-2023 FSC-klagomål.docx", "A 8507-2023")</f>
        <v/>
      </c>
      <c r="W131">
        <f>HYPERLINK("https://klasma.github.io/Logging_0360/klagomålsmail/A 8507-2023 FSC-klagomål mail.docx", "A 8507-2023")</f>
        <v/>
      </c>
      <c r="X131">
        <f>HYPERLINK("https://klasma.github.io/Logging_0360/tillsyn/A 8507-2023 tillsynsbegäran.docx", "A 8507-2023")</f>
        <v/>
      </c>
      <c r="Y131">
        <f>HYPERLINK("https://klasma.github.io/Logging_0360/tillsynsmail/A 8507-2023 tillsynsbegäran mail.docx", "A 8507-2023")</f>
        <v/>
      </c>
      <c r="Z131">
        <f>HYPERLINK("https://klasma.github.io/Logging_0360/fåglar/A 8507-2023 prioriterade fågelarter.docx", "A 8507-2023")</f>
        <v/>
      </c>
    </row>
    <row r="132" ht="15" customHeight="1">
      <c r="A132" t="inlineStr">
        <is>
          <t>A 9126-2023</t>
        </is>
      </c>
      <c r="B132" s="1" t="n">
        <v>44980</v>
      </c>
      <c r="C132" s="1" t="n">
        <v>45832</v>
      </c>
      <c r="D132" t="inlineStr">
        <is>
          <t>UPPSALA LÄN</t>
        </is>
      </c>
      <c r="E132" t="inlineStr">
        <is>
          <t>TIERP</t>
        </is>
      </c>
      <c r="F132" t="inlineStr">
        <is>
          <t>Bergvik skog öst AB</t>
        </is>
      </c>
      <c r="G132" t="n">
        <v>21.8</v>
      </c>
      <c r="H132" t="n">
        <v>6</v>
      </c>
      <c r="I132" t="n">
        <v>0</v>
      </c>
      <c r="J132" t="n">
        <v>1</v>
      </c>
      <c r="K132" t="n">
        <v>1</v>
      </c>
      <c r="L132" t="n">
        <v>0</v>
      </c>
      <c r="M132" t="n">
        <v>0</v>
      </c>
      <c r="N132" t="n">
        <v>0</v>
      </c>
      <c r="O132" t="n">
        <v>2</v>
      </c>
      <c r="P132" t="n">
        <v>1</v>
      </c>
      <c r="Q132" t="n">
        <v>6</v>
      </c>
      <c r="R132" s="2" t="inlineStr">
        <is>
          <t>Knärot
Spillkråka
Tjäder
Skogsödla
Blåsippa
Revlummer</t>
        </is>
      </c>
      <c r="S132">
        <f>HYPERLINK("https://klasma.github.io/Logging_0360/artfynd/A 9126-2023 artfynd.xlsx", "A 9126-2023")</f>
        <v/>
      </c>
      <c r="T132">
        <f>HYPERLINK("https://klasma.github.io/Logging_0360/kartor/A 9126-2023 karta.png", "A 9126-2023")</f>
        <v/>
      </c>
      <c r="U132">
        <f>HYPERLINK("https://klasma.github.io/Logging_0360/knärot/A 9126-2023 karta knärot.png", "A 9126-2023")</f>
        <v/>
      </c>
      <c r="V132">
        <f>HYPERLINK("https://klasma.github.io/Logging_0360/klagomål/A 9126-2023 FSC-klagomål.docx", "A 9126-2023")</f>
        <v/>
      </c>
      <c r="W132">
        <f>HYPERLINK("https://klasma.github.io/Logging_0360/klagomålsmail/A 9126-2023 FSC-klagomål mail.docx", "A 9126-2023")</f>
        <v/>
      </c>
      <c r="X132">
        <f>HYPERLINK("https://klasma.github.io/Logging_0360/tillsyn/A 9126-2023 tillsynsbegäran.docx", "A 9126-2023")</f>
        <v/>
      </c>
      <c r="Y132">
        <f>HYPERLINK("https://klasma.github.io/Logging_0360/tillsynsmail/A 9126-2023 tillsynsbegäran mail.docx", "A 9126-2023")</f>
        <v/>
      </c>
      <c r="Z132">
        <f>HYPERLINK("https://klasma.github.io/Logging_0360/fåglar/A 9126-2023 prioriterade fågelarter.docx", "A 9126-2023")</f>
        <v/>
      </c>
    </row>
    <row r="133" ht="15" customHeight="1">
      <c r="A133" t="inlineStr">
        <is>
          <t>A 23496-2023</t>
        </is>
      </c>
      <c r="B133" s="1" t="n">
        <v>45076</v>
      </c>
      <c r="C133" s="1" t="n">
        <v>45832</v>
      </c>
      <c r="D133" t="inlineStr">
        <is>
          <t>UPPSALA LÄN</t>
        </is>
      </c>
      <c r="E133" t="inlineStr">
        <is>
          <t>ÖSTHAMMAR</t>
        </is>
      </c>
      <c r="F133" t="inlineStr">
        <is>
          <t>Sveaskog</t>
        </is>
      </c>
      <c r="G133" t="n">
        <v>2</v>
      </c>
      <c r="H133" t="n">
        <v>6</v>
      </c>
      <c r="I133" t="n">
        <v>0</v>
      </c>
      <c r="J133" t="n">
        <v>4</v>
      </c>
      <c r="K133" t="n">
        <v>0</v>
      </c>
      <c r="L133" t="n">
        <v>2</v>
      </c>
      <c r="M133" t="n">
        <v>0</v>
      </c>
      <c r="N133" t="n">
        <v>0</v>
      </c>
      <c r="O133" t="n">
        <v>6</v>
      </c>
      <c r="P133" t="n">
        <v>2</v>
      </c>
      <c r="Q133" t="n">
        <v>6</v>
      </c>
      <c r="R133" s="2" t="inlineStr">
        <is>
          <t>Grönfink
Tornseglare
Gulsparv
Svartvit flugsnappare
Sävsparv
Talltita</t>
        </is>
      </c>
      <c r="S133">
        <f>HYPERLINK("https://klasma.github.io/Logging_0382/artfynd/A 23496-2023 artfynd.xlsx", "A 23496-2023")</f>
        <v/>
      </c>
      <c r="T133">
        <f>HYPERLINK("https://klasma.github.io/Logging_0382/kartor/A 23496-2023 karta.png", "A 23496-2023")</f>
        <v/>
      </c>
      <c r="V133">
        <f>HYPERLINK("https://klasma.github.io/Logging_0382/klagomål/A 23496-2023 FSC-klagomål.docx", "A 23496-2023")</f>
        <v/>
      </c>
      <c r="W133">
        <f>HYPERLINK("https://klasma.github.io/Logging_0382/klagomålsmail/A 23496-2023 FSC-klagomål mail.docx", "A 23496-2023")</f>
        <v/>
      </c>
      <c r="X133">
        <f>HYPERLINK("https://klasma.github.io/Logging_0382/tillsyn/A 23496-2023 tillsynsbegäran.docx", "A 23496-2023")</f>
        <v/>
      </c>
      <c r="Y133">
        <f>HYPERLINK("https://klasma.github.io/Logging_0382/tillsynsmail/A 23496-2023 tillsynsbegäran mail.docx", "A 23496-2023")</f>
        <v/>
      </c>
      <c r="Z133">
        <f>HYPERLINK("https://klasma.github.io/Logging_0382/fåglar/A 23496-2023 prioriterade fågelarter.docx", "A 23496-2023")</f>
        <v/>
      </c>
    </row>
    <row r="134" ht="15" customHeight="1">
      <c r="A134" t="inlineStr">
        <is>
          <t>A 48277-2023</t>
        </is>
      </c>
      <c r="B134" s="1" t="n">
        <v>45205</v>
      </c>
      <c r="C134" s="1" t="n">
        <v>45832</v>
      </c>
      <c r="D134" t="inlineStr">
        <is>
          <t>UPPSALA LÄN</t>
        </is>
      </c>
      <c r="E134" t="inlineStr">
        <is>
          <t>ÖSTHAMMAR</t>
        </is>
      </c>
      <c r="G134" t="n">
        <v>4.2</v>
      </c>
      <c r="H134" t="n">
        <v>1</v>
      </c>
      <c r="I134" t="n">
        <v>3</v>
      </c>
      <c r="J134" t="n">
        <v>2</v>
      </c>
      <c r="K134" t="n">
        <v>1</v>
      </c>
      <c r="L134" t="n">
        <v>0</v>
      </c>
      <c r="M134" t="n">
        <v>0</v>
      </c>
      <c r="N134" t="n">
        <v>0</v>
      </c>
      <c r="O134" t="n">
        <v>3</v>
      </c>
      <c r="P134" t="n">
        <v>1</v>
      </c>
      <c r="Q134" t="n">
        <v>6</v>
      </c>
      <c r="R134" s="2" t="inlineStr">
        <is>
          <t>Gul lammticka
Odörspindling
Svart taggsvamp
Nästrot
Sårläka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56374-2023</t>
        </is>
      </c>
      <c r="B135" s="1" t="n">
        <v>45243</v>
      </c>
      <c r="C135" s="1" t="n">
        <v>45832</v>
      </c>
      <c r="D135" t="inlineStr">
        <is>
          <t>UPPSALA LÄN</t>
        </is>
      </c>
      <c r="E135" t="inlineStr">
        <is>
          <t>HEBY</t>
        </is>
      </c>
      <c r="F135" t="inlineStr">
        <is>
          <t>Allmännings- och besparingsskogar</t>
        </is>
      </c>
      <c r="G135" t="n">
        <v>12.9</v>
      </c>
      <c r="H135" t="n">
        <v>4</v>
      </c>
      <c r="I135" t="n">
        <v>1</v>
      </c>
      <c r="J135" t="n">
        <v>3</v>
      </c>
      <c r="K135" t="n">
        <v>1</v>
      </c>
      <c r="L135" t="n">
        <v>0</v>
      </c>
      <c r="M135" t="n">
        <v>0</v>
      </c>
      <c r="N135" t="n">
        <v>0</v>
      </c>
      <c r="O135" t="n">
        <v>4</v>
      </c>
      <c r="P135" t="n">
        <v>1</v>
      </c>
      <c r="Q135" t="n">
        <v>6</v>
      </c>
      <c r="R135" s="2" t="inlineStr">
        <is>
          <t>Knärot
Spillkråka
Talltita
Ullticka
Grönpyrola
Tjäder</t>
        </is>
      </c>
      <c r="S135">
        <f>HYPERLINK("https://klasma.github.io/Logging_0331/artfynd/A 56374-2023 artfynd.xlsx", "A 56374-2023")</f>
        <v/>
      </c>
      <c r="T135">
        <f>HYPERLINK("https://klasma.github.io/Logging_0331/kartor/A 56374-2023 karta.png", "A 56374-2023")</f>
        <v/>
      </c>
      <c r="U135">
        <f>HYPERLINK("https://klasma.github.io/Logging_0331/knärot/A 56374-2023 karta knärot.png", "A 56374-2023")</f>
        <v/>
      </c>
      <c r="V135">
        <f>HYPERLINK("https://klasma.github.io/Logging_0331/klagomål/A 56374-2023 FSC-klagomål.docx", "A 56374-2023")</f>
        <v/>
      </c>
      <c r="W135">
        <f>HYPERLINK("https://klasma.github.io/Logging_0331/klagomålsmail/A 56374-2023 FSC-klagomål mail.docx", "A 56374-2023")</f>
        <v/>
      </c>
      <c r="X135">
        <f>HYPERLINK("https://klasma.github.io/Logging_0331/tillsyn/A 56374-2023 tillsynsbegäran.docx", "A 56374-2023")</f>
        <v/>
      </c>
      <c r="Y135">
        <f>HYPERLINK("https://klasma.github.io/Logging_0331/tillsynsmail/A 56374-2023 tillsynsbegäran mail.docx", "A 56374-2023")</f>
        <v/>
      </c>
      <c r="Z135">
        <f>HYPERLINK("https://klasma.github.io/Logging_0331/fåglar/A 56374-2023 prioriterade fågelarter.docx", "A 56374-2023")</f>
        <v/>
      </c>
    </row>
    <row r="136" ht="15" customHeight="1">
      <c r="A136" t="inlineStr">
        <is>
          <t>A 58015-2023</t>
        </is>
      </c>
      <c r="B136" s="1" t="n">
        <v>45245</v>
      </c>
      <c r="C136" s="1" t="n">
        <v>45832</v>
      </c>
      <c r="D136" t="inlineStr">
        <is>
          <t>UPPSALA LÄN</t>
        </is>
      </c>
      <c r="E136" t="inlineStr">
        <is>
          <t>UPPSALA</t>
        </is>
      </c>
      <c r="G136" t="n">
        <v>12.8</v>
      </c>
      <c r="H136" t="n">
        <v>0</v>
      </c>
      <c r="I136" t="n">
        <v>4</v>
      </c>
      <c r="J136" t="n">
        <v>2</v>
      </c>
      <c r="K136" t="n">
        <v>0</v>
      </c>
      <c r="L136" t="n">
        <v>0</v>
      </c>
      <c r="M136" t="n">
        <v>0</v>
      </c>
      <c r="N136" t="n">
        <v>0</v>
      </c>
      <c r="O136" t="n">
        <v>2</v>
      </c>
      <c r="P136" t="n">
        <v>0</v>
      </c>
      <c r="Q136" t="n">
        <v>6</v>
      </c>
      <c r="R136" s="2" t="inlineStr">
        <is>
          <t>Kandelabersvamp
Orange taggsvamp
Dropptaggsvamp
Fjällig taggsvamp s.str.
Svavelriska
Trådticka</t>
        </is>
      </c>
      <c r="S136">
        <f>HYPERLINK("https://klasma.github.io/Logging_0380/artfynd/A 58015-2023 artfynd.xlsx", "A 58015-2023")</f>
        <v/>
      </c>
      <c r="T136">
        <f>HYPERLINK("https://klasma.github.io/Logging_0380/kartor/A 58015-2023 karta.png", "A 58015-2023")</f>
        <v/>
      </c>
      <c r="V136">
        <f>HYPERLINK("https://klasma.github.io/Logging_0380/klagomål/A 58015-2023 FSC-klagomål.docx", "A 58015-2023")</f>
        <v/>
      </c>
      <c r="W136">
        <f>HYPERLINK("https://klasma.github.io/Logging_0380/klagomålsmail/A 58015-2023 FSC-klagomål mail.docx", "A 58015-2023")</f>
        <v/>
      </c>
      <c r="X136">
        <f>HYPERLINK("https://klasma.github.io/Logging_0380/tillsyn/A 58015-2023 tillsynsbegäran.docx", "A 58015-2023")</f>
        <v/>
      </c>
      <c r="Y136">
        <f>HYPERLINK("https://klasma.github.io/Logging_0380/tillsynsmail/A 58015-2023 tillsynsbegäran mail.docx", "A 58015-2023")</f>
        <v/>
      </c>
    </row>
    <row r="137" ht="15" customHeight="1">
      <c r="A137" t="inlineStr">
        <is>
          <t>A 58884-2023</t>
        </is>
      </c>
      <c r="B137" s="1" t="n">
        <v>45252</v>
      </c>
      <c r="C137" s="1" t="n">
        <v>45832</v>
      </c>
      <c r="D137" t="inlineStr">
        <is>
          <t>UPPSALA LÄN</t>
        </is>
      </c>
      <c r="E137" t="inlineStr">
        <is>
          <t>TIERP</t>
        </is>
      </c>
      <c r="G137" t="n">
        <v>3.4</v>
      </c>
      <c r="H137" t="n">
        <v>0</v>
      </c>
      <c r="I137" t="n">
        <v>5</v>
      </c>
      <c r="J137" t="n">
        <v>0</v>
      </c>
      <c r="K137" t="n">
        <v>1</v>
      </c>
      <c r="L137" t="n">
        <v>0</v>
      </c>
      <c r="M137" t="n">
        <v>0</v>
      </c>
      <c r="N137" t="n">
        <v>0</v>
      </c>
      <c r="O137" t="n">
        <v>1</v>
      </c>
      <c r="P137" t="n">
        <v>1</v>
      </c>
      <c r="Q137" t="n">
        <v>6</v>
      </c>
      <c r="R137" s="2" t="inlineStr">
        <is>
          <t>Kopparspindling
Anisspindling
Barrfagerspindling
Fjällig taggsvamp s.str.
Olivspindling
Rödgul trumpetsvamp</t>
        </is>
      </c>
      <c r="S137">
        <f>HYPERLINK("https://klasma.github.io/Logging_0360/artfynd/A 58884-2023 artfynd.xlsx", "A 58884-2023")</f>
        <v/>
      </c>
      <c r="T137">
        <f>HYPERLINK("https://klasma.github.io/Logging_0360/kartor/A 58884-2023 karta.png", "A 58884-2023")</f>
        <v/>
      </c>
      <c r="V137">
        <f>HYPERLINK("https://klasma.github.io/Logging_0360/klagomål/A 58884-2023 FSC-klagomål.docx", "A 58884-2023")</f>
        <v/>
      </c>
      <c r="W137">
        <f>HYPERLINK("https://klasma.github.io/Logging_0360/klagomålsmail/A 58884-2023 FSC-klagomål mail.docx", "A 58884-2023")</f>
        <v/>
      </c>
      <c r="X137">
        <f>HYPERLINK("https://klasma.github.io/Logging_0360/tillsyn/A 58884-2023 tillsynsbegäran.docx", "A 58884-2023")</f>
        <v/>
      </c>
      <c r="Y137">
        <f>HYPERLINK("https://klasma.github.io/Logging_0360/tillsynsmail/A 58884-2023 tillsynsbegäran mail.docx", "A 58884-2023")</f>
        <v/>
      </c>
    </row>
    <row r="138" ht="15" customHeight="1">
      <c r="A138" t="inlineStr">
        <is>
          <t>A 1303-2024</t>
        </is>
      </c>
      <c r="B138" s="1" t="n">
        <v>45303</v>
      </c>
      <c r="C138" s="1" t="n">
        <v>45832</v>
      </c>
      <c r="D138" t="inlineStr">
        <is>
          <t>UPPSALA LÄN</t>
        </is>
      </c>
      <c r="E138" t="inlineStr">
        <is>
          <t>ÖSTHAMMAR</t>
        </is>
      </c>
      <c r="F138" t="inlineStr">
        <is>
          <t>Övriga Aktiebolag</t>
        </is>
      </c>
      <c r="G138" t="n">
        <v>19.5</v>
      </c>
      <c r="H138" t="n">
        <v>2</v>
      </c>
      <c r="I138" t="n">
        <v>3</v>
      </c>
      <c r="J138" t="n">
        <v>1</v>
      </c>
      <c r="K138" t="n">
        <v>0</v>
      </c>
      <c r="L138" t="n">
        <v>0</v>
      </c>
      <c r="M138" t="n">
        <v>0</v>
      </c>
      <c r="N138" t="n">
        <v>0</v>
      </c>
      <c r="O138" t="n">
        <v>1</v>
      </c>
      <c r="P138" t="n">
        <v>0</v>
      </c>
      <c r="Q138" t="n">
        <v>6</v>
      </c>
      <c r="R138" s="2" t="inlineStr">
        <is>
          <t>Dofttaggsvamp
Kamjordstjärna
Rödgul trumpetsvamp
Vårärt
Blåsippa
Revlummer</t>
        </is>
      </c>
      <c r="S138">
        <f>HYPERLINK("https://klasma.github.io/Logging_0382/artfynd/A 1303-2024 artfynd.xlsx", "A 1303-2024")</f>
        <v/>
      </c>
      <c r="T138">
        <f>HYPERLINK("https://klasma.github.io/Logging_0382/kartor/A 1303-2024 karta.png", "A 1303-2024")</f>
        <v/>
      </c>
      <c r="V138">
        <f>HYPERLINK("https://klasma.github.io/Logging_0382/klagomål/A 1303-2024 FSC-klagomål.docx", "A 1303-2024")</f>
        <v/>
      </c>
      <c r="W138">
        <f>HYPERLINK("https://klasma.github.io/Logging_0382/klagomålsmail/A 1303-2024 FSC-klagomål mail.docx", "A 1303-2024")</f>
        <v/>
      </c>
      <c r="X138">
        <f>HYPERLINK("https://klasma.github.io/Logging_0382/tillsyn/A 1303-2024 tillsynsbegäran.docx", "A 1303-2024")</f>
        <v/>
      </c>
      <c r="Y138">
        <f>HYPERLINK("https://klasma.github.io/Logging_0382/tillsynsmail/A 1303-2024 tillsynsbegäran mail.docx", "A 1303-2024")</f>
        <v/>
      </c>
    </row>
    <row r="139" ht="15" customHeight="1">
      <c r="A139" t="inlineStr">
        <is>
          <t>A 2163-2024</t>
        </is>
      </c>
      <c r="B139" s="1" t="n">
        <v>45309</v>
      </c>
      <c r="C139" s="1" t="n">
        <v>45832</v>
      </c>
      <c r="D139" t="inlineStr">
        <is>
          <t>UPPSALA LÄN</t>
        </is>
      </c>
      <c r="E139" t="inlineStr">
        <is>
          <t>KNIVSTA</t>
        </is>
      </c>
      <c r="F139" t="inlineStr">
        <is>
          <t>Holmen skog AB</t>
        </is>
      </c>
      <c r="G139" t="n">
        <v>16.4</v>
      </c>
      <c r="H139" t="n">
        <v>0</v>
      </c>
      <c r="I139" t="n">
        <v>4</v>
      </c>
      <c r="J139" t="n">
        <v>2</v>
      </c>
      <c r="K139" t="n">
        <v>0</v>
      </c>
      <c r="L139" t="n">
        <v>0</v>
      </c>
      <c r="M139" t="n">
        <v>0</v>
      </c>
      <c r="N139" t="n">
        <v>0</v>
      </c>
      <c r="O139" t="n">
        <v>2</v>
      </c>
      <c r="P139" t="n">
        <v>0</v>
      </c>
      <c r="Q139" t="n">
        <v>6</v>
      </c>
      <c r="R139" s="2" t="inlineStr">
        <is>
          <t>Tallticka
Vedtrappmossa
Mörk husmossa
Svavelriska
Trind spretmossa
Vedticka</t>
        </is>
      </c>
      <c r="S139">
        <f>HYPERLINK("https://klasma.github.io/Logging_0330/artfynd/A 2163-2024 artfynd.xlsx", "A 2163-2024")</f>
        <v/>
      </c>
      <c r="T139">
        <f>HYPERLINK("https://klasma.github.io/Logging_0330/kartor/A 2163-2024 karta.png", "A 2163-2024")</f>
        <v/>
      </c>
      <c r="V139">
        <f>HYPERLINK("https://klasma.github.io/Logging_0330/klagomål/A 2163-2024 FSC-klagomål.docx", "A 2163-2024")</f>
        <v/>
      </c>
      <c r="W139">
        <f>HYPERLINK("https://klasma.github.io/Logging_0330/klagomålsmail/A 2163-2024 FSC-klagomål mail.docx", "A 2163-2024")</f>
        <v/>
      </c>
      <c r="X139">
        <f>HYPERLINK("https://klasma.github.io/Logging_0330/tillsyn/A 2163-2024 tillsynsbegäran.docx", "A 2163-2024")</f>
        <v/>
      </c>
      <c r="Y139">
        <f>HYPERLINK("https://klasma.github.io/Logging_0330/tillsynsmail/A 2163-2024 tillsynsbegäran mail.docx", "A 2163-2024")</f>
        <v/>
      </c>
    </row>
    <row r="140" ht="15" customHeight="1">
      <c r="A140" t="inlineStr">
        <is>
          <t>A 50464-2024</t>
        </is>
      </c>
      <c r="B140" s="1" t="n">
        <v>45601</v>
      </c>
      <c r="C140" s="1" t="n">
        <v>45832</v>
      </c>
      <c r="D140" t="inlineStr">
        <is>
          <t>UPPSALA LÄN</t>
        </is>
      </c>
      <c r="E140" t="inlineStr">
        <is>
          <t>HEBY</t>
        </is>
      </c>
      <c r="G140" t="n">
        <v>6.8</v>
      </c>
      <c r="H140" t="n">
        <v>3</v>
      </c>
      <c r="I140" t="n">
        <v>2</v>
      </c>
      <c r="J140" t="n">
        <v>2</v>
      </c>
      <c r="K140" t="n">
        <v>1</v>
      </c>
      <c r="L140" t="n">
        <v>0</v>
      </c>
      <c r="M140" t="n">
        <v>0</v>
      </c>
      <c r="N140" t="n">
        <v>0</v>
      </c>
      <c r="O140" t="n">
        <v>3</v>
      </c>
      <c r="P140" t="n">
        <v>1</v>
      </c>
      <c r="Q140" t="n">
        <v>6</v>
      </c>
      <c r="R140" s="2" t="inlineStr">
        <is>
          <t>Knärot
Brunpudrad nållav
Spillkråka
Grönpyrola
Thomsons trägnagare
Revlummer</t>
        </is>
      </c>
      <c r="S140">
        <f>HYPERLINK("https://klasma.github.io/Logging_0331/artfynd/A 50464-2024 artfynd.xlsx", "A 50464-2024")</f>
        <v/>
      </c>
      <c r="T140">
        <f>HYPERLINK("https://klasma.github.io/Logging_0331/kartor/A 50464-2024 karta.png", "A 50464-2024")</f>
        <v/>
      </c>
      <c r="U140">
        <f>HYPERLINK("https://klasma.github.io/Logging_0331/knärot/A 50464-2024 karta knärot.png", "A 50464-2024")</f>
        <v/>
      </c>
      <c r="V140">
        <f>HYPERLINK("https://klasma.github.io/Logging_0331/klagomål/A 50464-2024 FSC-klagomål.docx", "A 50464-2024")</f>
        <v/>
      </c>
      <c r="W140">
        <f>HYPERLINK("https://klasma.github.io/Logging_0331/klagomålsmail/A 50464-2024 FSC-klagomål mail.docx", "A 50464-2024")</f>
        <v/>
      </c>
      <c r="X140">
        <f>HYPERLINK("https://klasma.github.io/Logging_0331/tillsyn/A 50464-2024 tillsynsbegäran.docx", "A 50464-2024")</f>
        <v/>
      </c>
      <c r="Y140">
        <f>HYPERLINK("https://klasma.github.io/Logging_0331/tillsynsmail/A 50464-2024 tillsynsbegäran mail.docx", "A 50464-2024")</f>
        <v/>
      </c>
      <c r="Z140">
        <f>HYPERLINK("https://klasma.github.io/Logging_0331/fåglar/A 50464-2024 prioriterade fågelarter.docx", "A 50464-2024")</f>
        <v/>
      </c>
    </row>
    <row r="141" ht="15" customHeight="1">
      <c r="A141" t="inlineStr">
        <is>
          <t>A 54808-2024</t>
        </is>
      </c>
      <c r="B141" s="1" t="n">
        <v>45618</v>
      </c>
      <c r="C141" s="1" t="n">
        <v>45832</v>
      </c>
      <c r="D141" t="inlineStr">
        <is>
          <t>UPPSALA LÄN</t>
        </is>
      </c>
      <c r="E141" t="inlineStr">
        <is>
          <t>HEBY</t>
        </is>
      </c>
      <c r="G141" t="n">
        <v>3.2</v>
      </c>
      <c r="H141" t="n">
        <v>5</v>
      </c>
      <c r="I141" t="n">
        <v>1</v>
      </c>
      <c r="J141" t="n">
        <v>3</v>
      </c>
      <c r="K141" t="n">
        <v>1</v>
      </c>
      <c r="L141" t="n">
        <v>0</v>
      </c>
      <c r="M141" t="n">
        <v>0</v>
      </c>
      <c r="N141" t="n">
        <v>0</v>
      </c>
      <c r="O141" t="n">
        <v>4</v>
      </c>
      <c r="P141" t="n">
        <v>1</v>
      </c>
      <c r="Q141" t="n">
        <v>6</v>
      </c>
      <c r="R141" s="2" t="inlineStr">
        <is>
          <t>Knärot
Spillkråka
Talltita
Ärtsångare
Flagellkvastmossa
Pärluggla</t>
        </is>
      </c>
      <c r="S141">
        <f>HYPERLINK("https://klasma.github.io/Logging_0331/artfynd/A 54808-2024 artfynd.xlsx", "A 54808-2024")</f>
        <v/>
      </c>
      <c r="T141">
        <f>HYPERLINK("https://klasma.github.io/Logging_0331/kartor/A 54808-2024 karta.png", "A 54808-2024")</f>
        <v/>
      </c>
      <c r="U141">
        <f>HYPERLINK("https://klasma.github.io/Logging_0331/knärot/A 54808-2024 karta knärot.png", "A 54808-2024")</f>
        <v/>
      </c>
      <c r="V141">
        <f>HYPERLINK("https://klasma.github.io/Logging_0331/klagomål/A 54808-2024 FSC-klagomål.docx", "A 54808-2024")</f>
        <v/>
      </c>
      <c r="W141">
        <f>HYPERLINK("https://klasma.github.io/Logging_0331/klagomålsmail/A 54808-2024 FSC-klagomål mail.docx", "A 54808-2024")</f>
        <v/>
      </c>
      <c r="X141">
        <f>HYPERLINK("https://klasma.github.io/Logging_0331/tillsyn/A 54808-2024 tillsynsbegäran.docx", "A 54808-2024")</f>
        <v/>
      </c>
      <c r="Y141">
        <f>HYPERLINK("https://klasma.github.io/Logging_0331/tillsynsmail/A 54808-2024 tillsynsbegäran mail.docx", "A 54808-2024")</f>
        <v/>
      </c>
      <c r="Z141">
        <f>HYPERLINK("https://klasma.github.io/Logging_0331/fåglar/A 54808-2024 prioriterade fågelarter.docx", "A 54808-2024")</f>
        <v/>
      </c>
    </row>
    <row r="142" ht="15" customHeight="1">
      <c r="A142" t="inlineStr">
        <is>
          <t>A 55237-2024</t>
        </is>
      </c>
      <c r="B142" s="1" t="n">
        <v>45621</v>
      </c>
      <c r="C142" s="1" t="n">
        <v>45832</v>
      </c>
      <c r="D142" t="inlineStr">
        <is>
          <t>UPPSALA LÄN</t>
        </is>
      </c>
      <c r="E142" t="inlineStr">
        <is>
          <t>HEBY</t>
        </is>
      </c>
      <c r="G142" t="n">
        <v>5.1</v>
      </c>
      <c r="H142" t="n">
        <v>2</v>
      </c>
      <c r="I142" t="n">
        <v>1</v>
      </c>
      <c r="J142" t="n">
        <v>3</v>
      </c>
      <c r="K142" t="n">
        <v>0</v>
      </c>
      <c r="L142" t="n">
        <v>0</v>
      </c>
      <c r="M142" t="n">
        <v>0</v>
      </c>
      <c r="N142" t="n">
        <v>0</v>
      </c>
      <c r="O142" t="n">
        <v>3</v>
      </c>
      <c r="P142" t="n">
        <v>0</v>
      </c>
      <c r="Q142" t="n">
        <v>6</v>
      </c>
      <c r="R142" s="2" t="inlineStr">
        <is>
          <t>Garnlav
Kolflarnlav
Motaggsvamp
Skarp dropptaggsvamp
Tjäder
Fläcknycklar</t>
        </is>
      </c>
      <c r="S142">
        <f>HYPERLINK("https://klasma.github.io/Logging_0331/artfynd/A 55237-2024 artfynd.xlsx", "A 55237-2024")</f>
        <v/>
      </c>
      <c r="T142">
        <f>HYPERLINK("https://klasma.github.io/Logging_0331/kartor/A 55237-2024 karta.png", "A 55237-2024")</f>
        <v/>
      </c>
      <c r="V142">
        <f>HYPERLINK("https://klasma.github.io/Logging_0331/klagomål/A 55237-2024 FSC-klagomål.docx", "A 55237-2024")</f>
        <v/>
      </c>
      <c r="W142">
        <f>HYPERLINK("https://klasma.github.io/Logging_0331/klagomålsmail/A 55237-2024 FSC-klagomål mail.docx", "A 55237-2024")</f>
        <v/>
      </c>
      <c r="X142">
        <f>HYPERLINK("https://klasma.github.io/Logging_0331/tillsyn/A 55237-2024 tillsynsbegäran.docx", "A 55237-2024")</f>
        <v/>
      </c>
      <c r="Y142">
        <f>HYPERLINK("https://klasma.github.io/Logging_0331/tillsynsmail/A 55237-2024 tillsynsbegäran mail.docx", "A 55237-2024")</f>
        <v/>
      </c>
      <c r="Z142">
        <f>HYPERLINK("https://klasma.github.io/Logging_0331/fåglar/A 55237-2024 prioriterade fågelarter.docx", "A 55237-2024")</f>
        <v/>
      </c>
    </row>
    <row r="143" ht="15" customHeight="1">
      <c r="A143" t="inlineStr">
        <is>
          <t>A 3949-2025</t>
        </is>
      </c>
      <c r="B143" s="1" t="n">
        <v>45684</v>
      </c>
      <c r="C143" s="1" t="n">
        <v>45832</v>
      </c>
      <c r="D143" t="inlineStr">
        <is>
          <t>UPPSALA LÄN</t>
        </is>
      </c>
      <c r="E143" t="inlineStr">
        <is>
          <t>ÄLVKARLEBY</t>
        </is>
      </c>
      <c r="G143" t="n">
        <v>5.2</v>
      </c>
      <c r="H143" t="n">
        <v>6</v>
      </c>
      <c r="I143" t="n">
        <v>2</v>
      </c>
      <c r="J143" t="n">
        <v>0</v>
      </c>
      <c r="K143" t="n">
        <v>0</v>
      </c>
      <c r="L143" t="n">
        <v>0</v>
      </c>
      <c r="M143" t="n">
        <v>0</v>
      </c>
      <c r="N143" t="n">
        <v>0</v>
      </c>
      <c r="O143" t="n">
        <v>0</v>
      </c>
      <c r="P143" t="n">
        <v>0</v>
      </c>
      <c r="Q143" t="n">
        <v>6</v>
      </c>
      <c r="R143" s="2" t="inlineStr">
        <is>
          <t>Skogsknipprot
Tvåblad
Fläcknycklar
Kärrknipprot
Nattviol
Ängsnycklar</t>
        </is>
      </c>
      <c r="S143">
        <f>HYPERLINK("https://klasma.github.io/Logging_0319/artfynd/A 3949-2025 artfynd.xlsx", "A 3949-2025")</f>
        <v/>
      </c>
      <c r="T143">
        <f>HYPERLINK("https://klasma.github.io/Logging_0319/kartor/A 3949-2025 karta.png", "A 3949-2025")</f>
        <v/>
      </c>
      <c r="V143">
        <f>HYPERLINK("https://klasma.github.io/Logging_0319/klagomål/A 3949-2025 FSC-klagomål.docx", "A 3949-2025")</f>
        <v/>
      </c>
      <c r="W143">
        <f>HYPERLINK("https://klasma.github.io/Logging_0319/klagomålsmail/A 3949-2025 FSC-klagomål mail.docx", "A 3949-2025")</f>
        <v/>
      </c>
      <c r="X143">
        <f>HYPERLINK("https://klasma.github.io/Logging_0319/tillsyn/A 3949-2025 tillsynsbegäran.docx", "A 3949-2025")</f>
        <v/>
      </c>
      <c r="Y143">
        <f>HYPERLINK("https://klasma.github.io/Logging_0319/tillsynsmail/A 3949-2025 tillsynsbegäran mail.docx", "A 3949-2025")</f>
        <v/>
      </c>
    </row>
    <row r="144" ht="15" customHeight="1">
      <c r="A144" t="inlineStr">
        <is>
          <t>A 22010-2025</t>
        </is>
      </c>
      <c r="B144" s="1" t="n">
        <v>45784</v>
      </c>
      <c r="C144" s="1" t="n">
        <v>45832</v>
      </c>
      <c r="D144" t="inlineStr">
        <is>
          <t>UPPSALA LÄN</t>
        </is>
      </c>
      <c r="E144" t="inlineStr">
        <is>
          <t>HÅBO</t>
        </is>
      </c>
      <c r="F144" t="inlineStr">
        <is>
          <t>Kyrkan</t>
        </is>
      </c>
      <c r="G144" t="n">
        <v>2.8</v>
      </c>
      <c r="H144" t="n">
        <v>1</v>
      </c>
      <c r="I144" t="n">
        <v>1</v>
      </c>
      <c r="J144" t="n">
        <v>4</v>
      </c>
      <c r="K144" t="n">
        <v>1</v>
      </c>
      <c r="L144" t="n">
        <v>0</v>
      </c>
      <c r="M144" t="n">
        <v>0</v>
      </c>
      <c r="N144" t="n">
        <v>0</v>
      </c>
      <c r="O144" t="n">
        <v>5</v>
      </c>
      <c r="P144" t="n">
        <v>1</v>
      </c>
      <c r="Q144" t="n">
        <v>6</v>
      </c>
      <c r="R144" s="2" t="inlineStr">
        <is>
          <t>Backsippa
Axveronika
Backtimjan
Flentimotej
Sminkrot
Vårärt</t>
        </is>
      </c>
      <c r="S144">
        <f>HYPERLINK("https://klasma.github.io/Logging_030305/artfynd/A 22010-2025 artfynd.xlsx", "A 22010-2025")</f>
        <v/>
      </c>
      <c r="T144">
        <f>HYPERLINK("https://klasma.github.io/Logging_030305/kartor/A 22010-2025 karta.png", "A 22010-2025")</f>
        <v/>
      </c>
      <c r="V144">
        <f>HYPERLINK("https://klasma.github.io/Logging_030305/klagomål/A 22010-2025 FSC-klagomål.docx", "A 22010-2025")</f>
        <v/>
      </c>
      <c r="W144">
        <f>HYPERLINK("https://klasma.github.io/Logging_030305/klagomålsmail/A 22010-2025 FSC-klagomål mail.docx", "A 22010-2025")</f>
        <v/>
      </c>
      <c r="X144">
        <f>HYPERLINK("https://klasma.github.io/Logging_030305/tillsyn/A 22010-2025 tillsynsbegäran.docx", "A 22010-2025")</f>
        <v/>
      </c>
      <c r="Y144">
        <f>HYPERLINK("https://klasma.github.io/Logging_030305/tillsynsmail/A 22010-2025 tillsynsbegäran mail.docx", "A 22010-2025")</f>
        <v/>
      </c>
    </row>
    <row r="145" ht="15" customHeight="1">
      <c r="A145" t="inlineStr">
        <is>
          <t>A 26681-2025</t>
        </is>
      </c>
      <c r="B145" s="1" t="n">
        <v>45810</v>
      </c>
      <c r="C145" s="1" t="n">
        <v>45832</v>
      </c>
      <c r="D145" t="inlineStr">
        <is>
          <t>UPPSALA LÄN</t>
        </is>
      </c>
      <c r="E145" t="inlineStr">
        <is>
          <t>ÄLVKARLEBY</t>
        </is>
      </c>
      <c r="F145" t="inlineStr">
        <is>
          <t>Bergvik skog väst AB</t>
        </is>
      </c>
      <c r="G145" t="n">
        <v>3.4</v>
      </c>
      <c r="H145" t="n">
        <v>4</v>
      </c>
      <c r="I145" t="n">
        <v>4</v>
      </c>
      <c r="J145" t="n">
        <v>0</v>
      </c>
      <c r="K145" t="n">
        <v>0</v>
      </c>
      <c r="L145" t="n">
        <v>1</v>
      </c>
      <c r="M145" t="n">
        <v>0</v>
      </c>
      <c r="N145" t="n">
        <v>0</v>
      </c>
      <c r="O145" t="n">
        <v>1</v>
      </c>
      <c r="P145" t="n">
        <v>1</v>
      </c>
      <c r="Q145" t="n">
        <v>6</v>
      </c>
      <c r="R145" s="2" t="inlineStr">
        <is>
          <t>Ask
Nästrot
Skogsknipprot
Tibast
Tvåblad
Gullviva</t>
        </is>
      </c>
      <c r="S145">
        <f>HYPERLINK("https://klasma.github.io/Logging_030319/artfynd/A 26681-2025 artfynd.xlsx", "A 26681-2025")</f>
        <v/>
      </c>
      <c r="T145">
        <f>HYPERLINK("https://klasma.github.io/Logging_030319/kartor/A 26681-2025 karta.png", "A 26681-2025")</f>
        <v/>
      </c>
      <c r="V145">
        <f>HYPERLINK("https://klasma.github.io/Logging_030319/klagomål/A 26681-2025 FSC-klagomål.docx", "A 26681-2025")</f>
        <v/>
      </c>
      <c r="W145">
        <f>HYPERLINK("https://klasma.github.io/Logging_030319/klagomålsmail/A 26681-2025 FSC-klagomål mail.docx", "A 26681-2025")</f>
        <v/>
      </c>
      <c r="X145">
        <f>HYPERLINK("https://klasma.github.io/Logging_030319/tillsyn/A 26681-2025 tillsynsbegäran.docx", "A 26681-2025")</f>
        <v/>
      </c>
      <c r="Y145">
        <f>HYPERLINK("https://klasma.github.io/Logging_030319/tillsynsmail/A 26681-2025 tillsynsbegäran mail.docx", "A 26681-2025")</f>
        <v/>
      </c>
    </row>
    <row r="146" ht="15" customHeight="1">
      <c r="A146" t="inlineStr">
        <is>
          <t>A 31098-2019</t>
        </is>
      </c>
      <c r="B146" s="1" t="n">
        <v>43635</v>
      </c>
      <c r="C146" s="1" t="n">
        <v>45832</v>
      </c>
      <c r="D146" t="inlineStr">
        <is>
          <t>UPPSALA LÄN</t>
        </is>
      </c>
      <c r="E146" t="inlineStr">
        <is>
          <t>ÖSTHAMMAR</t>
        </is>
      </c>
      <c r="F146" t="inlineStr">
        <is>
          <t>Övriga statliga verk och myndigheter</t>
        </is>
      </c>
      <c r="G146" t="n">
        <v>6.9</v>
      </c>
      <c r="H146" t="n">
        <v>5</v>
      </c>
      <c r="I146" t="n">
        <v>0</v>
      </c>
      <c r="J146" t="n">
        <v>5</v>
      </c>
      <c r="K146" t="n">
        <v>0</v>
      </c>
      <c r="L146" t="n">
        <v>0</v>
      </c>
      <c r="M146" t="n">
        <v>0</v>
      </c>
      <c r="N146" t="n">
        <v>0</v>
      </c>
      <c r="O146" t="n">
        <v>5</v>
      </c>
      <c r="P146" t="n">
        <v>0</v>
      </c>
      <c r="Q146" t="n">
        <v>5</v>
      </c>
      <c r="R146" s="2" t="inlineStr">
        <is>
          <t>Grönsångare
Rödvingetrast
Skrattmås
Svartvit flugsnappare
Ärtsångare</t>
        </is>
      </c>
      <c r="S146">
        <f>HYPERLINK("https://klasma.github.io/Logging_0382/artfynd/A 31098-2019 artfynd.xlsx", "A 31098-2019")</f>
        <v/>
      </c>
      <c r="T146">
        <f>HYPERLINK("https://klasma.github.io/Logging_0382/kartor/A 31098-2019 karta.png", "A 31098-2019")</f>
        <v/>
      </c>
      <c r="V146">
        <f>HYPERLINK("https://klasma.github.io/Logging_0382/klagomål/A 31098-2019 FSC-klagomål.docx", "A 31098-2019")</f>
        <v/>
      </c>
      <c r="W146">
        <f>HYPERLINK("https://klasma.github.io/Logging_0382/klagomålsmail/A 31098-2019 FSC-klagomål mail.docx", "A 31098-2019")</f>
        <v/>
      </c>
      <c r="X146">
        <f>HYPERLINK("https://klasma.github.io/Logging_0382/tillsyn/A 31098-2019 tillsynsbegäran.docx", "A 31098-2019")</f>
        <v/>
      </c>
      <c r="Y146">
        <f>HYPERLINK("https://klasma.github.io/Logging_0382/tillsynsmail/A 31098-2019 tillsynsbegäran mail.docx", "A 31098-2019")</f>
        <v/>
      </c>
      <c r="Z146">
        <f>HYPERLINK("https://klasma.github.io/Logging_0382/fåglar/A 31098-2019 prioriterade fågelarter.docx", "A 31098-2019")</f>
        <v/>
      </c>
    </row>
    <row r="147" ht="15" customHeight="1">
      <c r="A147" t="inlineStr">
        <is>
          <t>A 61354-2019</t>
        </is>
      </c>
      <c r="B147" s="1" t="n">
        <v>43783</v>
      </c>
      <c r="C147" s="1" t="n">
        <v>45832</v>
      </c>
      <c r="D147" t="inlineStr">
        <is>
          <t>UPPSALA LÄN</t>
        </is>
      </c>
      <c r="E147" t="inlineStr">
        <is>
          <t>ÄLVKARLEBY</t>
        </is>
      </c>
      <c r="F147" t="inlineStr">
        <is>
          <t>Bergvik skog väst AB</t>
        </is>
      </c>
      <c r="G147" t="n">
        <v>4.9</v>
      </c>
      <c r="H147" t="n">
        <v>4</v>
      </c>
      <c r="I147" t="n">
        <v>3</v>
      </c>
      <c r="J147" t="n">
        <v>0</v>
      </c>
      <c r="K147" t="n">
        <v>0</v>
      </c>
      <c r="L147" t="n">
        <v>0</v>
      </c>
      <c r="M147" t="n">
        <v>0</v>
      </c>
      <c r="N147" t="n">
        <v>0</v>
      </c>
      <c r="O147" t="n">
        <v>0</v>
      </c>
      <c r="P147" t="n">
        <v>0</v>
      </c>
      <c r="Q147" t="n">
        <v>5</v>
      </c>
      <c r="R147" s="2" t="inlineStr">
        <is>
          <t>Olivspindling
Skogsknipprot
Tvåblad
Dactylorhiza incarnata subsp. incarnata
Fläcknycklar</t>
        </is>
      </c>
      <c r="S147">
        <f>HYPERLINK("https://klasma.github.io/Logging_0319/artfynd/A 61354-2019 artfynd.xlsx", "A 61354-2019")</f>
        <v/>
      </c>
      <c r="T147">
        <f>HYPERLINK("https://klasma.github.io/Logging_0319/kartor/A 61354-2019 karta.png", "A 61354-2019")</f>
        <v/>
      </c>
      <c r="V147">
        <f>HYPERLINK("https://klasma.github.io/Logging_0319/klagomål/A 61354-2019 FSC-klagomål.docx", "A 61354-2019")</f>
        <v/>
      </c>
      <c r="W147">
        <f>HYPERLINK("https://klasma.github.io/Logging_0319/klagomålsmail/A 61354-2019 FSC-klagomål mail.docx", "A 61354-2019")</f>
        <v/>
      </c>
      <c r="X147">
        <f>HYPERLINK("https://klasma.github.io/Logging_0319/tillsyn/A 61354-2019 tillsynsbegäran.docx", "A 61354-2019")</f>
        <v/>
      </c>
      <c r="Y147">
        <f>HYPERLINK("https://klasma.github.io/Logging_0319/tillsynsmail/A 61354-2019 tillsynsbegäran mail.docx", "A 61354-2019")</f>
        <v/>
      </c>
    </row>
    <row r="148" ht="15" customHeight="1">
      <c r="A148" t="inlineStr">
        <is>
          <t>A 67522-2019</t>
        </is>
      </c>
      <c r="B148" s="1" t="n">
        <v>43814</v>
      </c>
      <c r="C148" s="1" t="n">
        <v>45832</v>
      </c>
      <c r="D148" t="inlineStr">
        <is>
          <t>UPPSALA LÄN</t>
        </is>
      </c>
      <c r="E148" t="inlineStr">
        <is>
          <t>UPPSALA</t>
        </is>
      </c>
      <c r="F148" t="inlineStr">
        <is>
          <t>Allmännings- och besparingsskogar</t>
        </is>
      </c>
      <c r="G148" t="n">
        <v>27.9</v>
      </c>
      <c r="H148" t="n">
        <v>0</v>
      </c>
      <c r="I148" t="n">
        <v>3</v>
      </c>
      <c r="J148" t="n">
        <v>2</v>
      </c>
      <c r="K148" t="n">
        <v>0</v>
      </c>
      <c r="L148" t="n">
        <v>0</v>
      </c>
      <c r="M148" t="n">
        <v>0</v>
      </c>
      <c r="N148" t="n">
        <v>0</v>
      </c>
      <c r="O148" t="n">
        <v>2</v>
      </c>
      <c r="P148" t="n">
        <v>0</v>
      </c>
      <c r="Q148" t="n">
        <v>5</v>
      </c>
      <c r="R148" s="2" t="inlineStr">
        <is>
          <t>Större flatbagge
Tallticka
Bronshjon
Granbarkgnagare
Jättesvampmal</t>
        </is>
      </c>
      <c r="S148">
        <f>HYPERLINK("https://klasma.github.io/Logging_0380/artfynd/A 67522-2019 artfynd.xlsx", "A 67522-2019")</f>
        <v/>
      </c>
      <c r="T148">
        <f>HYPERLINK("https://klasma.github.io/Logging_0380/kartor/A 67522-2019 karta.png", "A 67522-2019")</f>
        <v/>
      </c>
      <c r="V148">
        <f>HYPERLINK("https://klasma.github.io/Logging_0380/klagomål/A 67522-2019 FSC-klagomål.docx", "A 67522-2019")</f>
        <v/>
      </c>
      <c r="W148">
        <f>HYPERLINK("https://klasma.github.io/Logging_0380/klagomålsmail/A 67522-2019 FSC-klagomål mail.docx", "A 67522-2019")</f>
        <v/>
      </c>
      <c r="X148">
        <f>HYPERLINK("https://klasma.github.io/Logging_0380/tillsyn/A 67522-2019 tillsynsbegäran.docx", "A 67522-2019")</f>
        <v/>
      </c>
      <c r="Y148">
        <f>HYPERLINK("https://klasma.github.io/Logging_0380/tillsynsmail/A 67522-2019 tillsynsbegäran mail.docx", "A 67522-2019")</f>
        <v/>
      </c>
    </row>
    <row r="149" ht="15" customHeight="1">
      <c r="A149" t="inlineStr">
        <is>
          <t>A 5673-2020</t>
        </is>
      </c>
      <c r="B149" s="1" t="n">
        <v>43861</v>
      </c>
      <c r="C149" s="1" t="n">
        <v>45832</v>
      </c>
      <c r="D149" t="inlineStr">
        <is>
          <t>UPPSALA LÄN</t>
        </is>
      </c>
      <c r="E149" t="inlineStr">
        <is>
          <t>UPPSALA</t>
        </is>
      </c>
      <c r="G149" t="n">
        <v>1.2</v>
      </c>
      <c r="H149" t="n">
        <v>1</v>
      </c>
      <c r="I149" t="n">
        <v>4</v>
      </c>
      <c r="J149" t="n">
        <v>0</v>
      </c>
      <c r="K149" t="n">
        <v>0</v>
      </c>
      <c r="L149" t="n">
        <v>0</v>
      </c>
      <c r="M149" t="n">
        <v>0</v>
      </c>
      <c r="N149" t="n">
        <v>0</v>
      </c>
      <c r="O149" t="n">
        <v>0</v>
      </c>
      <c r="P149" t="n">
        <v>0</v>
      </c>
      <c r="Q149" t="n">
        <v>5</v>
      </c>
      <c r="R149" s="2" t="inlineStr">
        <is>
          <t>Hasselticka
Platt fjädermossa
Trubbfjädermossa
Vedticka
Blåsippa</t>
        </is>
      </c>
      <c r="S149">
        <f>HYPERLINK("https://klasma.github.io/Logging_0380/artfynd/A 5673-2020 artfynd.xlsx", "A 5673-2020")</f>
        <v/>
      </c>
      <c r="T149">
        <f>HYPERLINK("https://klasma.github.io/Logging_0380/kartor/A 5673-2020 karta.png", "A 5673-2020")</f>
        <v/>
      </c>
      <c r="V149">
        <f>HYPERLINK("https://klasma.github.io/Logging_0380/klagomål/A 5673-2020 FSC-klagomål.docx", "A 5673-2020")</f>
        <v/>
      </c>
      <c r="W149">
        <f>HYPERLINK("https://klasma.github.io/Logging_0380/klagomålsmail/A 5673-2020 FSC-klagomål mail.docx", "A 5673-2020")</f>
        <v/>
      </c>
      <c r="X149">
        <f>HYPERLINK("https://klasma.github.io/Logging_0380/tillsyn/A 5673-2020 tillsynsbegäran.docx", "A 5673-2020")</f>
        <v/>
      </c>
      <c r="Y149">
        <f>HYPERLINK("https://klasma.github.io/Logging_0380/tillsynsmail/A 5673-2020 tillsynsbegäran mail.docx", "A 5673-2020")</f>
        <v/>
      </c>
    </row>
    <row r="150" ht="15" customHeight="1">
      <c r="A150" t="inlineStr">
        <is>
          <t>A 33096-2020</t>
        </is>
      </c>
      <c r="B150" s="1" t="n">
        <v>44021</v>
      </c>
      <c r="C150" s="1" t="n">
        <v>45832</v>
      </c>
      <c r="D150" t="inlineStr">
        <is>
          <t>UPPSALA LÄN</t>
        </is>
      </c>
      <c r="E150" t="inlineStr">
        <is>
          <t>ÖSTHAMMAR</t>
        </is>
      </c>
      <c r="G150" t="n">
        <v>1.9</v>
      </c>
      <c r="H150" t="n">
        <v>2</v>
      </c>
      <c r="I150" t="n">
        <v>1</v>
      </c>
      <c r="J150" t="n">
        <v>3</v>
      </c>
      <c r="K150" t="n">
        <v>1</v>
      </c>
      <c r="L150" t="n">
        <v>0</v>
      </c>
      <c r="M150" t="n">
        <v>0</v>
      </c>
      <c r="N150" t="n">
        <v>0</v>
      </c>
      <c r="O150" t="n">
        <v>4</v>
      </c>
      <c r="P150" t="n">
        <v>1</v>
      </c>
      <c r="Q150" t="n">
        <v>5</v>
      </c>
      <c r="R150" s="2" t="inlineStr">
        <is>
          <t>Knärot
Dofttaggsvamp
Gultoppig fingersvamp
Orange taggsvamp
Skogsknipprot</t>
        </is>
      </c>
      <c r="S150">
        <f>HYPERLINK("https://klasma.github.io/Logging_0382/artfynd/A 33096-2020 artfynd.xlsx", "A 33096-2020")</f>
        <v/>
      </c>
      <c r="T150">
        <f>HYPERLINK("https://klasma.github.io/Logging_0382/kartor/A 33096-2020 karta.png", "A 33096-2020")</f>
        <v/>
      </c>
      <c r="U150">
        <f>HYPERLINK("https://klasma.github.io/Logging_0382/knärot/A 33096-2020 karta knärot.png", "A 33096-2020")</f>
        <v/>
      </c>
      <c r="V150">
        <f>HYPERLINK("https://klasma.github.io/Logging_0382/klagomål/A 33096-2020 FSC-klagomål.docx", "A 33096-2020")</f>
        <v/>
      </c>
      <c r="W150">
        <f>HYPERLINK("https://klasma.github.io/Logging_0382/klagomålsmail/A 33096-2020 FSC-klagomål mail.docx", "A 33096-2020")</f>
        <v/>
      </c>
      <c r="X150">
        <f>HYPERLINK("https://klasma.github.io/Logging_0382/tillsyn/A 33096-2020 tillsynsbegäran.docx", "A 33096-2020")</f>
        <v/>
      </c>
      <c r="Y150">
        <f>HYPERLINK("https://klasma.github.io/Logging_0382/tillsynsmail/A 33096-2020 tillsynsbegäran mail.docx", "A 33096-2020")</f>
        <v/>
      </c>
    </row>
    <row r="151" ht="15" customHeight="1">
      <c r="A151" t="inlineStr">
        <is>
          <t>A 27389-2021</t>
        </is>
      </c>
      <c r="B151" s="1" t="n">
        <v>44351</v>
      </c>
      <c r="C151" s="1" t="n">
        <v>45832</v>
      </c>
      <c r="D151" t="inlineStr">
        <is>
          <t>UPPSALA LÄN</t>
        </is>
      </c>
      <c r="E151" t="inlineStr">
        <is>
          <t>UPPSALA</t>
        </is>
      </c>
      <c r="G151" t="n">
        <v>2.9</v>
      </c>
      <c r="H151" t="n">
        <v>1</v>
      </c>
      <c r="I151" t="n">
        <v>2</v>
      </c>
      <c r="J151" t="n">
        <v>2</v>
      </c>
      <c r="K151" t="n">
        <v>1</v>
      </c>
      <c r="L151" t="n">
        <v>0</v>
      </c>
      <c r="M151" t="n">
        <v>0</v>
      </c>
      <c r="N151" t="n">
        <v>0</v>
      </c>
      <c r="O151" t="n">
        <v>3</v>
      </c>
      <c r="P151" t="n">
        <v>1</v>
      </c>
      <c r="Q151" t="n">
        <v>5</v>
      </c>
      <c r="R151" s="2" t="inlineStr">
        <is>
          <t>Knärot
Rutskinn
Vedtrappmossa
Terpentinmossa
Vedticka</t>
        </is>
      </c>
      <c r="S151">
        <f>HYPERLINK("https://klasma.github.io/Logging_0380/artfynd/A 27389-2021 artfynd.xlsx", "A 27389-2021")</f>
        <v/>
      </c>
      <c r="T151">
        <f>HYPERLINK("https://klasma.github.io/Logging_0380/kartor/A 27389-2021 karta.png", "A 27389-2021")</f>
        <v/>
      </c>
      <c r="U151">
        <f>HYPERLINK("https://klasma.github.io/Logging_0380/knärot/A 27389-2021 karta knärot.png", "A 27389-2021")</f>
        <v/>
      </c>
      <c r="V151">
        <f>HYPERLINK("https://klasma.github.io/Logging_0380/klagomål/A 27389-2021 FSC-klagomål.docx", "A 27389-2021")</f>
        <v/>
      </c>
      <c r="W151">
        <f>HYPERLINK("https://klasma.github.io/Logging_0380/klagomålsmail/A 27389-2021 FSC-klagomål mail.docx", "A 27389-2021")</f>
        <v/>
      </c>
      <c r="X151">
        <f>HYPERLINK("https://klasma.github.io/Logging_0380/tillsyn/A 27389-2021 tillsynsbegäran.docx", "A 27389-2021")</f>
        <v/>
      </c>
      <c r="Y151">
        <f>HYPERLINK("https://klasma.github.io/Logging_0380/tillsynsmail/A 27389-2021 tillsynsbegäran mail.docx", "A 27389-2021")</f>
        <v/>
      </c>
    </row>
    <row r="152" ht="15" customHeight="1">
      <c r="A152" t="inlineStr">
        <is>
          <t>A 58656-2021</t>
        </is>
      </c>
      <c r="B152" s="1" t="n">
        <v>44489</v>
      </c>
      <c r="C152" s="1" t="n">
        <v>45832</v>
      </c>
      <c r="D152" t="inlineStr">
        <is>
          <t>UPPSALA LÄN</t>
        </is>
      </c>
      <c r="E152" t="inlineStr">
        <is>
          <t>HEBY</t>
        </is>
      </c>
      <c r="F152" t="inlineStr">
        <is>
          <t>Övriga Aktiebolag</t>
        </is>
      </c>
      <c r="G152" t="n">
        <v>3.4</v>
      </c>
      <c r="H152" t="n">
        <v>2</v>
      </c>
      <c r="I152" t="n">
        <v>2</v>
      </c>
      <c r="J152" t="n">
        <v>1</v>
      </c>
      <c r="K152" t="n">
        <v>0</v>
      </c>
      <c r="L152" t="n">
        <v>0</v>
      </c>
      <c r="M152" t="n">
        <v>0</v>
      </c>
      <c r="N152" t="n">
        <v>0</v>
      </c>
      <c r="O152" t="n">
        <v>1</v>
      </c>
      <c r="P152" t="n">
        <v>0</v>
      </c>
      <c r="Q152" t="n">
        <v>5</v>
      </c>
      <c r="R152" s="2" t="inlineStr">
        <is>
          <t>Ullticka
Bronshjon
Thomsons trägnagare
Käppkrokmossa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61388-2021</t>
        </is>
      </c>
      <c r="B153" s="1" t="n">
        <v>44500</v>
      </c>
      <c r="C153" s="1" t="n">
        <v>45832</v>
      </c>
      <c r="D153" t="inlineStr">
        <is>
          <t>UPPSALA LÄN</t>
        </is>
      </c>
      <c r="E153" t="inlineStr">
        <is>
          <t>UPPSALA</t>
        </is>
      </c>
      <c r="G153" t="n">
        <v>4.8</v>
      </c>
      <c r="H153" t="n">
        <v>0</v>
      </c>
      <c r="I153" t="n">
        <v>4</v>
      </c>
      <c r="J153" t="n">
        <v>1</v>
      </c>
      <c r="K153" t="n">
        <v>0</v>
      </c>
      <c r="L153" t="n">
        <v>0</v>
      </c>
      <c r="M153" t="n">
        <v>0</v>
      </c>
      <c r="N153" t="n">
        <v>0</v>
      </c>
      <c r="O153" t="n">
        <v>1</v>
      </c>
      <c r="P153" t="n">
        <v>0</v>
      </c>
      <c r="Q153" t="n">
        <v>5</v>
      </c>
      <c r="R153" s="2" t="inlineStr">
        <is>
          <t>Skogshare
Björksplintborre
Bronshjon
Jättesvampmal
Thomsons trägnagare</t>
        </is>
      </c>
      <c r="S153">
        <f>HYPERLINK("https://klasma.github.io/Logging_0380/artfynd/A 61388-2021 artfynd.xlsx", "A 61388-2021")</f>
        <v/>
      </c>
      <c r="T153">
        <f>HYPERLINK("https://klasma.github.io/Logging_0380/kartor/A 61388-2021 karta.png", "A 61388-2021")</f>
        <v/>
      </c>
      <c r="U153">
        <f>HYPERLINK("https://klasma.github.io/Logging_0380/knärot/A 61388-2021 karta knärot.png", "A 61388-2021")</f>
        <v/>
      </c>
      <c r="V153">
        <f>HYPERLINK("https://klasma.github.io/Logging_0380/klagomål/A 61388-2021 FSC-klagomål.docx", "A 61388-2021")</f>
        <v/>
      </c>
      <c r="W153">
        <f>HYPERLINK("https://klasma.github.io/Logging_0380/klagomålsmail/A 61388-2021 FSC-klagomål mail.docx", "A 61388-2021")</f>
        <v/>
      </c>
      <c r="X153">
        <f>HYPERLINK("https://klasma.github.io/Logging_0380/tillsyn/A 61388-2021 tillsynsbegäran.docx", "A 61388-2021")</f>
        <v/>
      </c>
      <c r="Y153">
        <f>HYPERLINK("https://klasma.github.io/Logging_0380/tillsynsmail/A 61388-2021 tillsynsbegäran mail.docx", "A 61388-2021")</f>
        <v/>
      </c>
    </row>
    <row r="154" ht="15" customHeight="1">
      <c r="A154" t="inlineStr">
        <is>
          <t>A 64564-2021</t>
        </is>
      </c>
      <c r="B154" s="1" t="n">
        <v>44511</v>
      </c>
      <c r="C154" s="1" t="n">
        <v>45832</v>
      </c>
      <c r="D154" t="inlineStr">
        <is>
          <t>UPPSALA LÄN</t>
        </is>
      </c>
      <c r="E154" t="inlineStr">
        <is>
          <t>ÖSTHAMMAR</t>
        </is>
      </c>
      <c r="G154" t="n">
        <v>7.2</v>
      </c>
      <c r="H154" t="n">
        <v>1</v>
      </c>
      <c r="I154" t="n">
        <v>2</v>
      </c>
      <c r="J154" t="n">
        <v>1</v>
      </c>
      <c r="K154" t="n">
        <v>1</v>
      </c>
      <c r="L154" t="n">
        <v>0</v>
      </c>
      <c r="M154" t="n">
        <v>0</v>
      </c>
      <c r="N154" t="n">
        <v>0</v>
      </c>
      <c r="O154" t="n">
        <v>2</v>
      </c>
      <c r="P154" t="n">
        <v>1</v>
      </c>
      <c r="Q154" t="n">
        <v>5</v>
      </c>
      <c r="R154" s="2" t="inlineStr">
        <is>
          <t>Violgubbe
Gultoppig fingersvamp
Kalktallört
Rödgul trumpetsvamp
Tjäder</t>
        </is>
      </c>
      <c r="S154">
        <f>HYPERLINK("https://klasma.github.io/Logging_0382/artfynd/A 64564-2021 artfynd.xlsx", "A 64564-2021")</f>
        <v/>
      </c>
      <c r="T154">
        <f>HYPERLINK("https://klasma.github.io/Logging_0382/kartor/A 64564-2021 karta.png", "A 64564-2021")</f>
        <v/>
      </c>
      <c r="V154">
        <f>HYPERLINK("https://klasma.github.io/Logging_0382/klagomål/A 64564-2021 FSC-klagomål.docx", "A 64564-2021")</f>
        <v/>
      </c>
      <c r="W154">
        <f>HYPERLINK("https://klasma.github.io/Logging_0382/klagomålsmail/A 64564-2021 FSC-klagomål mail.docx", "A 64564-2021")</f>
        <v/>
      </c>
      <c r="X154">
        <f>HYPERLINK("https://klasma.github.io/Logging_0382/tillsyn/A 64564-2021 tillsynsbegäran.docx", "A 64564-2021")</f>
        <v/>
      </c>
      <c r="Y154">
        <f>HYPERLINK("https://klasma.github.io/Logging_0382/tillsynsmail/A 64564-2021 tillsynsbegäran mail.docx", "A 64564-2021")</f>
        <v/>
      </c>
      <c r="Z154">
        <f>HYPERLINK("https://klasma.github.io/Logging_0382/fåglar/A 64564-2021 prioriterade fågelarter.docx", "A 64564-2021")</f>
        <v/>
      </c>
    </row>
    <row r="155" ht="15" customHeight="1">
      <c r="A155" t="inlineStr">
        <is>
          <t>A 72667-2021</t>
        </is>
      </c>
      <c r="B155" s="1" t="n">
        <v>44546</v>
      </c>
      <c r="C155" s="1" t="n">
        <v>45832</v>
      </c>
      <c r="D155" t="inlineStr">
        <is>
          <t>UPPSALA LÄN</t>
        </is>
      </c>
      <c r="E155" t="inlineStr">
        <is>
          <t>ÖSTHAMMAR</t>
        </is>
      </c>
      <c r="G155" t="n">
        <v>1.2</v>
      </c>
      <c r="H155" t="n">
        <v>0</v>
      </c>
      <c r="I155" t="n">
        <v>4</v>
      </c>
      <c r="J155" t="n">
        <v>0</v>
      </c>
      <c r="K155" t="n">
        <v>1</v>
      </c>
      <c r="L155" t="n">
        <v>0</v>
      </c>
      <c r="M155" t="n">
        <v>0</v>
      </c>
      <c r="N155" t="n">
        <v>0</v>
      </c>
      <c r="O155" t="n">
        <v>1</v>
      </c>
      <c r="P155" t="n">
        <v>1</v>
      </c>
      <c r="Q155" t="n">
        <v>5</v>
      </c>
      <c r="R155" s="2" t="inlineStr">
        <is>
          <t>Duvspindling
Anisspindling
Olivspindling
Strimspindling
Svavelriska</t>
        </is>
      </c>
      <c r="S155">
        <f>HYPERLINK("https://klasma.github.io/Logging_0382/artfynd/A 72667-2021 artfynd.xlsx", "A 72667-2021")</f>
        <v/>
      </c>
      <c r="T155">
        <f>HYPERLINK("https://klasma.github.io/Logging_0382/kartor/A 72667-2021 karta.png", "A 72667-2021")</f>
        <v/>
      </c>
      <c r="V155">
        <f>HYPERLINK("https://klasma.github.io/Logging_0382/klagomål/A 72667-2021 FSC-klagomål.docx", "A 72667-2021")</f>
        <v/>
      </c>
      <c r="W155">
        <f>HYPERLINK("https://klasma.github.io/Logging_0382/klagomålsmail/A 72667-2021 FSC-klagomål mail.docx", "A 72667-2021")</f>
        <v/>
      </c>
      <c r="X155">
        <f>HYPERLINK("https://klasma.github.io/Logging_0382/tillsyn/A 72667-2021 tillsynsbegäran.docx", "A 72667-2021")</f>
        <v/>
      </c>
      <c r="Y155">
        <f>HYPERLINK("https://klasma.github.io/Logging_0382/tillsynsmail/A 72667-2021 tillsynsbegäran mail.docx", "A 72667-2021")</f>
        <v/>
      </c>
    </row>
    <row r="156" ht="15" customHeight="1">
      <c r="A156" t="inlineStr">
        <is>
          <t>A 1224-2022</t>
        </is>
      </c>
      <c r="B156" s="1" t="n">
        <v>44572</v>
      </c>
      <c r="C156" s="1" t="n">
        <v>45832</v>
      </c>
      <c r="D156" t="inlineStr">
        <is>
          <t>UPPSALA LÄN</t>
        </is>
      </c>
      <c r="E156" t="inlineStr">
        <is>
          <t>ÖSTHAMMAR</t>
        </is>
      </c>
      <c r="G156" t="n">
        <v>4.7</v>
      </c>
      <c r="H156" t="n">
        <v>2</v>
      </c>
      <c r="I156" t="n">
        <v>4</v>
      </c>
      <c r="J156" t="n">
        <v>0</v>
      </c>
      <c r="K156" t="n">
        <v>0</v>
      </c>
      <c r="L156" t="n">
        <v>0</v>
      </c>
      <c r="M156" t="n">
        <v>0</v>
      </c>
      <c r="N156" t="n">
        <v>0</v>
      </c>
      <c r="O156" t="n">
        <v>0</v>
      </c>
      <c r="P156" t="n">
        <v>0</v>
      </c>
      <c r="Q156" t="n">
        <v>5</v>
      </c>
      <c r="R156" s="2" t="inlineStr">
        <is>
          <t>Skogsknipprot
Svavelriska
Trubbfjädermossa
Vårärt
Blåsippa</t>
        </is>
      </c>
      <c r="S156">
        <f>HYPERLINK("https://klasma.github.io/Logging_0382/artfynd/A 1224-2022 artfynd.xlsx", "A 1224-2022")</f>
        <v/>
      </c>
      <c r="T156">
        <f>HYPERLINK("https://klasma.github.io/Logging_0382/kartor/A 1224-2022 karta.png", "A 1224-2022")</f>
        <v/>
      </c>
      <c r="V156">
        <f>HYPERLINK("https://klasma.github.io/Logging_0382/klagomål/A 1224-2022 FSC-klagomål.docx", "A 1224-2022")</f>
        <v/>
      </c>
      <c r="W156">
        <f>HYPERLINK("https://klasma.github.io/Logging_0382/klagomålsmail/A 1224-2022 FSC-klagomål mail.docx", "A 1224-2022")</f>
        <v/>
      </c>
      <c r="X156">
        <f>HYPERLINK("https://klasma.github.io/Logging_0382/tillsyn/A 1224-2022 tillsynsbegäran.docx", "A 1224-2022")</f>
        <v/>
      </c>
      <c r="Y156">
        <f>HYPERLINK("https://klasma.github.io/Logging_0382/tillsynsmail/A 1224-2022 tillsynsbegäran mail.docx", "A 1224-2022")</f>
        <v/>
      </c>
    </row>
    <row r="157" ht="15" customHeight="1">
      <c r="A157" t="inlineStr">
        <is>
          <t>A 1725-2022</t>
        </is>
      </c>
      <c r="B157" s="1" t="n">
        <v>44574</v>
      </c>
      <c r="C157" s="1" t="n">
        <v>45832</v>
      </c>
      <c r="D157" t="inlineStr">
        <is>
          <t>UPPSALA LÄN</t>
        </is>
      </c>
      <c r="E157" t="inlineStr">
        <is>
          <t>UPPSALA</t>
        </is>
      </c>
      <c r="G157" t="n">
        <v>6.1</v>
      </c>
      <c r="H157" t="n">
        <v>1</v>
      </c>
      <c r="I157" t="n">
        <v>4</v>
      </c>
      <c r="J157" t="n">
        <v>1</v>
      </c>
      <c r="K157" t="n">
        <v>0</v>
      </c>
      <c r="L157" t="n">
        <v>0</v>
      </c>
      <c r="M157" t="n">
        <v>0</v>
      </c>
      <c r="N157" t="n">
        <v>0</v>
      </c>
      <c r="O157" t="n">
        <v>1</v>
      </c>
      <c r="P157" t="n">
        <v>0</v>
      </c>
      <c r="Q157" t="n">
        <v>5</v>
      </c>
      <c r="R157" s="2" t="inlineStr">
        <is>
          <t>Järpe
Fjällig taggsvamp s.str.
Fällmossa
Platt fjädermossa
Stubbspretmossa</t>
        </is>
      </c>
      <c r="S157">
        <f>HYPERLINK("https://klasma.github.io/Logging_0380/artfynd/A 1725-2022 artfynd.xlsx", "A 1725-2022")</f>
        <v/>
      </c>
      <c r="T157">
        <f>HYPERLINK("https://klasma.github.io/Logging_0380/kartor/A 1725-2022 karta.png", "A 1725-2022")</f>
        <v/>
      </c>
      <c r="V157">
        <f>HYPERLINK("https://klasma.github.io/Logging_0380/klagomål/A 1725-2022 FSC-klagomål.docx", "A 1725-2022")</f>
        <v/>
      </c>
      <c r="W157">
        <f>HYPERLINK("https://klasma.github.io/Logging_0380/klagomålsmail/A 1725-2022 FSC-klagomål mail.docx", "A 1725-2022")</f>
        <v/>
      </c>
      <c r="X157">
        <f>HYPERLINK("https://klasma.github.io/Logging_0380/tillsyn/A 1725-2022 tillsynsbegäran.docx", "A 1725-2022")</f>
        <v/>
      </c>
      <c r="Y157">
        <f>HYPERLINK("https://klasma.github.io/Logging_0380/tillsynsmail/A 1725-2022 tillsynsbegäran mail.docx", "A 1725-2022")</f>
        <v/>
      </c>
      <c r="Z157">
        <f>HYPERLINK("https://klasma.github.io/Logging_0380/fåglar/A 1725-2022 prioriterade fågelarter.docx", "A 1725-2022")</f>
        <v/>
      </c>
    </row>
    <row r="158" ht="15" customHeight="1">
      <c r="A158" t="inlineStr">
        <is>
          <t>A 1988-2022</t>
        </is>
      </c>
      <c r="B158" s="1" t="n">
        <v>44575</v>
      </c>
      <c r="C158" s="1" t="n">
        <v>45832</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8753-2022</t>
        </is>
      </c>
      <c r="B159" s="1" t="n">
        <v>44614</v>
      </c>
      <c r="C159" s="1" t="n">
        <v>45832</v>
      </c>
      <c r="D159" t="inlineStr">
        <is>
          <t>UPPSALA LÄN</t>
        </is>
      </c>
      <c r="E159" t="inlineStr">
        <is>
          <t>ÖSTHAMMAR</t>
        </is>
      </c>
      <c r="G159" t="n">
        <v>5.3</v>
      </c>
      <c r="H159" t="n">
        <v>0</v>
      </c>
      <c r="I159" t="n">
        <v>3</v>
      </c>
      <c r="J159" t="n">
        <v>0</v>
      </c>
      <c r="K159" t="n">
        <v>2</v>
      </c>
      <c r="L159" t="n">
        <v>0</v>
      </c>
      <c r="M159" t="n">
        <v>0</v>
      </c>
      <c r="N159" t="n">
        <v>0</v>
      </c>
      <c r="O159" t="n">
        <v>2</v>
      </c>
      <c r="P159" t="n">
        <v>2</v>
      </c>
      <c r="Q159" t="n">
        <v>5</v>
      </c>
      <c r="R159" s="2" t="inlineStr">
        <is>
          <t>Gyllenspindling
Spricktaggsvamp
Olivspindling
Skarp dropptaggsvamp
Svavelriska</t>
        </is>
      </c>
      <c r="S159">
        <f>HYPERLINK("https://klasma.github.io/Logging_0382/artfynd/A 8753-2022 artfynd.xlsx", "A 8753-2022")</f>
        <v/>
      </c>
      <c r="T159">
        <f>HYPERLINK("https://klasma.github.io/Logging_0382/kartor/A 8753-2022 karta.png", "A 8753-2022")</f>
        <v/>
      </c>
      <c r="V159">
        <f>HYPERLINK("https://klasma.github.io/Logging_0382/klagomål/A 8753-2022 FSC-klagomål.docx", "A 8753-2022")</f>
        <v/>
      </c>
      <c r="W159">
        <f>HYPERLINK("https://klasma.github.io/Logging_0382/klagomålsmail/A 8753-2022 FSC-klagomål mail.docx", "A 8753-2022")</f>
        <v/>
      </c>
      <c r="X159">
        <f>HYPERLINK("https://klasma.github.io/Logging_0382/tillsyn/A 8753-2022 tillsynsbegäran.docx", "A 8753-2022")</f>
        <v/>
      </c>
      <c r="Y159">
        <f>HYPERLINK("https://klasma.github.io/Logging_0382/tillsynsmail/A 8753-2022 tillsynsbegäran mail.docx", "A 8753-2022")</f>
        <v/>
      </c>
    </row>
    <row r="160" ht="15" customHeight="1">
      <c r="A160" t="inlineStr">
        <is>
          <t>A 15556-2022</t>
        </is>
      </c>
      <c r="B160" s="1" t="n">
        <v>44662</v>
      </c>
      <c r="C160" s="1" t="n">
        <v>45832</v>
      </c>
      <c r="D160" t="inlineStr">
        <is>
          <t>UPPSALA LÄN</t>
        </is>
      </c>
      <c r="E160" t="inlineStr">
        <is>
          <t>ÖSTHAMMAR</t>
        </is>
      </c>
      <c r="G160" t="n">
        <v>9.9</v>
      </c>
      <c r="H160" t="n">
        <v>1</v>
      </c>
      <c r="I160" t="n">
        <v>4</v>
      </c>
      <c r="J160" t="n">
        <v>1</v>
      </c>
      <c r="K160" t="n">
        <v>0</v>
      </c>
      <c r="L160" t="n">
        <v>0</v>
      </c>
      <c r="M160" t="n">
        <v>0</v>
      </c>
      <c r="N160" t="n">
        <v>0</v>
      </c>
      <c r="O160" t="n">
        <v>1</v>
      </c>
      <c r="P160" t="n">
        <v>0</v>
      </c>
      <c r="Q160" t="n">
        <v>5</v>
      </c>
      <c r="R160" s="2" t="inlineStr">
        <is>
          <t>Tallticka
Hasselticka
Skogsknipprot
Svart trolldruva
Tibast</t>
        </is>
      </c>
      <c r="S160">
        <f>HYPERLINK("https://klasma.github.io/Logging_0382/artfynd/A 15556-2022 artfynd.xlsx", "A 15556-2022")</f>
        <v/>
      </c>
      <c r="T160">
        <f>HYPERLINK("https://klasma.github.io/Logging_0382/kartor/A 15556-2022 karta.png", "A 15556-2022")</f>
        <v/>
      </c>
      <c r="V160">
        <f>HYPERLINK("https://klasma.github.io/Logging_0382/klagomål/A 15556-2022 FSC-klagomål.docx", "A 15556-2022")</f>
        <v/>
      </c>
      <c r="W160">
        <f>HYPERLINK("https://klasma.github.io/Logging_0382/klagomålsmail/A 15556-2022 FSC-klagomål mail.docx", "A 15556-2022")</f>
        <v/>
      </c>
      <c r="X160">
        <f>HYPERLINK("https://klasma.github.io/Logging_0382/tillsyn/A 15556-2022 tillsynsbegäran.docx", "A 15556-2022")</f>
        <v/>
      </c>
      <c r="Y160">
        <f>HYPERLINK("https://klasma.github.io/Logging_0382/tillsynsmail/A 15556-2022 tillsynsbegäran mail.docx", "A 15556-2022")</f>
        <v/>
      </c>
    </row>
    <row r="161" ht="15" customHeight="1">
      <c r="A161" t="inlineStr">
        <is>
          <t>A 24563-2022</t>
        </is>
      </c>
      <c r="B161" s="1" t="n">
        <v>44727</v>
      </c>
      <c r="C161" s="1" t="n">
        <v>45832</v>
      </c>
      <c r="D161" t="inlineStr">
        <is>
          <t>UPPSALA LÄN</t>
        </is>
      </c>
      <c r="E161" t="inlineStr">
        <is>
          <t>ÖSTHAMMAR</t>
        </is>
      </c>
      <c r="G161" t="n">
        <v>7.4</v>
      </c>
      <c r="H161" t="n">
        <v>0</v>
      </c>
      <c r="I161" t="n">
        <v>3</v>
      </c>
      <c r="J161" t="n">
        <v>0</v>
      </c>
      <c r="K161" t="n">
        <v>2</v>
      </c>
      <c r="L161" t="n">
        <v>0</v>
      </c>
      <c r="M161" t="n">
        <v>0</v>
      </c>
      <c r="N161" t="n">
        <v>0</v>
      </c>
      <c r="O161" t="n">
        <v>2</v>
      </c>
      <c r="P161" t="n">
        <v>2</v>
      </c>
      <c r="Q161" t="n">
        <v>5</v>
      </c>
      <c r="R161" s="2" t="inlineStr">
        <is>
          <t>Gul lammticka
Koppartaggsvamp
Kamjordstjärna
Olivspindling
Rödgul trumpetsvamp</t>
        </is>
      </c>
      <c r="S161">
        <f>HYPERLINK("https://klasma.github.io/Logging_0382/artfynd/A 24563-2022 artfynd.xlsx", "A 24563-2022")</f>
        <v/>
      </c>
      <c r="T161">
        <f>HYPERLINK("https://klasma.github.io/Logging_0382/kartor/A 24563-2022 karta.png", "A 24563-2022")</f>
        <v/>
      </c>
      <c r="V161">
        <f>HYPERLINK("https://klasma.github.io/Logging_0382/klagomål/A 24563-2022 FSC-klagomål.docx", "A 24563-2022")</f>
        <v/>
      </c>
      <c r="W161">
        <f>HYPERLINK("https://klasma.github.io/Logging_0382/klagomålsmail/A 24563-2022 FSC-klagomål mail.docx", "A 24563-2022")</f>
        <v/>
      </c>
      <c r="X161">
        <f>HYPERLINK("https://klasma.github.io/Logging_0382/tillsyn/A 24563-2022 tillsynsbegäran.docx", "A 24563-2022")</f>
        <v/>
      </c>
      <c r="Y161">
        <f>HYPERLINK("https://klasma.github.io/Logging_0382/tillsynsmail/A 24563-2022 tillsynsbegäran mail.docx", "A 24563-2022")</f>
        <v/>
      </c>
    </row>
    <row r="162" ht="15" customHeight="1">
      <c r="A162" t="inlineStr">
        <is>
          <t>A 39763-2022</t>
        </is>
      </c>
      <c r="B162" s="1" t="n">
        <v>44819</v>
      </c>
      <c r="C162" s="1" t="n">
        <v>45832</v>
      </c>
      <c r="D162" t="inlineStr">
        <is>
          <t>UPPSALA LÄN</t>
        </is>
      </c>
      <c r="E162" t="inlineStr">
        <is>
          <t>ÖSTHAMMAR</t>
        </is>
      </c>
      <c r="G162" t="n">
        <v>7</v>
      </c>
      <c r="H162" t="n">
        <v>1</v>
      </c>
      <c r="I162" t="n">
        <v>1</v>
      </c>
      <c r="J162" t="n">
        <v>2</v>
      </c>
      <c r="K162" t="n">
        <v>2</v>
      </c>
      <c r="L162" t="n">
        <v>0</v>
      </c>
      <c r="M162" t="n">
        <v>0</v>
      </c>
      <c r="N162" t="n">
        <v>0</v>
      </c>
      <c r="O162" t="n">
        <v>4</v>
      </c>
      <c r="P162" t="n">
        <v>2</v>
      </c>
      <c r="Q162" t="n">
        <v>5</v>
      </c>
      <c r="R162" s="2" t="inlineStr">
        <is>
          <t>Knärot
Violgubbe
Blek fingersvamp
Orange taggsvamp
Fjällig taggsvamp s.str.</t>
        </is>
      </c>
      <c r="S162">
        <f>HYPERLINK("https://klasma.github.io/Logging_0382/artfynd/A 39763-2022 artfynd.xlsx", "A 39763-2022")</f>
        <v/>
      </c>
      <c r="T162">
        <f>HYPERLINK("https://klasma.github.io/Logging_0382/kartor/A 39763-2022 karta.png", "A 39763-2022")</f>
        <v/>
      </c>
      <c r="U162">
        <f>HYPERLINK("https://klasma.github.io/Logging_0382/knärot/A 39763-2022 karta knärot.png", "A 39763-2022")</f>
        <v/>
      </c>
      <c r="V162">
        <f>HYPERLINK("https://klasma.github.io/Logging_0382/klagomål/A 39763-2022 FSC-klagomål.docx", "A 39763-2022")</f>
        <v/>
      </c>
      <c r="W162">
        <f>HYPERLINK("https://klasma.github.io/Logging_0382/klagomålsmail/A 39763-2022 FSC-klagomål mail.docx", "A 39763-2022")</f>
        <v/>
      </c>
      <c r="X162">
        <f>HYPERLINK("https://klasma.github.io/Logging_0382/tillsyn/A 39763-2022 tillsynsbegäran.docx", "A 39763-2022")</f>
        <v/>
      </c>
      <c r="Y162">
        <f>HYPERLINK("https://klasma.github.io/Logging_0382/tillsynsmail/A 39763-2022 tillsynsbegäran mail.docx", "A 39763-2022")</f>
        <v/>
      </c>
    </row>
    <row r="163" ht="15" customHeight="1">
      <c r="A163" t="inlineStr">
        <is>
          <t>A 43992-2022</t>
        </is>
      </c>
      <c r="B163" s="1" t="n">
        <v>44837</v>
      </c>
      <c r="C163" s="1" t="n">
        <v>45832</v>
      </c>
      <c r="D163" t="inlineStr">
        <is>
          <t>UPPSALA LÄN</t>
        </is>
      </c>
      <c r="E163" t="inlineStr">
        <is>
          <t>ÖSTHAMMAR</t>
        </is>
      </c>
      <c r="F163" t="inlineStr">
        <is>
          <t>Sveaskog</t>
        </is>
      </c>
      <c r="G163" t="n">
        <v>1.8</v>
      </c>
      <c r="H163" t="n">
        <v>5</v>
      </c>
      <c r="I163" t="n">
        <v>0</v>
      </c>
      <c r="J163" t="n">
        <v>4</v>
      </c>
      <c r="K163" t="n">
        <v>1</v>
      </c>
      <c r="L163" t="n">
        <v>0</v>
      </c>
      <c r="M163" t="n">
        <v>0</v>
      </c>
      <c r="N163" t="n">
        <v>0</v>
      </c>
      <c r="O163" t="n">
        <v>5</v>
      </c>
      <c r="P163" t="n">
        <v>1</v>
      </c>
      <c r="Q163" t="n">
        <v>5</v>
      </c>
      <c r="R163" s="2" t="inlineStr">
        <is>
          <t>Stare
Buskskvätta
Fiskmås
Gulsparv
Svartvit flugsnappare</t>
        </is>
      </c>
      <c r="S163">
        <f>HYPERLINK("https://klasma.github.io/Logging_0382/artfynd/A 43992-2022 artfynd.xlsx", "A 43992-2022")</f>
        <v/>
      </c>
      <c r="T163">
        <f>HYPERLINK("https://klasma.github.io/Logging_0382/kartor/A 43992-2022 karta.png", "A 43992-2022")</f>
        <v/>
      </c>
      <c r="V163">
        <f>HYPERLINK("https://klasma.github.io/Logging_0382/klagomål/A 43992-2022 FSC-klagomål.docx", "A 43992-2022")</f>
        <v/>
      </c>
      <c r="W163">
        <f>HYPERLINK("https://klasma.github.io/Logging_0382/klagomålsmail/A 43992-2022 FSC-klagomål mail.docx", "A 43992-2022")</f>
        <v/>
      </c>
      <c r="X163">
        <f>HYPERLINK("https://klasma.github.io/Logging_0382/tillsyn/A 43992-2022 tillsynsbegäran.docx", "A 43992-2022")</f>
        <v/>
      </c>
      <c r="Y163">
        <f>HYPERLINK("https://klasma.github.io/Logging_0382/tillsynsmail/A 43992-2022 tillsynsbegäran mail.docx", "A 43992-2022")</f>
        <v/>
      </c>
      <c r="Z163">
        <f>HYPERLINK("https://klasma.github.io/Logging_0382/fåglar/A 43992-2022 prioriterade fågelarter.docx", "A 43992-2022")</f>
        <v/>
      </c>
    </row>
    <row r="164" ht="15" customHeight="1">
      <c r="A164" t="inlineStr">
        <is>
          <t>A 53574-2022</t>
        </is>
      </c>
      <c r="B164" s="1" t="n">
        <v>44879</v>
      </c>
      <c r="C164" s="1" t="n">
        <v>45832</v>
      </c>
      <c r="D164" t="inlineStr">
        <is>
          <t>UPPSALA LÄN</t>
        </is>
      </c>
      <c r="E164" t="inlineStr">
        <is>
          <t>UPPSALA</t>
        </is>
      </c>
      <c r="G164" t="n">
        <v>19.2</v>
      </c>
      <c r="H164" t="n">
        <v>1</v>
      </c>
      <c r="I164" t="n">
        <v>4</v>
      </c>
      <c r="J164" t="n">
        <v>1</v>
      </c>
      <c r="K164" t="n">
        <v>0</v>
      </c>
      <c r="L164" t="n">
        <v>0</v>
      </c>
      <c r="M164" t="n">
        <v>0</v>
      </c>
      <c r="N164" t="n">
        <v>0</v>
      </c>
      <c r="O164" t="n">
        <v>1</v>
      </c>
      <c r="P164" t="n">
        <v>0</v>
      </c>
      <c r="Q164" t="n">
        <v>5</v>
      </c>
      <c r="R164" s="2" t="inlineStr">
        <is>
          <t>Ullticka
Fällmossa
Grön sköldmossa
Korallblylav
Stuplav</t>
        </is>
      </c>
      <c r="S164">
        <f>HYPERLINK("https://klasma.github.io/Logging_0380/artfynd/A 53574-2022 artfynd.xlsx", "A 53574-2022")</f>
        <v/>
      </c>
      <c r="T164">
        <f>HYPERLINK("https://klasma.github.io/Logging_0380/kartor/A 53574-2022 karta.png", "A 53574-2022")</f>
        <v/>
      </c>
      <c r="V164">
        <f>HYPERLINK("https://klasma.github.io/Logging_0380/klagomål/A 53574-2022 FSC-klagomål.docx", "A 53574-2022")</f>
        <v/>
      </c>
      <c r="W164">
        <f>HYPERLINK("https://klasma.github.io/Logging_0380/klagomålsmail/A 53574-2022 FSC-klagomål mail.docx", "A 53574-2022")</f>
        <v/>
      </c>
      <c r="X164">
        <f>HYPERLINK("https://klasma.github.io/Logging_0380/tillsyn/A 53574-2022 tillsynsbegäran.docx", "A 53574-2022")</f>
        <v/>
      </c>
      <c r="Y164">
        <f>HYPERLINK("https://klasma.github.io/Logging_0380/tillsynsmail/A 53574-2022 tillsynsbegäran mail.docx", "A 53574-2022")</f>
        <v/>
      </c>
    </row>
    <row r="165" ht="15" customHeight="1">
      <c r="A165" t="inlineStr">
        <is>
          <t>A 60284-2022</t>
        </is>
      </c>
      <c r="B165" s="1" t="n">
        <v>44910</v>
      </c>
      <c r="C165" s="1" t="n">
        <v>45832</v>
      </c>
      <c r="D165" t="inlineStr">
        <is>
          <t>UPPSALA LÄN</t>
        </is>
      </c>
      <c r="E165" t="inlineStr">
        <is>
          <t>ENKÖPING</t>
        </is>
      </c>
      <c r="G165" t="n">
        <v>2.9</v>
      </c>
      <c r="H165" t="n">
        <v>2</v>
      </c>
      <c r="I165" t="n">
        <v>4</v>
      </c>
      <c r="J165" t="n">
        <v>0</v>
      </c>
      <c r="K165" t="n">
        <v>0</v>
      </c>
      <c r="L165" t="n">
        <v>0</v>
      </c>
      <c r="M165" t="n">
        <v>0</v>
      </c>
      <c r="N165" t="n">
        <v>0</v>
      </c>
      <c r="O165" t="n">
        <v>0</v>
      </c>
      <c r="P165" t="n">
        <v>0</v>
      </c>
      <c r="Q165" t="n">
        <v>5</v>
      </c>
      <c r="R165" s="2" t="inlineStr">
        <is>
          <t>Fjällig taggsvamp s.str.
Nästrot
Olivspindling
Strimspindling
Gullviva</t>
        </is>
      </c>
      <c r="S165">
        <f>HYPERLINK("https://klasma.github.io/Logging_0381/artfynd/A 60284-2022 artfynd.xlsx", "A 60284-2022")</f>
        <v/>
      </c>
      <c r="T165">
        <f>HYPERLINK("https://klasma.github.io/Logging_0381/kartor/A 60284-2022 karta.png", "A 60284-2022")</f>
        <v/>
      </c>
      <c r="V165">
        <f>HYPERLINK("https://klasma.github.io/Logging_0381/klagomål/A 60284-2022 FSC-klagomål.docx", "A 60284-2022")</f>
        <v/>
      </c>
      <c r="W165">
        <f>HYPERLINK("https://klasma.github.io/Logging_0381/klagomålsmail/A 60284-2022 FSC-klagomål mail.docx", "A 60284-2022")</f>
        <v/>
      </c>
      <c r="X165">
        <f>HYPERLINK("https://klasma.github.io/Logging_0381/tillsyn/A 60284-2022 tillsynsbegäran.docx", "A 60284-2022")</f>
        <v/>
      </c>
      <c r="Y165">
        <f>HYPERLINK("https://klasma.github.io/Logging_0381/tillsynsmail/A 60284-2022 tillsynsbegäran mail.docx", "A 60284-2022")</f>
        <v/>
      </c>
    </row>
    <row r="166" ht="15" customHeight="1">
      <c r="A166" t="inlineStr">
        <is>
          <t>A 61139-2022</t>
        </is>
      </c>
      <c r="B166" s="1" t="n">
        <v>44915</v>
      </c>
      <c r="C166" s="1" t="n">
        <v>45832</v>
      </c>
      <c r="D166" t="inlineStr">
        <is>
          <t>UPPSALA LÄN</t>
        </is>
      </c>
      <c r="E166" t="inlineStr">
        <is>
          <t>HEBY</t>
        </is>
      </c>
      <c r="G166" t="n">
        <v>2</v>
      </c>
      <c r="H166" t="n">
        <v>1</v>
      </c>
      <c r="I166" t="n">
        <v>3</v>
      </c>
      <c r="J166" t="n">
        <v>1</v>
      </c>
      <c r="K166" t="n">
        <v>0</v>
      </c>
      <c r="L166" t="n">
        <v>0</v>
      </c>
      <c r="M166" t="n">
        <v>0</v>
      </c>
      <c r="N166" t="n">
        <v>0</v>
      </c>
      <c r="O166" t="n">
        <v>1</v>
      </c>
      <c r="P166" t="n">
        <v>0</v>
      </c>
      <c r="Q166" t="n">
        <v>5</v>
      </c>
      <c r="R166" s="2" t="inlineStr">
        <is>
          <t>Grönhjon
Björksplintborre
Jättesvampmal
Noshornsoxe
Blåsippa</t>
        </is>
      </c>
      <c r="S166">
        <f>HYPERLINK("https://klasma.github.io/Logging_0331/artfynd/A 61139-2022 artfynd.xlsx", "A 61139-2022")</f>
        <v/>
      </c>
      <c r="T166">
        <f>HYPERLINK("https://klasma.github.io/Logging_0331/kartor/A 61139-2022 karta.png", "A 61139-2022")</f>
        <v/>
      </c>
      <c r="V166">
        <f>HYPERLINK("https://klasma.github.io/Logging_0331/klagomål/A 61139-2022 FSC-klagomål.docx", "A 61139-2022")</f>
        <v/>
      </c>
      <c r="W166">
        <f>HYPERLINK("https://klasma.github.io/Logging_0331/klagomålsmail/A 61139-2022 FSC-klagomål mail.docx", "A 61139-2022")</f>
        <v/>
      </c>
      <c r="X166">
        <f>HYPERLINK("https://klasma.github.io/Logging_0331/tillsyn/A 61139-2022 tillsynsbegäran.docx", "A 61139-2022")</f>
        <v/>
      </c>
      <c r="Y166">
        <f>HYPERLINK("https://klasma.github.io/Logging_0331/tillsynsmail/A 61139-2022 tillsynsbegäran mail.docx", "A 61139-2022")</f>
        <v/>
      </c>
    </row>
    <row r="167" ht="15" customHeight="1">
      <c r="A167" t="inlineStr">
        <is>
          <t>A 62169-2022</t>
        </is>
      </c>
      <c r="B167" s="1" t="n">
        <v>44922</v>
      </c>
      <c r="C167" s="1" t="n">
        <v>45832</v>
      </c>
      <c r="D167" t="inlineStr">
        <is>
          <t>UPPSALA LÄN</t>
        </is>
      </c>
      <c r="E167" t="inlineStr">
        <is>
          <t>UPPSALA</t>
        </is>
      </c>
      <c r="G167" t="n">
        <v>19.6</v>
      </c>
      <c r="H167" t="n">
        <v>2</v>
      </c>
      <c r="I167" t="n">
        <v>2</v>
      </c>
      <c r="J167" t="n">
        <v>1</v>
      </c>
      <c r="K167" t="n">
        <v>1</v>
      </c>
      <c r="L167" t="n">
        <v>0</v>
      </c>
      <c r="M167" t="n">
        <v>0</v>
      </c>
      <c r="N167" t="n">
        <v>0</v>
      </c>
      <c r="O167" t="n">
        <v>2</v>
      </c>
      <c r="P167" t="n">
        <v>1</v>
      </c>
      <c r="Q167" t="n">
        <v>5</v>
      </c>
      <c r="R167" s="2" t="inlineStr">
        <is>
          <t>Knärot
Tallticka
Björksplintborre
Kamjordstjärna
Revlummer</t>
        </is>
      </c>
      <c r="S167">
        <f>HYPERLINK("https://klasma.github.io/Logging_0380/artfynd/A 62169-2022 artfynd.xlsx", "A 62169-2022")</f>
        <v/>
      </c>
      <c r="T167">
        <f>HYPERLINK("https://klasma.github.io/Logging_0380/kartor/A 62169-2022 karta.png", "A 62169-2022")</f>
        <v/>
      </c>
      <c r="U167">
        <f>HYPERLINK("https://klasma.github.io/Logging_0380/knärot/A 62169-2022 karta knärot.png", "A 62169-2022")</f>
        <v/>
      </c>
      <c r="V167">
        <f>HYPERLINK("https://klasma.github.io/Logging_0380/klagomål/A 62169-2022 FSC-klagomål.docx", "A 62169-2022")</f>
        <v/>
      </c>
      <c r="W167">
        <f>HYPERLINK("https://klasma.github.io/Logging_0380/klagomålsmail/A 62169-2022 FSC-klagomål mail.docx", "A 62169-2022")</f>
        <v/>
      </c>
      <c r="X167">
        <f>HYPERLINK("https://klasma.github.io/Logging_0380/tillsyn/A 62169-2022 tillsynsbegäran.docx", "A 62169-2022")</f>
        <v/>
      </c>
      <c r="Y167">
        <f>HYPERLINK("https://klasma.github.io/Logging_0380/tillsynsmail/A 62169-2022 tillsynsbegäran mail.docx", "A 62169-2022")</f>
        <v/>
      </c>
    </row>
    <row r="168" ht="15" customHeight="1">
      <c r="A168" t="inlineStr">
        <is>
          <t>A 3511-2023</t>
        </is>
      </c>
      <c r="B168" s="1" t="n">
        <v>44950</v>
      </c>
      <c r="C168" s="1" t="n">
        <v>45832</v>
      </c>
      <c r="D168" t="inlineStr">
        <is>
          <t>UPPSALA LÄN</t>
        </is>
      </c>
      <c r="E168" t="inlineStr">
        <is>
          <t>TIERP</t>
        </is>
      </c>
      <c r="F168" t="inlineStr">
        <is>
          <t>Bergvik skog öst AB</t>
        </is>
      </c>
      <c r="G168" t="n">
        <v>20.5</v>
      </c>
      <c r="H168" t="n">
        <v>3</v>
      </c>
      <c r="I168" t="n">
        <v>2</v>
      </c>
      <c r="J168" t="n">
        <v>0</v>
      </c>
      <c r="K168" t="n">
        <v>0</v>
      </c>
      <c r="L168" t="n">
        <v>0</v>
      </c>
      <c r="M168" t="n">
        <v>0</v>
      </c>
      <c r="N168" t="n">
        <v>0</v>
      </c>
      <c r="O168" t="n">
        <v>0</v>
      </c>
      <c r="P168" t="n">
        <v>0</v>
      </c>
      <c r="Q168" t="n">
        <v>5</v>
      </c>
      <c r="R168" s="2" t="inlineStr">
        <is>
          <t>Rödgul trumpetsvamp
Tibast
Tjäder
Blåsippa
Revlummer</t>
        </is>
      </c>
      <c r="S168">
        <f>HYPERLINK("https://klasma.github.io/Logging_0360/artfynd/A 3511-2023 artfynd.xlsx", "A 3511-2023")</f>
        <v/>
      </c>
      <c r="T168">
        <f>HYPERLINK("https://klasma.github.io/Logging_0360/kartor/A 3511-2023 karta.png", "A 3511-2023")</f>
        <v/>
      </c>
      <c r="V168">
        <f>HYPERLINK("https://klasma.github.io/Logging_0360/klagomål/A 3511-2023 FSC-klagomål.docx", "A 3511-2023")</f>
        <v/>
      </c>
      <c r="W168">
        <f>HYPERLINK("https://klasma.github.io/Logging_0360/klagomålsmail/A 3511-2023 FSC-klagomål mail.docx", "A 3511-2023")</f>
        <v/>
      </c>
      <c r="X168">
        <f>HYPERLINK("https://klasma.github.io/Logging_0360/tillsyn/A 3511-2023 tillsynsbegäran.docx", "A 3511-2023")</f>
        <v/>
      </c>
      <c r="Y168">
        <f>HYPERLINK("https://klasma.github.io/Logging_0360/tillsynsmail/A 3511-2023 tillsynsbegäran mail.docx", "A 3511-2023")</f>
        <v/>
      </c>
      <c r="Z168">
        <f>HYPERLINK("https://klasma.github.io/Logging_0360/fåglar/A 3511-2023 prioriterade fågelarter.docx", "A 3511-2023")</f>
        <v/>
      </c>
    </row>
    <row r="169" ht="15" customHeight="1">
      <c r="A169" t="inlineStr">
        <is>
          <t>A 7125-2023</t>
        </is>
      </c>
      <c r="B169" s="1" t="n">
        <v>44970</v>
      </c>
      <c r="C169" s="1" t="n">
        <v>45832</v>
      </c>
      <c r="D169" t="inlineStr">
        <is>
          <t>UPPSALA LÄN</t>
        </is>
      </c>
      <c r="E169" t="inlineStr">
        <is>
          <t>TIERP</t>
        </is>
      </c>
      <c r="F169" t="inlineStr">
        <is>
          <t>Bergvik skog öst AB</t>
        </is>
      </c>
      <c r="G169" t="n">
        <v>23.2</v>
      </c>
      <c r="H169" t="n">
        <v>4</v>
      </c>
      <c r="I169" t="n">
        <v>2</v>
      </c>
      <c r="J169" t="n">
        <v>0</v>
      </c>
      <c r="K169" t="n">
        <v>1</v>
      </c>
      <c r="L169" t="n">
        <v>0</v>
      </c>
      <c r="M169" t="n">
        <v>0</v>
      </c>
      <c r="N169" t="n">
        <v>0</v>
      </c>
      <c r="O169" t="n">
        <v>1</v>
      </c>
      <c r="P169" t="n">
        <v>1</v>
      </c>
      <c r="Q169" t="n">
        <v>5</v>
      </c>
      <c r="R169" s="2" t="inlineStr">
        <is>
          <t>Knärot
Rödgul trumpetsvamp
Skogsknipprot
Blåsippa
Revlummer</t>
        </is>
      </c>
      <c r="S169">
        <f>HYPERLINK("https://klasma.github.io/Logging_0360/artfynd/A 7125-2023 artfynd.xlsx", "A 7125-2023")</f>
        <v/>
      </c>
      <c r="T169">
        <f>HYPERLINK("https://klasma.github.io/Logging_0360/kartor/A 7125-2023 karta.png", "A 7125-2023")</f>
        <v/>
      </c>
      <c r="U169">
        <f>HYPERLINK("https://klasma.github.io/Logging_0360/knärot/A 7125-2023 karta knärot.png", "A 7125-2023")</f>
        <v/>
      </c>
      <c r="V169">
        <f>HYPERLINK("https://klasma.github.io/Logging_0360/klagomål/A 7125-2023 FSC-klagomål.docx", "A 7125-2023")</f>
        <v/>
      </c>
      <c r="W169">
        <f>HYPERLINK("https://klasma.github.io/Logging_0360/klagomålsmail/A 7125-2023 FSC-klagomål mail.docx", "A 7125-2023")</f>
        <v/>
      </c>
      <c r="X169">
        <f>HYPERLINK("https://klasma.github.io/Logging_0360/tillsyn/A 7125-2023 tillsynsbegäran.docx", "A 7125-2023")</f>
        <v/>
      </c>
      <c r="Y169">
        <f>HYPERLINK("https://klasma.github.io/Logging_0360/tillsynsmail/A 7125-2023 tillsynsbegäran mail.docx", "A 7125-2023")</f>
        <v/>
      </c>
    </row>
    <row r="170" ht="15" customHeight="1">
      <c r="A170" t="inlineStr">
        <is>
          <t>A 9422-2023</t>
        </is>
      </c>
      <c r="B170" s="1" t="n">
        <v>44977</v>
      </c>
      <c r="C170" s="1" t="n">
        <v>45832</v>
      </c>
      <c r="D170" t="inlineStr">
        <is>
          <t>UPPSALA LÄN</t>
        </is>
      </c>
      <c r="E170" t="inlineStr">
        <is>
          <t>UPPSALA</t>
        </is>
      </c>
      <c r="G170" t="n">
        <v>4.5</v>
      </c>
      <c r="H170" t="n">
        <v>0</v>
      </c>
      <c r="I170" t="n">
        <v>5</v>
      </c>
      <c r="J170" t="n">
        <v>0</v>
      </c>
      <c r="K170" t="n">
        <v>0</v>
      </c>
      <c r="L170" t="n">
        <v>0</v>
      </c>
      <c r="M170" t="n">
        <v>0</v>
      </c>
      <c r="N170" t="n">
        <v>0</v>
      </c>
      <c r="O170" t="n">
        <v>0</v>
      </c>
      <c r="P170" t="n">
        <v>0</v>
      </c>
      <c r="Q170" t="n">
        <v>5</v>
      </c>
      <c r="R170" s="2" t="inlineStr">
        <is>
          <t>Anisspindling
Brun klibbskivling
Olivspindling
Skarp dropptaggsvamp
Strimspindling</t>
        </is>
      </c>
      <c r="S170">
        <f>HYPERLINK("https://klasma.github.io/Logging_0380/artfynd/A 9422-2023 artfynd.xlsx", "A 9422-2023")</f>
        <v/>
      </c>
      <c r="T170">
        <f>HYPERLINK("https://klasma.github.io/Logging_0380/kartor/A 9422-2023 karta.png", "A 9422-2023")</f>
        <v/>
      </c>
      <c r="V170">
        <f>HYPERLINK("https://klasma.github.io/Logging_0380/klagomål/A 9422-2023 FSC-klagomål.docx", "A 9422-2023")</f>
        <v/>
      </c>
      <c r="W170">
        <f>HYPERLINK("https://klasma.github.io/Logging_0380/klagomålsmail/A 9422-2023 FSC-klagomål mail.docx", "A 9422-2023")</f>
        <v/>
      </c>
      <c r="X170">
        <f>HYPERLINK("https://klasma.github.io/Logging_0380/tillsyn/A 9422-2023 tillsynsbegäran.docx", "A 9422-2023")</f>
        <v/>
      </c>
      <c r="Y170">
        <f>HYPERLINK("https://klasma.github.io/Logging_0380/tillsynsmail/A 9422-2023 tillsynsbegäran mail.docx", "A 9422-2023")</f>
        <v/>
      </c>
    </row>
    <row r="171" ht="15" customHeight="1">
      <c r="A171" t="inlineStr">
        <is>
          <t>A 13604-2023</t>
        </is>
      </c>
      <c r="B171" s="1" t="n">
        <v>45006</v>
      </c>
      <c r="C171" s="1" t="n">
        <v>45832</v>
      </c>
      <c r="D171" t="inlineStr">
        <is>
          <t>UPPSALA LÄN</t>
        </is>
      </c>
      <c r="E171" t="inlineStr">
        <is>
          <t>ÖSTHAMMAR</t>
        </is>
      </c>
      <c r="G171" t="n">
        <v>5.7</v>
      </c>
      <c r="H171" t="n">
        <v>0</v>
      </c>
      <c r="I171" t="n">
        <v>4</v>
      </c>
      <c r="J171" t="n">
        <v>1</v>
      </c>
      <c r="K171" t="n">
        <v>0</v>
      </c>
      <c r="L171" t="n">
        <v>0</v>
      </c>
      <c r="M171" t="n">
        <v>0</v>
      </c>
      <c r="N171" t="n">
        <v>0</v>
      </c>
      <c r="O171" t="n">
        <v>1</v>
      </c>
      <c r="P171" t="n">
        <v>0</v>
      </c>
      <c r="Q171" t="n">
        <v>5</v>
      </c>
      <c r="R171" s="2" t="inlineStr">
        <is>
          <t>Odörspindling
Anisspindling
Diskvaxskivling
Olivspindling
Rödgul trumpetsvamp</t>
        </is>
      </c>
      <c r="S171">
        <f>HYPERLINK("https://klasma.github.io/Logging_0382/artfynd/A 13604-2023 artfynd.xlsx", "A 13604-2023")</f>
        <v/>
      </c>
      <c r="T171">
        <f>HYPERLINK("https://klasma.github.io/Logging_0382/kartor/A 13604-2023 karta.png", "A 13604-2023")</f>
        <v/>
      </c>
      <c r="V171">
        <f>HYPERLINK("https://klasma.github.io/Logging_0382/klagomål/A 13604-2023 FSC-klagomål.docx", "A 13604-2023")</f>
        <v/>
      </c>
      <c r="W171">
        <f>HYPERLINK("https://klasma.github.io/Logging_0382/klagomålsmail/A 13604-2023 FSC-klagomål mail.docx", "A 13604-2023")</f>
        <v/>
      </c>
      <c r="X171">
        <f>HYPERLINK("https://klasma.github.io/Logging_0382/tillsyn/A 13604-2023 tillsynsbegäran.docx", "A 13604-2023")</f>
        <v/>
      </c>
      <c r="Y171">
        <f>HYPERLINK("https://klasma.github.io/Logging_0382/tillsynsmail/A 13604-2023 tillsynsbegäran mail.docx", "A 13604-2023")</f>
        <v/>
      </c>
    </row>
    <row r="172" ht="15" customHeight="1">
      <c r="A172" t="inlineStr">
        <is>
          <t>A 17954-2023</t>
        </is>
      </c>
      <c r="B172" s="1" t="n">
        <v>45040</v>
      </c>
      <c r="C172" s="1" t="n">
        <v>45832</v>
      </c>
      <c r="D172" t="inlineStr">
        <is>
          <t>UPPSALA LÄN</t>
        </is>
      </c>
      <c r="E172" t="inlineStr">
        <is>
          <t>TIERP</t>
        </is>
      </c>
      <c r="G172" t="n">
        <v>8.199999999999999</v>
      </c>
      <c r="H172" t="n">
        <v>0</v>
      </c>
      <c r="I172" t="n">
        <v>2</v>
      </c>
      <c r="J172" t="n">
        <v>1</v>
      </c>
      <c r="K172" t="n">
        <v>2</v>
      </c>
      <c r="L172" t="n">
        <v>0</v>
      </c>
      <c r="M172" t="n">
        <v>0</v>
      </c>
      <c r="N172" t="n">
        <v>0</v>
      </c>
      <c r="O172" t="n">
        <v>3</v>
      </c>
      <c r="P172" t="n">
        <v>2</v>
      </c>
      <c r="Q172" t="n">
        <v>5</v>
      </c>
      <c r="R172" s="2" t="inlineStr">
        <is>
          <t>Duvspindling
Taggfingersvamp
Äggspindling
Anisspindling
Olivspindling</t>
        </is>
      </c>
      <c r="S172">
        <f>HYPERLINK("https://klasma.github.io/Logging_0360/artfynd/A 17954-2023 artfynd.xlsx", "A 17954-2023")</f>
        <v/>
      </c>
      <c r="T172">
        <f>HYPERLINK("https://klasma.github.io/Logging_0360/kartor/A 17954-2023 karta.png", "A 17954-2023")</f>
        <v/>
      </c>
      <c r="V172">
        <f>HYPERLINK("https://klasma.github.io/Logging_0360/klagomål/A 17954-2023 FSC-klagomål.docx", "A 17954-2023")</f>
        <v/>
      </c>
      <c r="W172">
        <f>HYPERLINK("https://klasma.github.io/Logging_0360/klagomålsmail/A 17954-2023 FSC-klagomål mail.docx", "A 17954-2023")</f>
        <v/>
      </c>
      <c r="X172">
        <f>HYPERLINK("https://klasma.github.io/Logging_0360/tillsyn/A 17954-2023 tillsynsbegäran.docx", "A 17954-2023")</f>
        <v/>
      </c>
      <c r="Y172">
        <f>HYPERLINK("https://klasma.github.io/Logging_0360/tillsynsmail/A 17954-2023 tillsynsbegäran mail.docx", "A 17954-2023")</f>
        <v/>
      </c>
    </row>
    <row r="173" ht="15" customHeight="1">
      <c r="A173" t="inlineStr">
        <is>
          <t>A 23498-2023</t>
        </is>
      </c>
      <c r="B173" s="1" t="n">
        <v>45076</v>
      </c>
      <c r="C173" s="1" t="n">
        <v>45832</v>
      </c>
      <c r="D173" t="inlineStr">
        <is>
          <t>UPPSALA LÄN</t>
        </is>
      </c>
      <c r="E173" t="inlineStr">
        <is>
          <t>ÖSTHAMMAR</t>
        </is>
      </c>
      <c r="F173" t="inlineStr">
        <is>
          <t>Sveaskog</t>
        </is>
      </c>
      <c r="G173" t="n">
        <v>1.4</v>
      </c>
      <c r="H173" t="n">
        <v>5</v>
      </c>
      <c r="I173" t="n">
        <v>0</v>
      </c>
      <c r="J173" t="n">
        <v>3</v>
      </c>
      <c r="K173" t="n">
        <v>1</v>
      </c>
      <c r="L173" t="n">
        <v>1</v>
      </c>
      <c r="M173" t="n">
        <v>0</v>
      </c>
      <c r="N173" t="n">
        <v>0</v>
      </c>
      <c r="O173" t="n">
        <v>5</v>
      </c>
      <c r="P173" t="n">
        <v>2</v>
      </c>
      <c r="Q173" t="n">
        <v>5</v>
      </c>
      <c r="R173" s="2" t="inlineStr">
        <is>
          <t>Grönfink
Gråtrut
Gulsparv
Svartvit flugsnappare
Talltita</t>
        </is>
      </c>
      <c r="S173">
        <f>HYPERLINK("https://klasma.github.io/Logging_0382/artfynd/A 23498-2023 artfynd.xlsx", "A 23498-2023")</f>
        <v/>
      </c>
      <c r="T173">
        <f>HYPERLINK("https://klasma.github.io/Logging_0382/kartor/A 23498-2023 karta.png", "A 23498-2023")</f>
        <v/>
      </c>
      <c r="V173">
        <f>HYPERLINK("https://klasma.github.io/Logging_0382/klagomål/A 23498-2023 FSC-klagomål.docx", "A 23498-2023")</f>
        <v/>
      </c>
      <c r="W173">
        <f>HYPERLINK("https://klasma.github.io/Logging_0382/klagomålsmail/A 23498-2023 FSC-klagomål mail.docx", "A 23498-2023")</f>
        <v/>
      </c>
      <c r="X173">
        <f>HYPERLINK("https://klasma.github.io/Logging_0382/tillsyn/A 23498-2023 tillsynsbegäran.docx", "A 23498-2023")</f>
        <v/>
      </c>
      <c r="Y173">
        <f>HYPERLINK("https://klasma.github.io/Logging_0382/tillsynsmail/A 23498-2023 tillsynsbegäran mail.docx", "A 23498-2023")</f>
        <v/>
      </c>
      <c r="Z173">
        <f>HYPERLINK("https://klasma.github.io/Logging_0382/fåglar/A 23498-2023 prioriterade fågelarter.docx", "A 23498-2023")</f>
        <v/>
      </c>
    </row>
    <row r="174" ht="15" customHeight="1">
      <c r="A174" t="inlineStr">
        <is>
          <t>A 27625-2023</t>
        </is>
      </c>
      <c r="B174" s="1" t="n">
        <v>45097</v>
      </c>
      <c r="C174" s="1" t="n">
        <v>45832</v>
      </c>
      <c r="D174" t="inlineStr">
        <is>
          <t>UPPSALA LÄN</t>
        </is>
      </c>
      <c r="E174" t="inlineStr">
        <is>
          <t>UPPSALA</t>
        </is>
      </c>
      <c r="G174" t="n">
        <v>6</v>
      </c>
      <c r="H174" t="n">
        <v>4</v>
      </c>
      <c r="I174" t="n">
        <v>1</v>
      </c>
      <c r="J174" t="n">
        <v>1</v>
      </c>
      <c r="K174" t="n">
        <v>0</v>
      </c>
      <c r="L174" t="n">
        <v>0</v>
      </c>
      <c r="M174" t="n">
        <v>0</v>
      </c>
      <c r="N174" t="n">
        <v>0</v>
      </c>
      <c r="O174" t="n">
        <v>1</v>
      </c>
      <c r="P174" t="n">
        <v>0</v>
      </c>
      <c r="Q174" t="n">
        <v>5</v>
      </c>
      <c r="R174" s="2" t="inlineStr">
        <is>
          <t>Spillkråka
Fällmossa
Gröngöling
Skogsödla
Blåsippa</t>
        </is>
      </c>
      <c r="S174">
        <f>HYPERLINK("https://klasma.github.io/Logging_0380/artfynd/A 27625-2023 artfynd.xlsx", "A 27625-2023")</f>
        <v/>
      </c>
      <c r="T174">
        <f>HYPERLINK("https://klasma.github.io/Logging_0380/kartor/A 27625-2023 karta.png", "A 27625-2023")</f>
        <v/>
      </c>
      <c r="V174">
        <f>HYPERLINK("https://klasma.github.io/Logging_0380/klagomål/A 27625-2023 FSC-klagomål.docx", "A 27625-2023")</f>
        <v/>
      </c>
      <c r="W174">
        <f>HYPERLINK("https://klasma.github.io/Logging_0380/klagomålsmail/A 27625-2023 FSC-klagomål mail.docx", "A 27625-2023")</f>
        <v/>
      </c>
      <c r="X174">
        <f>HYPERLINK("https://klasma.github.io/Logging_0380/tillsyn/A 27625-2023 tillsynsbegäran.docx", "A 27625-2023")</f>
        <v/>
      </c>
      <c r="Y174">
        <f>HYPERLINK("https://klasma.github.io/Logging_0380/tillsynsmail/A 27625-2023 tillsynsbegäran mail.docx", "A 27625-2023")</f>
        <v/>
      </c>
      <c r="Z174">
        <f>HYPERLINK("https://klasma.github.io/Logging_0380/fåglar/A 27625-2023 prioriterade fågelarter.docx", "A 27625-2023")</f>
        <v/>
      </c>
    </row>
    <row r="175" ht="15" customHeight="1">
      <c r="A175" t="inlineStr">
        <is>
          <t>A 28211-2023</t>
        </is>
      </c>
      <c r="B175" s="1" t="n">
        <v>45099</v>
      </c>
      <c r="C175" s="1" t="n">
        <v>45832</v>
      </c>
      <c r="D175" t="inlineStr">
        <is>
          <t>UPPSALA LÄN</t>
        </is>
      </c>
      <c r="E175" t="inlineStr">
        <is>
          <t>ÖSTHAMMAR</t>
        </is>
      </c>
      <c r="G175" t="n">
        <v>3.2</v>
      </c>
      <c r="H175" t="n">
        <v>5</v>
      </c>
      <c r="I175" t="n">
        <v>0</v>
      </c>
      <c r="J175" t="n">
        <v>1</v>
      </c>
      <c r="K175" t="n">
        <v>2</v>
      </c>
      <c r="L175" t="n">
        <v>2</v>
      </c>
      <c r="M175" t="n">
        <v>0</v>
      </c>
      <c r="N175" t="n">
        <v>0</v>
      </c>
      <c r="O175" t="n">
        <v>5</v>
      </c>
      <c r="P175" t="n">
        <v>4</v>
      </c>
      <c r="Q175" t="n">
        <v>5</v>
      </c>
      <c r="R175" s="2" t="inlineStr">
        <is>
          <t>Ejder
Grönfink
Havstrut
Kricka
Rödvingetrast</t>
        </is>
      </c>
      <c r="S175">
        <f>HYPERLINK("https://klasma.github.io/Logging_0382/artfynd/A 28211-2023 artfynd.xlsx", "A 28211-2023")</f>
        <v/>
      </c>
      <c r="T175">
        <f>HYPERLINK("https://klasma.github.io/Logging_0382/kartor/A 28211-2023 karta.png", "A 28211-2023")</f>
        <v/>
      </c>
      <c r="V175">
        <f>HYPERLINK("https://klasma.github.io/Logging_0382/klagomål/A 28211-2023 FSC-klagomål.docx", "A 28211-2023")</f>
        <v/>
      </c>
      <c r="W175">
        <f>HYPERLINK("https://klasma.github.io/Logging_0382/klagomålsmail/A 28211-2023 FSC-klagomål mail.docx", "A 28211-2023")</f>
        <v/>
      </c>
      <c r="X175">
        <f>HYPERLINK("https://klasma.github.io/Logging_0382/tillsyn/A 28211-2023 tillsynsbegäran.docx", "A 28211-2023")</f>
        <v/>
      </c>
      <c r="Y175">
        <f>HYPERLINK("https://klasma.github.io/Logging_0382/tillsynsmail/A 28211-2023 tillsynsbegäran mail.docx", "A 28211-2023")</f>
        <v/>
      </c>
      <c r="Z175">
        <f>HYPERLINK("https://klasma.github.io/Logging_0382/fåglar/A 28211-2023 prioriterade fågelarter.docx", "A 28211-2023")</f>
        <v/>
      </c>
    </row>
    <row r="176" ht="15" customHeight="1">
      <c r="A176" t="inlineStr">
        <is>
          <t>A 29803-2023</t>
        </is>
      </c>
      <c r="B176" s="1" t="n">
        <v>45107</v>
      </c>
      <c r="C176" s="1" t="n">
        <v>45832</v>
      </c>
      <c r="D176" t="inlineStr">
        <is>
          <t>UPPSALA LÄN</t>
        </is>
      </c>
      <c r="E176" t="inlineStr">
        <is>
          <t>UPPSALA</t>
        </is>
      </c>
      <c r="G176" t="n">
        <v>2.5</v>
      </c>
      <c r="H176" t="n">
        <v>0</v>
      </c>
      <c r="I176" t="n">
        <v>3</v>
      </c>
      <c r="J176" t="n">
        <v>2</v>
      </c>
      <c r="K176" t="n">
        <v>0</v>
      </c>
      <c r="L176" t="n">
        <v>0</v>
      </c>
      <c r="M176" t="n">
        <v>0</v>
      </c>
      <c r="N176" t="n">
        <v>0</v>
      </c>
      <c r="O176" t="n">
        <v>2</v>
      </c>
      <c r="P176" t="n">
        <v>0</v>
      </c>
      <c r="Q176" t="n">
        <v>5</v>
      </c>
      <c r="R176" s="2" t="inlineStr">
        <is>
          <t>Barrviolspindling
Flattoppad klubbsvamp
Blomkålssvamp
Fjällig taggsvamp s.str.
Svavelriska</t>
        </is>
      </c>
      <c r="S176">
        <f>HYPERLINK("https://klasma.github.io/Logging_0380/artfynd/A 29803-2023 artfynd.xlsx", "A 29803-2023")</f>
        <v/>
      </c>
      <c r="T176">
        <f>HYPERLINK("https://klasma.github.io/Logging_0380/kartor/A 29803-2023 karta.png", "A 29803-2023")</f>
        <v/>
      </c>
      <c r="V176">
        <f>HYPERLINK("https://klasma.github.io/Logging_0380/klagomål/A 29803-2023 FSC-klagomål.docx", "A 29803-2023")</f>
        <v/>
      </c>
      <c r="W176">
        <f>HYPERLINK("https://klasma.github.io/Logging_0380/klagomålsmail/A 29803-2023 FSC-klagomål mail.docx", "A 29803-2023")</f>
        <v/>
      </c>
      <c r="X176">
        <f>HYPERLINK("https://klasma.github.io/Logging_0380/tillsyn/A 29803-2023 tillsynsbegäran.docx", "A 29803-2023")</f>
        <v/>
      </c>
      <c r="Y176">
        <f>HYPERLINK("https://klasma.github.io/Logging_0380/tillsynsmail/A 29803-2023 tillsynsbegäran mail.docx", "A 29803-2023")</f>
        <v/>
      </c>
    </row>
    <row r="177" ht="15" customHeight="1">
      <c r="A177" t="inlineStr">
        <is>
          <t>A 31572-2023</t>
        </is>
      </c>
      <c r="B177" s="1" t="n">
        <v>45117</v>
      </c>
      <c r="C177" s="1" t="n">
        <v>45832</v>
      </c>
      <c r="D177" t="inlineStr">
        <is>
          <t>UPPSALA LÄN</t>
        </is>
      </c>
      <c r="E177" t="inlineStr">
        <is>
          <t>HEBY</t>
        </is>
      </c>
      <c r="G177" t="n">
        <v>6.1</v>
      </c>
      <c r="H177" t="n">
        <v>2</v>
      </c>
      <c r="I177" t="n">
        <v>3</v>
      </c>
      <c r="J177" t="n">
        <v>0</v>
      </c>
      <c r="K177" t="n">
        <v>1</v>
      </c>
      <c r="L177" t="n">
        <v>0</v>
      </c>
      <c r="M177" t="n">
        <v>0</v>
      </c>
      <c r="N177" t="n">
        <v>0</v>
      </c>
      <c r="O177" t="n">
        <v>1</v>
      </c>
      <c r="P177" t="n">
        <v>1</v>
      </c>
      <c r="Q177" t="n">
        <v>5</v>
      </c>
      <c r="R177" s="2" t="inlineStr">
        <is>
          <t>Knärot
Grönpyrola
Norrlandslav
Vedticka
Fläcknycklar</t>
        </is>
      </c>
      <c r="S177">
        <f>HYPERLINK("https://klasma.github.io/Logging_0331/artfynd/A 31572-2023 artfynd.xlsx", "A 31572-2023")</f>
        <v/>
      </c>
      <c r="T177">
        <f>HYPERLINK("https://klasma.github.io/Logging_0331/kartor/A 31572-2023 karta.png", "A 31572-2023")</f>
        <v/>
      </c>
      <c r="U177">
        <f>HYPERLINK("https://klasma.github.io/Logging_0331/knärot/A 31572-2023 karta knärot.png", "A 31572-2023")</f>
        <v/>
      </c>
      <c r="V177">
        <f>HYPERLINK("https://klasma.github.io/Logging_0331/klagomål/A 31572-2023 FSC-klagomål.docx", "A 31572-2023")</f>
        <v/>
      </c>
      <c r="W177">
        <f>HYPERLINK("https://klasma.github.io/Logging_0331/klagomålsmail/A 31572-2023 FSC-klagomål mail.docx", "A 31572-2023")</f>
        <v/>
      </c>
      <c r="X177">
        <f>HYPERLINK("https://klasma.github.io/Logging_0331/tillsyn/A 31572-2023 tillsynsbegäran.docx", "A 31572-2023")</f>
        <v/>
      </c>
      <c r="Y177">
        <f>HYPERLINK("https://klasma.github.io/Logging_0331/tillsynsmail/A 31572-2023 tillsynsbegäran mail.docx", "A 31572-2023")</f>
        <v/>
      </c>
    </row>
    <row r="178" ht="15" customHeight="1">
      <c r="A178" t="inlineStr">
        <is>
          <t>A 46964-2023</t>
        </is>
      </c>
      <c r="B178" s="1" t="n">
        <v>45201</v>
      </c>
      <c r="C178" s="1" t="n">
        <v>45832</v>
      </c>
      <c r="D178" t="inlineStr">
        <is>
          <t>UPPSALA LÄN</t>
        </is>
      </c>
      <c r="E178" t="inlineStr">
        <is>
          <t>ÖSTHAMMAR</t>
        </is>
      </c>
      <c r="G178" t="n">
        <v>1.1</v>
      </c>
      <c r="H178" t="n">
        <v>0</v>
      </c>
      <c r="I178" t="n">
        <v>3</v>
      </c>
      <c r="J178" t="n">
        <v>2</v>
      </c>
      <c r="K178" t="n">
        <v>0</v>
      </c>
      <c r="L178" t="n">
        <v>0</v>
      </c>
      <c r="M178" t="n">
        <v>0</v>
      </c>
      <c r="N178" t="n">
        <v>0</v>
      </c>
      <c r="O178" t="n">
        <v>2</v>
      </c>
      <c r="P178" t="n">
        <v>0</v>
      </c>
      <c r="Q178" t="n">
        <v>5</v>
      </c>
      <c r="R178" s="2" t="inlineStr">
        <is>
          <t>Granticka
Orange taggsvamp
Anisspindling
Granbarkgnagare
Trådticka</t>
        </is>
      </c>
      <c r="S178">
        <f>HYPERLINK("https://klasma.github.io/Logging_0382/artfynd/A 46964-2023 artfynd.xlsx", "A 46964-2023")</f>
        <v/>
      </c>
      <c r="T178">
        <f>HYPERLINK("https://klasma.github.io/Logging_0382/kartor/A 46964-2023 karta.png", "A 46964-2023")</f>
        <v/>
      </c>
      <c r="V178">
        <f>HYPERLINK("https://klasma.github.io/Logging_0382/klagomål/A 46964-2023 FSC-klagomål.docx", "A 46964-2023")</f>
        <v/>
      </c>
      <c r="W178">
        <f>HYPERLINK("https://klasma.github.io/Logging_0382/klagomålsmail/A 46964-2023 FSC-klagomål mail.docx", "A 46964-2023")</f>
        <v/>
      </c>
      <c r="X178">
        <f>HYPERLINK("https://klasma.github.io/Logging_0382/tillsyn/A 46964-2023 tillsynsbegäran.docx", "A 46964-2023")</f>
        <v/>
      </c>
      <c r="Y178">
        <f>HYPERLINK("https://klasma.github.io/Logging_0382/tillsynsmail/A 46964-2023 tillsynsbegäran mail.docx", "A 46964-2023")</f>
        <v/>
      </c>
    </row>
    <row r="179" ht="15" customHeight="1">
      <c r="A179" t="inlineStr">
        <is>
          <t>A 49896-2023</t>
        </is>
      </c>
      <c r="B179" s="1" t="n">
        <v>45213</v>
      </c>
      <c r="C179" s="1" t="n">
        <v>45832</v>
      </c>
      <c r="D179" t="inlineStr">
        <is>
          <t>UPPSALA LÄN</t>
        </is>
      </c>
      <c r="E179" t="inlineStr">
        <is>
          <t>KNIVSTA</t>
        </is>
      </c>
      <c r="G179" t="n">
        <v>4.8</v>
      </c>
      <c r="H179" t="n">
        <v>5</v>
      </c>
      <c r="I179" t="n">
        <v>0</v>
      </c>
      <c r="J179" t="n">
        <v>2</v>
      </c>
      <c r="K179" t="n">
        <v>0</v>
      </c>
      <c r="L179" t="n">
        <v>0</v>
      </c>
      <c r="M179" t="n">
        <v>0</v>
      </c>
      <c r="N179" t="n">
        <v>0</v>
      </c>
      <c r="O179" t="n">
        <v>2</v>
      </c>
      <c r="P179" t="n">
        <v>0</v>
      </c>
      <c r="Q179" t="n">
        <v>5</v>
      </c>
      <c r="R179" s="2" t="inlineStr">
        <is>
          <t>Gulsparv
Talltita
Grönsiska
Järnsparv
Kungsfågel</t>
        </is>
      </c>
      <c r="S179">
        <f>HYPERLINK("https://klasma.github.io/Logging_0330/artfynd/A 49896-2023 artfynd.xlsx", "A 49896-2023")</f>
        <v/>
      </c>
      <c r="T179">
        <f>HYPERLINK("https://klasma.github.io/Logging_0330/kartor/A 49896-2023 karta.png", "A 49896-2023")</f>
        <v/>
      </c>
      <c r="V179">
        <f>HYPERLINK("https://klasma.github.io/Logging_0330/klagomål/A 49896-2023 FSC-klagomål.docx", "A 49896-2023")</f>
        <v/>
      </c>
      <c r="W179">
        <f>HYPERLINK("https://klasma.github.io/Logging_0330/klagomålsmail/A 49896-2023 FSC-klagomål mail.docx", "A 49896-2023")</f>
        <v/>
      </c>
      <c r="X179">
        <f>HYPERLINK("https://klasma.github.io/Logging_0330/tillsyn/A 49896-2023 tillsynsbegäran.docx", "A 49896-2023")</f>
        <v/>
      </c>
      <c r="Y179">
        <f>HYPERLINK("https://klasma.github.io/Logging_0330/tillsynsmail/A 49896-2023 tillsynsbegäran mail.docx", "A 49896-2023")</f>
        <v/>
      </c>
      <c r="Z179">
        <f>HYPERLINK("https://klasma.github.io/Logging_0330/fåglar/A 49896-2023 prioriterade fågelarter.docx", "A 49896-2023")</f>
        <v/>
      </c>
    </row>
    <row r="180" ht="15" customHeight="1">
      <c r="A180" t="inlineStr">
        <is>
          <t>A 54749-2023</t>
        </is>
      </c>
      <c r="B180" s="1" t="n">
        <v>45236</v>
      </c>
      <c r="C180" s="1" t="n">
        <v>45832</v>
      </c>
      <c r="D180" t="inlineStr">
        <is>
          <t>UPPSALA LÄN</t>
        </is>
      </c>
      <c r="E180" t="inlineStr">
        <is>
          <t>TIERP</t>
        </is>
      </c>
      <c r="G180" t="n">
        <v>4.9</v>
      </c>
      <c r="H180" t="n">
        <v>4</v>
      </c>
      <c r="I180" t="n">
        <v>0</v>
      </c>
      <c r="J180" t="n">
        <v>4</v>
      </c>
      <c r="K180" t="n">
        <v>0</v>
      </c>
      <c r="L180" t="n">
        <v>0</v>
      </c>
      <c r="M180" t="n">
        <v>0</v>
      </c>
      <c r="N180" t="n">
        <v>0</v>
      </c>
      <c r="O180" t="n">
        <v>4</v>
      </c>
      <c r="P180" t="n">
        <v>0</v>
      </c>
      <c r="Q180" t="n">
        <v>5</v>
      </c>
      <c r="R180" s="2" t="inlineStr">
        <is>
          <t>Grönsångare
Rödvingetrast
Storgröe
Svartvit flugsnappare
Blåsippa</t>
        </is>
      </c>
      <c r="S180">
        <f>HYPERLINK("https://klasma.github.io/Logging_0360/artfynd/A 54749-2023 artfynd.xlsx", "A 54749-2023")</f>
        <v/>
      </c>
      <c r="T180">
        <f>HYPERLINK("https://klasma.github.io/Logging_0360/kartor/A 54749-2023 karta.png", "A 54749-2023")</f>
        <v/>
      </c>
      <c r="V180">
        <f>HYPERLINK("https://klasma.github.io/Logging_0360/klagomål/A 54749-2023 FSC-klagomål.docx", "A 54749-2023")</f>
        <v/>
      </c>
      <c r="W180">
        <f>HYPERLINK("https://klasma.github.io/Logging_0360/klagomålsmail/A 54749-2023 FSC-klagomål mail.docx", "A 54749-2023")</f>
        <v/>
      </c>
      <c r="X180">
        <f>HYPERLINK("https://klasma.github.io/Logging_0360/tillsyn/A 54749-2023 tillsynsbegäran.docx", "A 54749-2023")</f>
        <v/>
      </c>
      <c r="Y180">
        <f>HYPERLINK("https://klasma.github.io/Logging_0360/tillsynsmail/A 54749-2023 tillsynsbegäran mail.docx", "A 54749-2023")</f>
        <v/>
      </c>
      <c r="Z180">
        <f>HYPERLINK("https://klasma.github.io/Logging_0360/fåglar/A 54749-2023 prioriterade fågelarter.docx", "A 54749-2023")</f>
        <v/>
      </c>
    </row>
    <row r="181" ht="15" customHeight="1">
      <c r="A181" t="inlineStr">
        <is>
          <t>A 56075-2023</t>
        </is>
      </c>
      <c r="B181" s="1" t="n">
        <v>45240</v>
      </c>
      <c r="C181" s="1" t="n">
        <v>45832</v>
      </c>
      <c r="D181" t="inlineStr">
        <is>
          <t>UPPSALA LÄN</t>
        </is>
      </c>
      <c r="E181" t="inlineStr">
        <is>
          <t>HEBY</t>
        </is>
      </c>
      <c r="G181" t="n">
        <v>3.8</v>
      </c>
      <c r="H181" t="n">
        <v>1</v>
      </c>
      <c r="I181" t="n">
        <v>2</v>
      </c>
      <c r="J181" t="n">
        <v>2</v>
      </c>
      <c r="K181" t="n">
        <v>0</v>
      </c>
      <c r="L181" t="n">
        <v>0</v>
      </c>
      <c r="M181" t="n">
        <v>0</v>
      </c>
      <c r="N181" t="n">
        <v>0</v>
      </c>
      <c r="O181" t="n">
        <v>2</v>
      </c>
      <c r="P181" t="n">
        <v>0</v>
      </c>
      <c r="Q181" t="n">
        <v>5</v>
      </c>
      <c r="R181" s="2" t="inlineStr">
        <is>
          <t>Ullticka
Vedtrappmossa
Jättesvampmal
Rostfläck
Blåsippa</t>
        </is>
      </c>
      <c r="S181">
        <f>HYPERLINK("https://klasma.github.io/Logging_0331/artfynd/A 56075-2023 artfynd.xlsx", "A 56075-2023")</f>
        <v/>
      </c>
      <c r="T181">
        <f>HYPERLINK("https://klasma.github.io/Logging_0331/kartor/A 56075-2023 karta.png", "A 56075-2023")</f>
        <v/>
      </c>
      <c r="V181">
        <f>HYPERLINK("https://klasma.github.io/Logging_0331/klagomål/A 56075-2023 FSC-klagomål.docx", "A 56075-2023")</f>
        <v/>
      </c>
      <c r="W181">
        <f>HYPERLINK("https://klasma.github.io/Logging_0331/klagomålsmail/A 56075-2023 FSC-klagomål mail.docx", "A 56075-2023")</f>
        <v/>
      </c>
      <c r="X181">
        <f>HYPERLINK("https://klasma.github.io/Logging_0331/tillsyn/A 56075-2023 tillsynsbegäran.docx", "A 56075-2023")</f>
        <v/>
      </c>
      <c r="Y181">
        <f>HYPERLINK("https://klasma.github.io/Logging_0331/tillsynsmail/A 56075-2023 tillsynsbegäran mail.docx", "A 56075-2023")</f>
        <v/>
      </c>
    </row>
    <row r="182" ht="15" customHeight="1">
      <c r="A182" t="inlineStr">
        <is>
          <t>A 63181-2023</t>
        </is>
      </c>
      <c r="B182" s="1" t="n">
        <v>45273</v>
      </c>
      <c r="C182" s="1" t="n">
        <v>45832</v>
      </c>
      <c r="D182" t="inlineStr">
        <is>
          <t>UPPSALA LÄN</t>
        </is>
      </c>
      <c r="E182" t="inlineStr">
        <is>
          <t>UPPSALA</t>
        </is>
      </c>
      <c r="G182" t="n">
        <v>3.2</v>
      </c>
      <c r="H182" t="n">
        <v>0</v>
      </c>
      <c r="I182" t="n">
        <v>2</v>
      </c>
      <c r="J182" t="n">
        <v>3</v>
      </c>
      <c r="K182" t="n">
        <v>0</v>
      </c>
      <c r="L182" t="n">
        <v>0</v>
      </c>
      <c r="M182" t="n">
        <v>0</v>
      </c>
      <c r="N182" t="n">
        <v>0</v>
      </c>
      <c r="O182" t="n">
        <v>3</v>
      </c>
      <c r="P182" t="n">
        <v>0</v>
      </c>
      <c r="Q182" t="n">
        <v>5</v>
      </c>
      <c r="R182" s="2" t="inlineStr">
        <is>
          <t>Barrviolspindling
Harticka
Kungsspindling
Brandticka
Kamjordstjärna</t>
        </is>
      </c>
      <c r="S182">
        <f>HYPERLINK("https://klasma.github.io/Logging_0380/artfynd/A 63181-2023 artfynd.xlsx", "A 63181-2023")</f>
        <v/>
      </c>
      <c r="T182">
        <f>HYPERLINK("https://klasma.github.io/Logging_0380/kartor/A 63181-2023 karta.png", "A 63181-2023")</f>
        <v/>
      </c>
      <c r="V182">
        <f>HYPERLINK("https://klasma.github.io/Logging_0380/klagomål/A 63181-2023 FSC-klagomål.docx", "A 63181-2023")</f>
        <v/>
      </c>
      <c r="W182">
        <f>HYPERLINK("https://klasma.github.io/Logging_0380/klagomålsmail/A 63181-2023 FSC-klagomål mail.docx", "A 63181-2023")</f>
        <v/>
      </c>
      <c r="X182">
        <f>HYPERLINK("https://klasma.github.io/Logging_0380/tillsyn/A 63181-2023 tillsynsbegäran.docx", "A 63181-2023")</f>
        <v/>
      </c>
      <c r="Y182">
        <f>HYPERLINK("https://klasma.github.io/Logging_0380/tillsynsmail/A 63181-2023 tillsynsbegäran mail.docx", "A 63181-2023")</f>
        <v/>
      </c>
    </row>
    <row r="183" ht="15" customHeight="1">
      <c r="A183" t="inlineStr">
        <is>
          <t>A 3100-2024</t>
        </is>
      </c>
      <c r="B183" s="1" t="n">
        <v>45316</v>
      </c>
      <c r="C183" s="1" t="n">
        <v>45832</v>
      </c>
      <c r="D183" t="inlineStr">
        <is>
          <t>UPPSALA LÄN</t>
        </is>
      </c>
      <c r="E183" t="inlineStr">
        <is>
          <t>UPPSALA</t>
        </is>
      </c>
      <c r="F183" t="inlineStr">
        <is>
          <t>Holmen skog AB</t>
        </is>
      </c>
      <c r="G183" t="n">
        <v>3.5</v>
      </c>
      <c r="H183" t="n">
        <v>5</v>
      </c>
      <c r="I183" t="n">
        <v>1</v>
      </c>
      <c r="J183" t="n">
        <v>0</v>
      </c>
      <c r="K183" t="n">
        <v>0</v>
      </c>
      <c r="L183" t="n">
        <v>0</v>
      </c>
      <c r="M183" t="n">
        <v>0</v>
      </c>
      <c r="N183" t="n">
        <v>0</v>
      </c>
      <c r="O183" t="n">
        <v>0</v>
      </c>
      <c r="P183" t="n">
        <v>0</v>
      </c>
      <c r="Q183" t="n">
        <v>5</v>
      </c>
      <c r="R183" s="2" t="inlineStr">
        <is>
          <t>Nästrot
Grönsiska
Järnsparv
Kungsfågel
Blåsippa</t>
        </is>
      </c>
      <c r="S183">
        <f>HYPERLINK("https://klasma.github.io/Logging_0380/artfynd/A 3100-2024 artfynd.xlsx", "A 3100-2024")</f>
        <v/>
      </c>
      <c r="T183">
        <f>HYPERLINK("https://klasma.github.io/Logging_0380/kartor/A 3100-2024 karta.png", "A 3100-2024")</f>
        <v/>
      </c>
      <c r="V183">
        <f>HYPERLINK("https://klasma.github.io/Logging_0380/klagomål/A 3100-2024 FSC-klagomål.docx", "A 3100-2024")</f>
        <v/>
      </c>
      <c r="W183">
        <f>HYPERLINK("https://klasma.github.io/Logging_0380/klagomålsmail/A 3100-2024 FSC-klagomål mail.docx", "A 3100-2024")</f>
        <v/>
      </c>
      <c r="X183">
        <f>HYPERLINK("https://klasma.github.io/Logging_0380/tillsyn/A 3100-2024 tillsynsbegäran.docx", "A 3100-2024")</f>
        <v/>
      </c>
      <c r="Y183">
        <f>HYPERLINK("https://klasma.github.io/Logging_0380/tillsynsmail/A 3100-2024 tillsynsbegäran mail.docx", "A 3100-2024")</f>
        <v/>
      </c>
      <c r="Z183">
        <f>HYPERLINK("https://klasma.github.io/Logging_0380/fåglar/A 3100-2024 prioriterade fågelarter.docx", "A 3100-2024")</f>
        <v/>
      </c>
    </row>
    <row r="184" ht="15" customHeight="1">
      <c r="A184" t="inlineStr">
        <is>
          <t>A 45285-2024</t>
        </is>
      </c>
      <c r="B184" s="1" t="n">
        <v>45576</v>
      </c>
      <c r="C184" s="1" t="n">
        <v>45832</v>
      </c>
      <c r="D184" t="inlineStr">
        <is>
          <t>UPPSALA LÄN</t>
        </is>
      </c>
      <c r="E184" t="inlineStr">
        <is>
          <t>TIERP</t>
        </is>
      </c>
      <c r="G184" t="n">
        <v>13.5</v>
      </c>
      <c r="H184" t="n">
        <v>0</v>
      </c>
      <c r="I184" t="n">
        <v>1</v>
      </c>
      <c r="J184" t="n">
        <v>3</v>
      </c>
      <c r="K184" t="n">
        <v>1</v>
      </c>
      <c r="L184" t="n">
        <v>0</v>
      </c>
      <c r="M184" t="n">
        <v>0</v>
      </c>
      <c r="N184" t="n">
        <v>0</v>
      </c>
      <c r="O184" t="n">
        <v>4</v>
      </c>
      <c r="P184" t="n">
        <v>1</v>
      </c>
      <c r="Q184" t="n">
        <v>5</v>
      </c>
      <c r="R184" s="2" t="inlineStr">
        <is>
          <t>Violgubbe
Dofttaggsvamp
Persiljespindling
Slåtterfibbla
Skarp dropptaggsvamp</t>
        </is>
      </c>
      <c r="S184">
        <f>HYPERLINK("https://klasma.github.io/Logging_0360/artfynd/A 45285-2024 artfynd.xlsx", "A 45285-2024")</f>
        <v/>
      </c>
      <c r="T184">
        <f>HYPERLINK("https://klasma.github.io/Logging_0360/kartor/A 45285-2024 karta.png", "A 45285-2024")</f>
        <v/>
      </c>
      <c r="V184">
        <f>HYPERLINK("https://klasma.github.io/Logging_0360/klagomål/A 45285-2024 FSC-klagomål.docx", "A 45285-2024")</f>
        <v/>
      </c>
      <c r="W184">
        <f>HYPERLINK("https://klasma.github.io/Logging_0360/klagomålsmail/A 45285-2024 FSC-klagomål mail.docx", "A 45285-2024")</f>
        <v/>
      </c>
      <c r="X184">
        <f>HYPERLINK("https://klasma.github.io/Logging_0360/tillsyn/A 45285-2024 tillsynsbegäran.docx", "A 45285-2024")</f>
        <v/>
      </c>
      <c r="Y184">
        <f>HYPERLINK("https://klasma.github.io/Logging_0360/tillsynsmail/A 45285-2024 tillsynsbegäran mail.docx", "A 45285-2024")</f>
        <v/>
      </c>
    </row>
    <row r="185" ht="15" customHeight="1">
      <c r="A185" t="inlineStr">
        <is>
          <t>A 46718-2024</t>
        </is>
      </c>
      <c r="B185" s="1" t="n">
        <v>45583</v>
      </c>
      <c r="C185" s="1" t="n">
        <v>45832</v>
      </c>
      <c r="D185" t="inlineStr">
        <is>
          <t>UPPSALA LÄN</t>
        </is>
      </c>
      <c r="E185" t="inlineStr">
        <is>
          <t>UPPSALA</t>
        </is>
      </c>
      <c r="F185" t="inlineStr">
        <is>
          <t>Sveaskog</t>
        </is>
      </c>
      <c r="G185" t="n">
        <v>3.1</v>
      </c>
      <c r="H185" t="n">
        <v>1</v>
      </c>
      <c r="I185" t="n">
        <v>3</v>
      </c>
      <c r="J185" t="n">
        <v>0</v>
      </c>
      <c r="K185" t="n">
        <v>1</v>
      </c>
      <c r="L185" t="n">
        <v>0</v>
      </c>
      <c r="M185" t="n">
        <v>0</v>
      </c>
      <c r="N185" t="n">
        <v>0</v>
      </c>
      <c r="O185" t="n">
        <v>1</v>
      </c>
      <c r="P185" t="n">
        <v>1</v>
      </c>
      <c r="Q185" t="n">
        <v>5</v>
      </c>
      <c r="R185" s="2" t="inlineStr">
        <is>
          <t>Rynkskinn
Fjällig taggsvamp s.str.
Skogshakmossa
Trådticka
Blåsippa</t>
        </is>
      </c>
      <c r="S185">
        <f>HYPERLINK("https://klasma.github.io/Logging_0380/artfynd/A 46718-2024 artfynd.xlsx", "A 46718-2024")</f>
        <v/>
      </c>
      <c r="T185">
        <f>HYPERLINK("https://klasma.github.io/Logging_0380/kartor/A 46718-2024 karta.png", "A 46718-2024")</f>
        <v/>
      </c>
      <c r="V185">
        <f>HYPERLINK("https://klasma.github.io/Logging_0380/klagomål/A 46718-2024 FSC-klagomål.docx", "A 46718-2024")</f>
        <v/>
      </c>
      <c r="W185">
        <f>HYPERLINK("https://klasma.github.io/Logging_0380/klagomålsmail/A 46718-2024 FSC-klagomål mail.docx", "A 46718-2024")</f>
        <v/>
      </c>
      <c r="X185">
        <f>HYPERLINK("https://klasma.github.io/Logging_0380/tillsyn/A 46718-2024 tillsynsbegäran.docx", "A 46718-2024")</f>
        <v/>
      </c>
      <c r="Y185">
        <f>HYPERLINK("https://klasma.github.io/Logging_0380/tillsynsmail/A 46718-2024 tillsynsbegäran mail.docx", "A 46718-2024")</f>
        <v/>
      </c>
    </row>
    <row r="186" ht="15" customHeight="1">
      <c r="A186" t="inlineStr">
        <is>
          <t>A 55561-2024</t>
        </is>
      </c>
      <c r="B186" s="1" t="n">
        <v>45622</v>
      </c>
      <c r="C186" s="1" t="n">
        <v>45832</v>
      </c>
      <c r="D186" t="inlineStr">
        <is>
          <t>UPPSALA LÄN</t>
        </is>
      </c>
      <c r="E186" t="inlineStr">
        <is>
          <t>ÄLVKARLEBY</t>
        </is>
      </c>
      <c r="F186" t="inlineStr">
        <is>
          <t>Bergvik skog väst AB</t>
        </is>
      </c>
      <c r="G186" t="n">
        <v>2.5</v>
      </c>
      <c r="H186" t="n">
        <v>2</v>
      </c>
      <c r="I186" t="n">
        <v>1</v>
      </c>
      <c r="J186" t="n">
        <v>2</v>
      </c>
      <c r="K186" t="n">
        <v>1</v>
      </c>
      <c r="L186" t="n">
        <v>0</v>
      </c>
      <c r="M186" t="n">
        <v>0</v>
      </c>
      <c r="N186" t="n">
        <v>0</v>
      </c>
      <c r="O186" t="n">
        <v>3</v>
      </c>
      <c r="P186" t="n">
        <v>1</v>
      </c>
      <c r="Q186" t="n">
        <v>5</v>
      </c>
      <c r="R186" s="2" t="inlineStr">
        <is>
          <t>Knärot
Brunpudrad nållav
Vedtrappmossa
Grönpyrola
Sparvuggla</t>
        </is>
      </c>
      <c r="S186">
        <f>HYPERLINK("https://klasma.github.io/Logging_0319/artfynd/A 55561-2024 artfynd.xlsx", "A 55561-2024")</f>
        <v/>
      </c>
      <c r="T186">
        <f>HYPERLINK("https://klasma.github.io/Logging_0319/kartor/A 55561-2024 karta.png", "A 55561-2024")</f>
        <v/>
      </c>
      <c r="U186">
        <f>HYPERLINK("https://klasma.github.io/Logging_0319/knärot/A 55561-2024 karta knärot.png", "A 55561-2024")</f>
        <v/>
      </c>
      <c r="V186">
        <f>HYPERLINK("https://klasma.github.io/Logging_0319/klagomål/A 55561-2024 FSC-klagomål.docx", "A 55561-2024")</f>
        <v/>
      </c>
      <c r="W186">
        <f>HYPERLINK("https://klasma.github.io/Logging_0319/klagomålsmail/A 55561-2024 FSC-klagomål mail.docx", "A 55561-2024")</f>
        <v/>
      </c>
      <c r="X186">
        <f>HYPERLINK("https://klasma.github.io/Logging_0319/tillsyn/A 55561-2024 tillsynsbegäran.docx", "A 55561-2024")</f>
        <v/>
      </c>
      <c r="Y186">
        <f>HYPERLINK("https://klasma.github.io/Logging_0319/tillsynsmail/A 55561-2024 tillsynsbegäran mail.docx", "A 55561-2024")</f>
        <v/>
      </c>
      <c r="Z186">
        <f>HYPERLINK("https://klasma.github.io/Logging_0319/fåglar/A 55561-2024 prioriterade fågelarter.docx", "A 55561-2024")</f>
        <v/>
      </c>
    </row>
    <row r="187" ht="15" customHeight="1">
      <c r="A187" t="inlineStr">
        <is>
          <t>A 59194-2024</t>
        </is>
      </c>
      <c r="B187" s="1" t="n">
        <v>45637</v>
      </c>
      <c r="C187" s="1" t="n">
        <v>45832</v>
      </c>
      <c r="D187" t="inlineStr">
        <is>
          <t>UPPSALA LÄN</t>
        </is>
      </c>
      <c r="E187" t="inlineStr">
        <is>
          <t>ÖSTHAMMAR</t>
        </is>
      </c>
      <c r="F187" t="inlineStr">
        <is>
          <t>Övriga Aktiebolag</t>
        </is>
      </c>
      <c r="G187" t="n">
        <v>13.5</v>
      </c>
      <c r="H187" t="n">
        <v>4</v>
      </c>
      <c r="I187" t="n">
        <v>1</v>
      </c>
      <c r="J187" t="n">
        <v>1</v>
      </c>
      <c r="K187" t="n">
        <v>1</v>
      </c>
      <c r="L187" t="n">
        <v>0</v>
      </c>
      <c r="M187" t="n">
        <v>0</v>
      </c>
      <c r="N187" t="n">
        <v>0</v>
      </c>
      <c r="O187" t="n">
        <v>2</v>
      </c>
      <c r="P187" t="n">
        <v>1</v>
      </c>
      <c r="Q187" t="n">
        <v>5</v>
      </c>
      <c r="R187" s="2" t="inlineStr">
        <is>
          <t>Knärot
Spillkråka
Bronshjon
Tjäder
Revlummer</t>
        </is>
      </c>
      <c r="S187">
        <f>HYPERLINK("https://klasma.github.io/Logging_0382/artfynd/A 59194-2024 artfynd.xlsx", "A 59194-2024")</f>
        <v/>
      </c>
      <c r="T187">
        <f>HYPERLINK("https://klasma.github.io/Logging_0382/kartor/A 59194-2024 karta.png", "A 59194-2024")</f>
        <v/>
      </c>
      <c r="U187">
        <f>HYPERLINK("https://klasma.github.io/Logging_0382/knärot/A 59194-2024 karta knärot.png", "A 59194-2024")</f>
        <v/>
      </c>
      <c r="V187">
        <f>HYPERLINK("https://klasma.github.io/Logging_0382/klagomål/A 59194-2024 FSC-klagomål.docx", "A 59194-2024")</f>
        <v/>
      </c>
      <c r="W187">
        <f>HYPERLINK("https://klasma.github.io/Logging_0382/klagomålsmail/A 59194-2024 FSC-klagomål mail.docx", "A 59194-2024")</f>
        <v/>
      </c>
      <c r="X187">
        <f>HYPERLINK("https://klasma.github.io/Logging_0382/tillsyn/A 59194-2024 tillsynsbegäran.docx", "A 59194-2024")</f>
        <v/>
      </c>
      <c r="Y187">
        <f>HYPERLINK("https://klasma.github.io/Logging_0382/tillsynsmail/A 59194-2024 tillsynsbegäran mail.docx", "A 59194-2024")</f>
        <v/>
      </c>
      <c r="Z187">
        <f>HYPERLINK("https://klasma.github.io/Logging_0382/fåglar/A 59194-2024 prioriterade fågelarter.docx", "A 59194-2024")</f>
        <v/>
      </c>
    </row>
    <row r="188" ht="15" customHeight="1">
      <c r="A188" t="inlineStr">
        <is>
          <t>A 10362-2025</t>
        </is>
      </c>
      <c r="B188" s="1" t="n">
        <v>45720</v>
      </c>
      <c r="C188" s="1" t="n">
        <v>45832</v>
      </c>
      <c r="D188" t="inlineStr">
        <is>
          <t>UPPSALA LÄN</t>
        </is>
      </c>
      <c r="E188" t="inlineStr">
        <is>
          <t>TIERP</t>
        </is>
      </c>
      <c r="F188" t="inlineStr">
        <is>
          <t>Bergvik skog öst AB</t>
        </is>
      </c>
      <c r="G188" t="n">
        <v>2.3</v>
      </c>
      <c r="H188" t="n">
        <v>2</v>
      </c>
      <c r="I188" t="n">
        <v>5</v>
      </c>
      <c r="J188" t="n">
        <v>0</v>
      </c>
      <c r="K188" t="n">
        <v>0</v>
      </c>
      <c r="L188" t="n">
        <v>0</v>
      </c>
      <c r="M188" t="n">
        <v>0</v>
      </c>
      <c r="N188" t="n">
        <v>0</v>
      </c>
      <c r="O188" t="n">
        <v>0</v>
      </c>
      <c r="P188" t="n">
        <v>0</v>
      </c>
      <c r="Q188" t="n">
        <v>5</v>
      </c>
      <c r="R188" s="2" t="inlineStr">
        <is>
          <t>Fjällig taggsvamp s.str.
Grönpyrola
Nästrot
Olivspindling
Skogsknipprot</t>
        </is>
      </c>
      <c r="S188">
        <f>HYPERLINK("https://klasma.github.io/Logging_030360/artfynd/A 10362-2025 artfynd.xlsx", "A 10362-2025")</f>
        <v/>
      </c>
      <c r="T188">
        <f>HYPERLINK("https://klasma.github.io/Logging_030360/kartor/A 10362-2025 karta.png", "A 10362-2025")</f>
        <v/>
      </c>
      <c r="V188">
        <f>HYPERLINK("https://klasma.github.io/Logging_030360/klagomål/A 10362-2025 FSC-klagomål.docx", "A 10362-2025")</f>
        <v/>
      </c>
      <c r="W188">
        <f>HYPERLINK("https://klasma.github.io/Logging_030360/klagomålsmail/A 10362-2025 FSC-klagomål mail.docx", "A 10362-2025")</f>
        <v/>
      </c>
      <c r="X188">
        <f>HYPERLINK("https://klasma.github.io/Logging_030360/tillsyn/A 10362-2025 tillsynsbegäran.docx", "A 10362-2025")</f>
        <v/>
      </c>
      <c r="Y188">
        <f>HYPERLINK("https://klasma.github.io/Logging_030360/tillsynsmail/A 10362-2025 tillsynsbegäran mail.docx", "A 10362-2025")</f>
        <v/>
      </c>
    </row>
    <row r="189" ht="15" customHeight="1">
      <c r="A189" t="inlineStr">
        <is>
          <t>A 13546-2025</t>
        </is>
      </c>
      <c r="B189" s="1" t="n">
        <v>45736</v>
      </c>
      <c r="C189" s="1" t="n">
        <v>45832</v>
      </c>
      <c r="D189" t="inlineStr">
        <is>
          <t>UPPSALA LÄN</t>
        </is>
      </c>
      <c r="E189" t="inlineStr">
        <is>
          <t>UPPSALA</t>
        </is>
      </c>
      <c r="F189" t="inlineStr">
        <is>
          <t>Allmännings- och besparingsskogar</t>
        </is>
      </c>
      <c r="G189" t="n">
        <v>3.7</v>
      </c>
      <c r="H189" t="n">
        <v>1</v>
      </c>
      <c r="I189" t="n">
        <v>3</v>
      </c>
      <c r="J189" t="n">
        <v>1</v>
      </c>
      <c r="K189" t="n">
        <v>0</v>
      </c>
      <c r="L189" t="n">
        <v>0</v>
      </c>
      <c r="M189" t="n">
        <v>0</v>
      </c>
      <c r="N189" t="n">
        <v>0</v>
      </c>
      <c r="O189" t="n">
        <v>1</v>
      </c>
      <c r="P189" t="n">
        <v>0</v>
      </c>
      <c r="Q189" t="n">
        <v>5</v>
      </c>
      <c r="R189" s="2" t="inlineStr">
        <is>
          <t>Ullticka
Bronshjon
Thomsons trägnagare
Vanlig flatbagge
Blåsippa</t>
        </is>
      </c>
      <c r="S189">
        <f>HYPERLINK("https://klasma.github.io/Logging_030380/artfynd/A 13546-2025 artfynd.xlsx", "A 13546-2025")</f>
        <v/>
      </c>
      <c r="T189">
        <f>HYPERLINK("https://klasma.github.io/Logging_030380/kartor/A 13546-2025 karta.png", "A 13546-2025")</f>
        <v/>
      </c>
      <c r="V189">
        <f>HYPERLINK("https://klasma.github.io/Logging_030380/klagomål/A 13546-2025 FSC-klagomål.docx", "A 13546-2025")</f>
        <v/>
      </c>
      <c r="W189">
        <f>HYPERLINK("https://klasma.github.io/Logging_030380/klagomålsmail/A 13546-2025 FSC-klagomål mail.docx", "A 13546-2025")</f>
        <v/>
      </c>
      <c r="X189">
        <f>HYPERLINK("https://klasma.github.io/Logging_030380/tillsyn/A 13546-2025 tillsynsbegäran.docx", "A 13546-2025")</f>
        <v/>
      </c>
      <c r="Y189">
        <f>HYPERLINK("https://klasma.github.io/Logging_030380/tillsynsmail/A 13546-2025 tillsynsbegäran mail.docx", "A 13546-2025")</f>
        <v/>
      </c>
    </row>
    <row r="190" ht="15" customHeight="1">
      <c r="A190" t="inlineStr">
        <is>
          <t>A 26056-2025</t>
        </is>
      </c>
      <c r="B190" s="1" t="n">
        <v>45804</v>
      </c>
      <c r="C190" s="1" t="n">
        <v>45832</v>
      </c>
      <c r="D190" t="inlineStr">
        <is>
          <t>UPPSALA LÄN</t>
        </is>
      </c>
      <c r="E190" t="inlineStr">
        <is>
          <t>ÖSTHAMMAR</t>
        </is>
      </c>
      <c r="F190" t="inlineStr">
        <is>
          <t>Bergvik skog väst AB</t>
        </is>
      </c>
      <c r="G190" t="n">
        <v>4.7</v>
      </c>
      <c r="H190" t="n">
        <v>0</v>
      </c>
      <c r="I190" t="n">
        <v>0</v>
      </c>
      <c r="J190" t="n">
        <v>4</v>
      </c>
      <c r="K190" t="n">
        <v>1</v>
      </c>
      <c r="L190" t="n">
        <v>0</v>
      </c>
      <c r="M190" t="n">
        <v>0</v>
      </c>
      <c r="N190" t="n">
        <v>0</v>
      </c>
      <c r="O190" t="n">
        <v>5</v>
      </c>
      <c r="P190" t="n">
        <v>1</v>
      </c>
      <c r="Q190" t="n">
        <v>5</v>
      </c>
      <c r="R190" s="2" t="inlineStr">
        <is>
          <t>Skägglavmätare
Jungfrulinspraktmal
Mindre träfjäril
Piltecknad fältmätare
Större borstspinnare</t>
        </is>
      </c>
      <c r="S190">
        <f>HYPERLINK("https://klasma.github.io/Logging_030382/artfynd/A 26056-2025 artfynd.xlsx", "A 26056-2025")</f>
        <v/>
      </c>
      <c r="T190">
        <f>HYPERLINK("https://klasma.github.io/Logging_030382/kartor/A 26056-2025 karta.png", "A 26056-2025")</f>
        <v/>
      </c>
      <c r="V190">
        <f>HYPERLINK("https://klasma.github.io/Logging_030382/klagomål/A 26056-2025 FSC-klagomål.docx", "A 26056-2025")</f>
        <v/>
      </c>
      <c r="W190">
        <f>HYPERLINK("https://klasma.github.io/Logging_030382/klagomålsmail/A 26056-2025 FSC-klagomål mail.docx", "A 26056-2025")</f>
        <v/>
      </c>
      <c r="X190">
        <f>HYPERLINK("https://klasma.github.io/Logging_030382/tillsyn/A 26056-2025 tillsynsbegäran.docx", "A 26056-2025")</f>
        <v/>
      </c>
      <c r="Y190">
        <f>HYPERLINK("https://klasma.github.io/Logging_030382/tillsynsmail/A 26056-2025 tillsynsbegäran mail.docx", "A 26056-2025")</f>
        <v/>
      </c>
    </row>
    <row r="191" ht="15" customHeight="1">
      <c r="A191" t="inlineStr">
        <is>
          <t>A 20696-2019</t>
        </is>
      </c>
      <c r="B191" s="1" t="n">
        <v>43573</v>
      </c>
      <c r="C191" s="1" t="n">
        <v>45832</v>
      </c>
      <c r="D191" t="inlineStr">
        <is>
          <t>UPPSALA LÄN</t>
        </is>
      </c>
      <c r="E191" t="inlineStr">
        <is>
          <t>ÖSTHAMMAR</t>
        </is>
      </c>
      <c r="G191" t="n">
        <v>2</v>
      </c>
      <c r="H191" t="n">
        <v>4</v>
      </c>
      <c r="I191" t="n">
        <v>2</v>
      </c>
      <c r="J191" t="n">
        <v>0</v>
      </c>
      <c r="K191" t="n">
        <v>0</v>
      </c>
      <c r="L191" t="n">
        <v>0</v>
      </c>
      <c r="M191" t="n">
        <v>0</v>
      </c>
      <c r="N191" t="n">
        <v>0</v>
      </c>
      <c r="O191" t="n">
        <v>0</v>
      </c>
      <c r="P191" t="n">
        <v>0</v>
      </c>
      <c r="Q191" t="n">
        <v>4</v>
      </c>
      <c r="R191" s="2" t="inlineStr">
        <is>
          <t>Skogsknipprot
Tvåblad
Blåsippa
Gullviva</t>
        </is>
      </c>
      <c r="S191">
        <f>HYPERLINK("https://klasma.github.io/Logging_0382/artfynd/A 20696-2019 artfynd.xlsx", "A 20696-2019")</f>
        <v/>
      </c>
      <c r="T191">
        <f>HYPERLINK("https://klasma.github.io/Logging_0382/kartor/A 20696-2019 karta.png", "A 20696-2019")</f>
        <v/>
      </c>
      <c r="V191">
        <f>HYPERLINK("https://klasma.github.io/Logging_0382/klagomål/A 20696-2019 FSC-klagomål.docx", "A 20696-2019")</f>
        <v/>
      </c>
      <c r="W191">
        <f>HYPERLINK("https://klasma.github.io/Logging_0382/klagomålsmail/A 20696-2019 FSC-klagomål mail.docx", "A 20696-2019")</f>
        <v/>
      </c>
      <c r="X191">
        <f>HYPERLINK("https://klasma.github.io/Logging_0382/tillsyn/A 20696-2019 tillsynsbegäran.docx", "A 20696-2019")</f>
        <v/>
      </c>
      <c r="Y191">
        <f>HYPERLINK("https://klasma.github.io/Logging_0382/tillsynsmail/A 20696-2019 tillsynsbegäran mail.docx", "A 20696-2019")</f>
        <v/>
      </c>
    </row>
    <row r="192" ht="15" customHeight="1">
      <c r="A192" t="inlineStr">
        <is>
          <t>A 36645-2019</t>
        </is>
      </c>
      <c r="B192" s="1" t="n">
        <v>43671</v>
      </c>
      <c r="C192" s="1" t="n">
        <v>45832</v>
      </c>
      <c r="D192" t="inlineStr">
        <is>
          <t>UPPSALA LÄN</t>
        </is>
      </c>
      <c r="E192" t="inlineStr">
        <is>
          <t>KNIVSTA</t>
        </is>
      </c>
      <c r="G192" t="n">
        <v>5.5</v>
      </c>
      <c r="H192" t="n">
        <v>1</v>
      </c>
      <c r="I192" t="n">
        <v>2</v>
      </c>
      <c r="J192" t="n">
        <v>1</v>
      </c>
      <c r="K192" t="n">
        <v>0</v>
      </c>
      <c r="L192" t="n">
        <v>0</v>
      </c>
      <c r="M192" t="n">
        <v>0</v>
      </c>
      <c r="N192" t="n">
        <v>0</v>
      </c>
      <c r="O192" t="n">
        <v>1</v>
      </c>
      <c r="P192" t="n">
        <v>0</v>
      </c>
      <c r="Q192" t="n">
        <v>4</v>
      </c>
      <c r="R192" s="2" t="inlineStr">
        <is>
          <t>Ullticka
Gulskölding
Kamjordstjärna
Blåsippa</t>
        </is>
      </c>
      <c r="S192">
        <f>HYPERLINK("https://klasma.github.io/Logging_0330/artfynd/A 36645-2019 artfynd.xlsx", "A 36645-2019")</f>
        <v/>
      </c>
      <c r="T192">
        <f>HYPERLINK("https://klasma.github.io/Logging_0330/kartor/A 36645-2019 karta.png", "A 36645-2019")</f>
        <v/>
      </c>
      <c r="V192">
        <f>HYPERLINK("https://klasma.github.io/Logging_0330/klagomål/A 36645-2019 FSC-klagomål.docx", "A 36645-2019")</f>
        <v/>
      </c>
      <c r="W192">
        <f>HYPERLINK("https://klasma.github.io/Logging_0330/klagomålsmail/A 36645-2019 FSC-klagomål mail.docx", "A 36645-2019")</f>
        <v/>
      </c>
      <c r="X192">
        <f>HYPERLINK("https://klasma.github.io/Logging_0330/tillsyn/A 36645-2019 tillsynsbegäran.docx", "A 36645-2019")</f>
        <v/>
      </c>
      <c r="Y192">
        <f>HYPERLINK("https://klasma.github.io/Logging_0330/tillsynsmail/A 36645-2019 tillsynsbegäran mail.docx", "A 36645-2019")</f>
        <v/>
      </c>
    </row>
    <row r="193" ht="15" customHeight="1">
      <c r="A193" t="inlineStr">
        <is>
          <t>A 62133-2019</t>
        </is>
      </c>
      <c r="B193" s="1" t="n">
        <v>43787</v>
      </c>
      <c r="C193" s="1" t="n">
        <v>45832</v>
      </c>
      <c r="D193" t="inlineStr">
        <is>
          <t>UPPSALA LÄN</t>
        </is>
      </c>
      <c r="E193" t="inlineStr">
        <is>
          <t>ÄLVKARLEBY</t>
        </is>
      </c>
      <c r="F193" t="inlineStr">
        <is>
          <t>Bergvik skog väst AB</t>
        </is>
      </c>
      <c r="G193" t="n">
        <v>2.5</v>
      </c>
      <c r="H193" t="n">
        <v>0</v>
      </c>
      <c r="I193" t="n">
        <v>2</v>
      </c>
      <c r="J193" t="n">
        <v>2</v>
      </c>
      <c r="K193" t="n">
        <v>0</v>
      </c>
      <c r="L193" t="n">
        <v>0</v>
      </c>
      <c r="M193" t="n">
        <v>0</v>
      </c>
      <c r="N193" t="n">
        <v>0</v>
      </c>
      <c r="O193" t="n">
        <v>2</v>
      </c>
      <c r="P193" t="n">
        <v>0</v>
      </c>
      <c r="Q193" t="n">
        <v>4</v>
      </c>
      <c r="R193" s="2" t="inlineStr">
        <is>
          <t>Rutskinn
Rödbrun blekspik
Brun nållav
Sårläka</t>
        </is>
      </c>
      <c r="S193">
        <f>HYPERLINK("https://klasma.github.io/Logging_0319/artfynd/A 62133-2019 artfynd.xlsx", "A 62133-2019")</f>
        <v/>
      </c>
      <c r="T193">
        <f>HYPERLINK("https://klasma.github.io/Logging_0319/kartor/A 62133-2019 karta.png", "A 62133-2019")</f>
        <v/>
      </c>
      <c r="V193">
        <f>HYPERLINK("https://klasma.github.io/Logging_0319/klagomål/A 62133-2019 FSC-klagomål.docx", "A 62133-2019")</f>
        <v/>
      </c>
      <c r="W193">
        <f>HYPERLINK("https://klasma.github.io/Logging_0319/klagomålsmail/A 62133-2019 FSC-klagomål mail.docx", "A 62133-2019")</f>
        <v/>
      </c>
      <c r="X193">
        <f>HYPERLINK("https://klasma.github.io/Logging_0319/tillsyn/A 62133-2019 tillsynsbegäran.docx", "A 62133-2019")</f>
        <v/>
      </c>
      <c r="Y193">
        <f>HYPERLINK("https://klasma.github.io/Logging_0319/tillsynsmail/A 62133-2019 tillsynsbegäran mail.docx", "A 62133-2019")</f>
        <v/>
      </c>
    </row>
    <row r="194" ht="15" customHeight="1">
      <c r="A194" t="inlineStr">
        <is>
          <t>A 4116-2020</t>
        </is>
      </c>
      <c r="B194" s="1" t="n">
        <v>43857</v>
      </c>
      <c r="C194" s="1" t="n">
        <v>45832</v>
      </c>
      <c r="D194" t="inlineStr">
        <is>
          <t>UPPSALA LÄN</t>
        </is>
      </c>
      <c r="E194" t="inlineStr">
        <is>
          <t>UPPSALA</t>
        </is>
      </c>
      <c r="G194" t="n">
        <v>2.4</v>
      </c>
      <c r="H194" t="n">
        <v>1</v>
      </c>
      <c r="I194" t="n">
        <v>1</v>
      </c>
      <c r="J194" t="n">
        <v>1</v>
      </c>
      <c r="K194" t="n">
        <v>1</v>
      </c>
      <c r="L194" t="n">
        <v>0</v>
      </c>
      <c r="M194" t="n">
        <v>0</v>
      </c>
      <c r="N194" t="n">
        <v>0</v>
      </c>
      <c r="O194" t="n">
        <v>2</v>
      </c>
      <c r="P194" t="n">
        <v>1</v>
      </c>
      <c r="Q194" t="n">
        <v>4</v>
      </c>
      <c r="R194" s="2" t="inlineStr">
        <is>
          <t>Grangråticka
Svart taggsvamp
Fjällig taggsvamp s.str.
Blåsippa</t>
        </is>
      </c>
      <c r="S194">
        <f>HYPERLINK("https://klasma.github.io/Logging_0380/artfynd/A 4116-2020 artfynd.xlsx", "A 4116-2020")</f>
        <v/>
      </c>
      <c r="T194">
        <f>HYPERLINK("https://klasma.github.io/Logging_0380/kartor/A 4116-2020 karta.png", "A 4116-2020")</f>
        <v/>
      </c>
      <c r="V194">
        <f>HYPERLINK("https://klasma.github.io/Logging_0380/klagomål/A 4116-2020 FSC-klagomål.docx", "A 4116-2020")</f>
        <v/>
      </c>
      <c r="W194">
        <f>HYPERLINK("https://klasma.github.io/Logging_0380/klagomålsmail/A 4116-2020 FSC-klagomål mail.docx", "A 4116-2020")</f>
        <v/>
      </c>
      <c r="X194">
        <f>HYPERLINK("https://klasma.github.io/Logging_0380/tillsyn/A 4116-2020 tillsynsbegäran.docx", "A 4116-2020")</f>
        <v/>
      </c>
      <c r="Y194">
        <f>HYPERLINK("https://klasma.github.io/Logging_0380/tillsynsmail/A 4116-2020 tillsynsbegäran mail.docx", "A 4116-2020")</f>
        <v/>
      </c>
    </row>
    <row r="195" ht="15" customHeight="1">
      <c r="A195" t="inlineStr">
        <is>
          <t>A 25264-2020</t>
        </is>
      </c>
      <c r="B195" s="1" t="n">
        <v>43980</v>
      </c>
      <c r="C195" s="1" t="n">
        <v>45832</v>
      </c>
      <c r="D195" t="inlineStr">
        <is>
          <t>UPPSALA LÄN</t>
        </is>
      </c>
      <c r="E195" t="inlineStr">
        <is>
          <t>UPPSALA</t>
        </is>
      </c>
      <c r="G195" t="n">
        <v>2.8</v>
      </c>
      <c r="H195" t="n">
        <v>4</v>
      </c>
      <c r="I195" t="n">
        <v>0</v>
      </c>
      <c r="J195" t="n">
        <v>0</v>
      </c>
      <c r="K195" t="n">
        <v>1</v>
      </c>
      <c r="L195" t="n">
        <v>0</v>
      </c>
      <c r="M195" t="n">
        <v>0</v>
      </c>
      <c r="N195" t="n">
        <v>0</v>
      </c>
      <c r="O195" t="n">
        <v>1</v>
      </c>
      <c r="P195" t="n">
        <v>1</v>
      </c>
      <c r="Q195" t="n">
        <v>4</v>
      </c>
      <c r="R195" s="2" t="inlineStr">
        <is>
          <t>Knärot
Kopparödla
Fläcknycklar
Revlummer</t>
        </is>
      </c>
      <c r="S195">
        <f>HYPERLINK("https://klasma.github.io/Logging_0380/artfynd/A 25264-2020 artfynd.xlsx", "A 25264-2020")</f>
        <v/>
      </c>
      <c r="T195">
        <f>HYPERLINK("https://klasma.github.io/Logging_0380/kartor/A 25264-2020 karta.png", "A 25264-2020")</f>
        <v/>
      </c>
      <c r="U195">
        <f>HYPERLINK("https://klasma.github.io/Logging_0380/knärot/A 25264-2020 karta knärot.png", "A 25264-2020")</f>
        <v/>
      </c>
      <c r="V195">
        <f>HYPERLINK("https://klasma.github.io/Logging_0380/klagomål/A 25264-2020 FSC-klagomål.docx", "A 25264-2020")</f>
        <v/>
      </c>
      <c r="W195">
        <f>HYPERLINK("https://klasma.github.io/Logging_0380/klagomålsmail/A 25264-2020 FSC-klagomål mail.docx", "A 25264-2020")</f>
        <v/>
      </c>
      <c r="X195">
        <f>HYPERLINK("https://klasma.github.io/Logging_0380/tillsyn/A 25264-2020 tillsynsbegäran.docx", "A 25264-2020")</f>
        <v/>
      </c>
      <c r="Y195">
        <f>HYPERLINK("https://klasma.github.io/Logging_0380/tillsynsmail/A 25264-2020 tillsynsbegäran mail.docx", "A 25264-2020")</f>
        <v/>
      </c>
    </row>
    <row r="196" ht="15" customHeight="1">
      <c r="A196" t="inlineStr">
        <is>
          <t>A 37670-2020</t>
        </is>
      </c>
      <c r="B196" s="1" t="n">
        <v>44056</v>
      </c>
      <c r="C196" s="1" t="n">
        <v>45832</v>
      </c>
      <c r="D196" t="inlineStr">
        <is>
          <t>UPPSALA LÄN</t>
        </is>
      </c>
      <c r="E196" t="inlineStr">
        <is>
          <t>UPPSALA</t>
        </is>
      </c>
      <c r="F196" t="inlineStr">
        <is>
          <t>Allmännings- och besparingsskogar</t>
        </is>
      </c>
      <c r="G196" t="n">
        <v>56.8</v>
      </c>
      <c r="H196" t="n">
        <v>3</v>
      </c>
      <c r="I196" t="n">
        <v>2</v>
      </c>
      <c r="J196" t="n">
        <v>1</v>
      </c>
      <c r="K196" t="n">
        <v>1</v>
      </c>
      <c r="L196" t="n">
        <v>0</v>
      </c>
      <c r="M196" t="n">
        <v>0</v>
      </c>
      <c r="N196" t="n">
        <v>0</v>
      </c>
      <c r="O196" t="n">
        <v>2</v>
      </c>
      <c r="P196" t="n">
        <v>1</v>
      </c>
      <c r="Q196" t="n">
        <v>4</v>
      </c>
      <c r="R196" s="2" t="inlineStr">
        <is>
          <t>Knärot
Talltita
Grönpyrola
Plattlummer</t>
        </is>
      </c>
      <c r="S196">
        <f>HYPERLINK("https://klasma.github.io/Logging_0380/artfynd/A 37670-2020 artfynd.xlsx", "A 37670-2020")</f>
        <v/>
      </c>
      <c r="T196">
        <f>HYPERLINK("https://klasma.github.io/Logging_0380/kartor/A 37670-2020 karta.png", "A 37670-2020")</f>
        <v/>
      </c>
      <c r="U196">
        <f>HYPERLINK("https://klasma.github.io/Logging_0380/knärot/A 37670-2020 karta knärot.png", "A 37670-2020")</f>
        <v/>
      </c>
      <c r="V196">
        <f>HYPERLINK("https://klasma.github.io/Logging_0380/klagomål/A 37670-2020 FSC-klagomål.docx", "A 37670-2020")</f>
        <v/>
      </c>
      <c r="W196">
        <f>HYPERLINK("https://klasma.github.io/Logging_0380/klagomålsmail/A 37670-2020 FSC-klagomål mail.docx", "A 37670-2020")</f>
        <v/>
      </c>
      <c r="X196">
        <f>HYPERLINK("https://klasma.github.io/Logging_0380/tillsyn/A 37670-2020 tillsynsbegäran.docx", "A 37670-2020")</f>
        <v/>
      </c>
      <c r="Y196">
        <f>HYPERLINK("https://klasma.github.io/Logging_0380/tillsynsmail/A 37670-2020 tillsynsbegäran mail.docx", "A 37670-2020")</f>
        <v/>
      </c>
      <c r="Z196">
        <f>HYPERLINK("https://klasma.github.io/Logging_0380/fåglar/A 37670-2020 prioriterade fågelarter.docx", "A 37670-2020")</f>
        <v/>
      </c>
    </row>
    <row r="197" ht="15" customHeight="1">
      <c r="A197" t="inlineStr">
        <is>
          <t>A 61504-2020</t>
        </is>
      </c>
      <c r="B197" s="1" t="n">
        <v>44158</v>
      </c>
      <c r="C197" s="1" t="n">
        <v>45832</v>
      </c>
      <c r="D197" t="inlineStr">
        <is>
          <t>UPPSALA LÄN</t>
        </is>
      </c>
      <c r="E197" t="inlineStr">
        <is>
          <t>ENKÖPING</t>
        </is>
      </c>
      <c r="F197" t="inlineStr">
        <is>
          <t>Övriga statliga verk och myndigheter</t>
        </is>
      </c>
      <c r="G197" t="n">
        <v>14.2</v>
      </c>
      <c r="H197" t="n">
        <v>0</v>
      </c>
      <c r="I197" t="n">
        <v>3</v>
      </c>
      <c r="J197" t="n">
        <v>1</v>
      </c>
      <c r="K197" t="n">
        <v>0</v>
      </c>
      <c r="L197" t="n">
        <v>0</v>
      </c>
      <c r="M197" t="n">
        <v>0</v>
      </c>
      <c r="N197" t="n">
        <v>0</v>
      </c>
      <c r="O197" t="n">
        <v>1</v>
      </c>
      <c r="P197" t="n">
        <v>0</v>
      </c>
      <c r="Q197" t="n">
        <v>4</v>
      </c>
      <c r="R197" s="2" t="inlineStr">
        <is>
          <t>Tallticka
Guldlockmossa
Piskbaronmossa
Platt fjädermossa</t>
        </is>
      </c>
      <c r="S197">
        <f>HYPERLINK("https://klasma.github.io/Logging_0381/artfynd/A 61504-2020 artfynd.xlsx", "A 61504-2020")</f>
        <v/>
      </c>
      <c r="T197">
        <f>HYPERLINK("https://klasma.github.io/Logging_0381/kartor/A 61504-2020 karta.png", "A 61504-2020")</f>
        <v/>
      </c>
      <c r="V197">
        <f>HYPERLINK("https://klasma.github.io/Logging_0381/klagomål/A 61504-2020 FSC-klagomål.docx", "A 61504-2020")</f>
        <v/>
      </c>
      <c r="W197">
        <f>HYPERLINK("https://klasma.github.io/Logging_0381/klagomålsmail/A 61504-2020 FSC-klagomål mail.docx", "A 61504-2020")</f>
        <v/>
      </c>
      <c r="X197">
        <f>HYPERLINK("https://klasma.github.io/Logging_0381/tillsyn/A 61504-2020 tillsynsbegäran.docx", "A 61504-2020")</f>
        <v/>
      </c>
      <c r="Y197">
        <f>HYPERLINK("https://klasma.github.io/Logging_0381/tillsynsmail/A 61504-2020 tillsynsbegäran mail.docx", "A 61504-2020")</f>
        <v/>
      </c>
    </row>
    <row r="198" ht="15" customHeight="1">
      <c r="A198" t="inlineStr">
        <is>
          <t>A 29306-2021</t>
        </is>
      </c>
      <c r="B198" s="1" t="n">
        <v>44361</v>
      </c>
      <c r="C198" s="1" t="n">
        <v>45832</v>
      </c>
      <c r="D198" t="inlineStr">
        <is>
          <t>UPPSALA LÄN</t>
        </is>
      </c>
      <c r="E198" t="inlineStr">
        <is>
          <t>TIERP</t>
        </is>
      </c>
      <c r="F198" t="inlineStr">
        <is>
          <t>Bergvik skog väst AB</t>
        </is>
      </c>
      <c r="G198" t="n">
        <v>3.7</v>
      </c>
      <c r="H198" t="n">
        <v>0</v>
      </c>
      <c r="I198" t="n">
        <v>4</v>
      </c>
      <c r="J198" t="n">
        <v>0</v>
      </c>
      <c r="K198" t="n">
        <v>0</v>
      </c>
      <c r="L198" t="n">
        <v>0</v>
      </c>
      <c r="M198" t="n">
        <v>0</v>
      </c>
      <c r="N198" t="n">
        <v>0</v>
      </c>
      <c r="O198" t="n">
        <v>0</v>
      </c>
      <c r="P198" t="n">
        <v>0</v>
      </c>
      <c r="Q198" t="n">
        <v>4</v>
      </c>
      <c r="R198" s="2" t="inlineStr">
        <is>
          <t>Dvärgtufs
Granbarkgnagare
Rostfläck
Stuplav</t>
        </is>
      </c>
      <c r="S198">
        <f>HYPERLINK("https://klasma.github.io/Logging_0360/artfynd/A 29306-2021 artfynd.xlsx", "A 29306-2021")</f>
        <v/>
      </c>
      <c r="T198">
        <f>HYPERLINK("https://klasma.github.io/Logging_0360/kartor/A 29306-2021 karta.png", "A 29306-2021")</f>
        <v/>
      </c>
      <c r="V198">
        <f>HYPERLINK("https://klasma.github.io/Logging_0360/klagomål/A 29306-2021 FSC-klagomål.docx", "A 29306-2021")</f>
        <v/>
      </c>
      <c r="W198">
        <f>HYPERLINK("https://klasma.github.io/Logging_0360/klagomålsmail/A 29306-2021 FSC-klagomål mail.docx", "A 29306-2021")</f>
        <v/>
      </c>
      <c r="X198">
        <f>HYPERLINK("https://klasma.github.io/Logging_0360/tillsyn/A 29306-2021 tillsynsbegäran.docx", "A 29306-2021")</f>
        <v/>
      </c>
      <c r="Y198">
        <f>HYPERLINK("https://klasma.github.io/Logging_0360/tillsynsmail/A 29306-2021 tillsynsbegäran mail.docx", "A 29306-2021")</f>
        <v/>
      </c>
    </row>
    <row r="199" ht="15" customHeight="1">
      <c r="A199" t="inlineStr">
        <is>
          <t>A 33051-2021</t>
        </is>
      </c>
      <c r="B199" s="1" t="n">
        <v>44376</v>
      </c>
      <c r="C199" s="1" t="n">
        <v>45832</v>
      </c>
      <c r="D199" t="inlineStr">
        <is>
          <t>UPPSALA LÄN</t>
        </is>
      </c>
      <c r="E199" t="inlineStr">
        <is>
          <t>ÖSTHAMMAR</t>
        </is>
      </c>
      <c r="G199" t="n">
        <v>3</v>
      </c>
      <c r="H199" t="n">
        <v>0</v>
      </c>
      <c r="I199" t="n">
        <v>3</v>
      </c>
      <c r="J199" t="n">
        <v>0</v>
      </c>
      <c r="K199" t="n">
        <v>1</v>
      </c>
      <c r="L199" t="n">
        <v>0</v>
      </c>
      <c r="M199" t="n">
        <v>0</v>
      </c>
      <c r="N199" t="n">
        <v>0</v>
      </c>
      <c r="O199" t="n">
        <v>1</v>
      </c>
      <c r="P199" t="n">
        <v>1</v>
      </c>
      <c r="Q199" t="n">
        <v>4</v>
      </c>
      <c r="R199" s="2" t="inlineStr">
        <is>
          <t>Gul lammticka
Anisspindling
Guldkremla
Kamjordstjärna</t>
        </is>
      </c>
      <c r="S199">
        <f>HYPERLINK("https://klasma.github.io/Logging_0382/artfynd/A 33051-2021 artfynd.xlsx", "A 33051-2021")</f>
        <v/>
      </c>
      <c r="T199">
        <f>HYPERLINK("https://klasma.github.io/Logging_0382/kartor/A 33051-2021 karta.png", "A 33051-2021")</f>
        <v/>
      </c>
      <c r="V199">
        <f>HYPERLINK("https://klasma.github.io/Logging_0382/klagomål/A 33051-2021 FSC-klagomål.docx", "A 33051-2021")</f>
        <v/>
      </c>
      <c r="W199">
        <f>HYPERLINK("https://klasma.github.io/Logging_0382/klagomålsmail/A 33051-2021 FSC-klagomål mail.docx", "A 33051-2021")</f>
        <v/>
      </c>
      <c r="X199">
        <f>HYPERLINK("https://klasma.github.io/Logging_0382/tillsyn/A 33051-2021 tillsynsbegäran.docx", "A 33051-2021")</f>
        <v/>
      </c>
      <c r="Y199">
        <f>HYPERLINK("https://klasma.github.io/Logging_0382/tillsynsmail/A 33051-2021 tillsynsbegäran mail.docx", "A 33051-2021")</f>
        <v/>
      </c>
    </row>
    <row r="200" ht="15" customHeight="1">
      <c r="A200" t="inlineStr">
        <is>
          <t>A 51688-2021</t>
        </is>
      </c>
      <c r="B200" s="1" t="n">
        <v>44462</v>
      </c>
      <c r="C200" s="1" t="n">
        <v>45832</v>
      </c>
      <c r="D200" t="inlineStr">
        <is>
          <t>UPPSALA LÄN</t>
        </is>
      </c>
      <c r="E200" t="inlineStr">
        <is>
          <t>UPPSALA</t>
        </is>
      </c>
      <c r="F200" t="inlineStr">
        <is>
          <t>Allmännings- och besparingsskogar</t>
        </is>
      </c>
      <c r="G200" t="n">
        <v>9.9</v>
      </c>
      <c r="H200" t="n">
        <v>1</v>
      </c>
      <c r="I200" t="n">
        <v>1</v>
      </c>
      <c r="J200" t="n">
        <v>2</v>
      </c>
      <c r="K200" t="n">
        <v>1</v>
      </c>
      <c r="L200" t="n">
        <v>0</v>
      </c>
      <c r="M200" t="n">
        <v>0</v>
      </c>
      <c r="N200" t="n">
        <v>0</v>
      </c>
      <c r="O200" t="n">
        <v>3</v>
      </c>
      <c r="P200" t="n">
        <v>1</v>
      </c>
      <c r="Q200" t="n">
        <v>4</v>
      </c>
      <c r="R200" s="2" t="inlineStr">
        <is>
          <t>Knärot
Garnlav
Ullticka
Vedticka</t>
        </is>
      </c>
      <c r="S200">
        <f>HYPERLINK("https://klasma.github.io/Logging_0380/artfynd/A 51688-2021 artfynd.xlsx", "A 51688-2021")</f>
        <v/>
      </c>
      <c r="T200">
        <f>HYPERLINK("https://klasma.github.io/Logging_0380/kartor/A 51688-2021 karta.png", "A 51688-2021")</f>
        <v/>
      </c>
      <c r="U200">
        <f>HYPERLINK("https://klasma.github.io/Logging_0380/knärot/A 51688-2021 karta knärot.png", "A 51688-2021")</f>
        <v/>
      </c>
      <c r="V200">
        <f>HYPERLINK("https://klasma.github.io/Logging_0380/klagomål/A 51688-2021 FSC-klagomål.docx", "A 51688-2021")</f>
        <v/>
      </c>
      <c r="W200">
        <f>HYPERLINK("https://klasma.github.io/Logging_0380/klagomålsmail/A 51688-2021 FSC-klagomål mail.docx", "A 51688-2021")</f>
        <v/>
      </c>
      <c r="X200">
        <f>HYPERLINK("https://klasma.github.io/Logging_0380/tillsyn/A 51688-2021 tillsynsbegäran.docx", "A 51688-2021")</f>
        <v/>
      </c>
      <c r="Y200">
        <f>HYPERLINK("https://klasma.github.io/Logging_0380/tillsynsmail/A 51688-2021 tillsynsbegäran mail.docx", "A 51688-2021")</f>
        <v/>
      </c>
    </row>
    <row r="201" ht="15" customHeight="1">
      <c r="A201" t="inlineStr">
        <is>
          <t>A 68998-2021</t>
        </is>
      </c>
      <c r="B201" s="1" t="n">
        <v>44530</v>
      </c>
      <c r="C201" s="1" t="n">
        <v>45832</v>
      </c>
      <c r="D201" t="inlineStr">
        <is>
          <t>UPPSALA LÄN</t>
        </is>
      </c>
      <c r="E201" t="inlineStr">
        <is>
          <t>ENKÖPING</t>
        </is>
      </c>
      <c r="G201" t="n">
        <v>16.2</v>
      </c>
      <c r="H201" t="n">
        <v>1</v>
      </c>
      <c r="I201" t="n">
        <v>1</v>
      </c>
      <c r="J201" t="n">
        <v>2</v>
      </c>
      <c r="K201" t="n">
        <v>0</v>
      </c>
      <c r="L201" t="n">
        <v>0</v>
      </c>
      <c r="M201" t="n">
        <v>0</v>
      </c>
      <c r="N201" t="n">
        <v>0</v>
      </c>
      <c r="O201" t="n">
        <v>2</v>
      </c>
      <c r="P201" t="n">
        <v>0</v>
      </c>
      <c r="Q201" t="n">
        <v>4</v>
      </c>
      <c r="R201" s="2" t="inlineStr">
        <is>
          <t>Krusfrö
Svinrot
Svart trolldruva
Nattviol</t>
        </is>
      </c>
      <c r="S201">
        <f>HYPERLINK("https://klasma.github.io/Logging_0381/artfynd/A 68998-2021 artfynd.xlsx", "A 68998-2021")</f>
        <v/>
      </c>
      <c r="T201">
        <f>HYPERLINK("https://klasma.github.io/Logging_0381/kartor/A 68998-2021 karta.png", "A 68998-2021")</f>
        <v/>
      </c>
      <c r="V201">
        <f>HYPERLINK("https://klasma.github.io/Logging_0381/klagomål/A 68998-2021 FSC-klagomål.docx", "A 68998-2021")</f>
        <v/>
      </c>
      <c r="W201">
        <f>HYPERLINK("https://klasma.github.io/Logging_0381/klagomålsmail/A 68998-2021 FSC-klagomål mail.docx", "A 68998-2021")</f>
        <v/>
      </c>
      <c r="X201">
        <f>HYPERLINK("https://klasma.github.io/Logging_0381/tillsyn/A 68998-2021 tillsynsbegäran.docx", "A 68998-2021")</f>
        <v/>
      </c>
      <c r="Y201">
        <f>HYPERLINK("https://klasma.github.io/Logging_0381/tillsynsmail/A 68998-2021 tillsynsbegäran mail.docx", "A 68998-2021")</f>
        <v/>
      </c>
    </row>
    <row r="202" ht="15" customHeight="1">
      <c r="A202" t="inlineStr">
        <is>
          <t>A 73761-2021</t>
        </is>
      </c>
      <c r="B202" s="1" t="n">
        <v>44552</v>
      </c>
      <c r="C202" s="1" t="n">
        <v>45832</v>
      </c>
      <c r="D202" t="inlineStr">
        <is>
          <t>UPPSALA LÄN</t>
        </is>
      </c>
      <c r="E202" t="inlineStr">
        <is>
          <t>TIERP</t>
        </is>
      </c>
      <c r="F202" t="inlineStr">
        <is>
          <t>Bergvik skog väst AB</t>
        </is>
      </c>
      <c r="G202" t="n">
        <v>1.9</v>
      </c>
      <c r="H202" t="n">
        <v>2</v>
      </c>
      <c r="I202" t="n">
        <v>2</v>
      </c>
      <c r="J202" t="n">
        <v>1</v>
      </c>
      <c r="K202" t="n">
        <v>0</v>
      </c>
      <c r="L202" t="n">
        <v>0</v>
      </c>
      <c r="M202" t="n">
        <v>0</v>
      </c>
      <c r="N202" t="n">
        <v>0</v>
      </c>
      <c r="O202" t="n">
        <v>1</v>
      </c>
      <c r="P202" t="n">
        <v>0</v>
      </c>
      <c r="Q202" t="n">
        <v>4</v>
      </c>
      <c r="R202" s="2" t="inlineStr">
        <is>
          <t>Vedtrappmossa
Brandticka
Skogsknipprot
Fläcknycklar</t>
        </is>
      </c>
      <c r="S202">
        <f>HYPERLINK("https://klasma.github.io/Logging_0360/artfynd/A 73761-2021 artfynd.xlsx", "A 73761-2021")</f>
        <v/>
      </c>
      <c r="T202">
        <f>HYPERLINK("https://klasma.github.io/Logging_0360/kartor/A 73761-2021 karta.png", "A 73761-2021")</f>
        <v/>
      </c>
      <c r="V202">
        <f>HYPERLINK("https://klasma.github.io/Logging_0360/klagomål/A 73761-2021 FSC-klagomål.docx", "A 73761-2021")</f>
        <v/>
      </c>
      <c r="W202">
        <f>HYPERLINK("https://klasma.github.io/Logging_0360/klagomålsmail/A 73761-2021 FSC-klagomål mail.docx", "A 73761-2021")</f>
        <v/>
      </c>
      <c r="X202">
        <f>HYPERLINK("https://klasma.github.io/Logging_0360/tillsyn/A 73761-2021 tillsynsbegäran.docx", "A 73761-2021")</f>
        <v/>
      </c>
      <c r="Y202">
        <f>HYPERLINK("https://klasma.github.io/Logging_0360/tillsynsmail/A 73761-2021 tillsynsbegäran mail.docx", "A 73761-2021")</f>
        <v/>
      </c>
    </row>
    <row r="203" ht="15" customHeight="1">
      <c r="A203" t="inlineStr">
        <is>
          <t>A 74364-2021</t>
        </is>
      </c>
      <c r="B203" s="1" t="n">
        <v>44559</v>
      </c>
      <c r="C203" s="1" t="n">
        <v>45832</v>
      </c>
      <c r="D203" t="inlineStr">
        <is>
          <t>UPPSALA LÄN</t>
        </is>
      </c>
      <c r="E203" t="inlineStr">
        <is>
          <t>ÖSTHAMMAR</t>
        </is>
      </c>
      <c r="G203" t="n">
        <v>3.5</v>
      </c>
      <c r="H203" t="n">
        <v>2</v>
      </c>
      <c r="I203" t="n">
        <v>3</v>
      </c>
      <c r="J203" t="n">
        <v>0</v>
      </c>
      <c r="K203" t="n">
        <v>0</v>
      </c>
      <c r="L203" t="n">
        <v>0</v>
      </c>
      <c r="M203" t="n">
        <v>0</v>
      </c>
      <c r="N203" t="n">
        <v>0</v>
      </c>
      <c r="O203" t="n">
        <v>0</v>
      </c>
      <c r="P203" t="n">
        <v>0</v>
      </c>
      <c r="Q203" t="n">
        <v>4</v>
      </c>
      <c r="R203" s="2" t="inlineStr">
        <is>
          <t>Bronshjon
Skogsknipprot
Sårläka
Blåsippa</t>
        </is>
      </c>
      <c r="S203">
        <f>HYPERLINK("https://klasma.github.io/Logging_0382/artfynd/A 74364-2021 artfynd.xlsx", "A 74364-2021")</f>
        <v/>
      </c>
      <c r="T203">
        <f>HYPERLINK("https://klasma.github.io/Logging_0382/kartor/A 74364-2021 karta.png", "A 74364-2021")</f>
        <v/>
      </c>
      <c r="V203">
        <f>HYPERLINK("https://klasma.github.io/Logging_0382/klagomål/A 74364-2021 FSC-klagomål.docx", "A 74364-2021")</f>
        <v/>
      </c>
      <c r="W203">
        <f>HYPERLINK("https://klasma.github.io/Logging_0382/klagomålsmail/A 74364-2021 FSC-klagomål mail.docx", "A 74364-2021")</f>
        <v/>
      </c>
      <c r="X203">
        <f>HYPERLINK("https://klasma.github.io/Logging_0382/tillsyn/A 74364-2021 tillsynsbegäran.docx", "A 74364-2021")</f>
        <v/>
      </c>
      <c r="Y203">
        <f>HYPERLINK("https://klasma.github.io/Logging_0382/tillsynsmail/A 74364-2021 tillsynsbegäran mail.docx", "A 74364-2021")</f>
        <v/>
      </c>
    </row>
    <row r="204" ht="15" customHeight="1">
      <c r="A204" t="inlineStr">
        <is>
          <t>A 15297-2022</t>
        </is>
      </c>
      <c r="B204" s="1" t="n">
        <v>44659</v>
      </c>
      <c r="C204" s="1" t="n">
        <v>45832</v>
      </c>
      <c r="D204" t="inlineStr">
        <is>
          <t>UPPSALA LÄN</t>
        </is>
      </c>
      <c r="E204" t="inlineStr">
        <is>
          <t>UPPSALA</t>
        </is>
      </c>
      <c r="F204" t="inlineStr">
        <is>
          <t>Övriga Aktiebolag</t>
        </is>
      </c>
      <c r="G204" t="n">
        <v>6.6</v>
      </c>
      <c r="H204" t="n">
        <v>0</v>
      </c>
      <c r="I204" t="n">
        <v>2</v>
      </c>
      <c r="J204" t="n">
        <v>2</v>
      </c>
      <c r="K204" t="n">
        <v>0</v>
      </c>
      <c r="L204" t="n">
        <v>0</v>
      </c>
      <c r="M204" t="n">
        <v>0</v>
      </c>
      <c r="N204" t="n">
        <v>0</v>
      </c>
      <c r="O204" t="n">
        <v>2</v>
      </c>
      <c r="P204" t="n">
        <v>0</v>
      </c>
      <c r="Q204" t="n">
        <v>4</v>
      </c>
      <c r="R204" s="2" t="inlineStr">
        <is>
          <t>Blekticka
Ekticka
Fällmossa
Stor aspticka</t>
        </is>
      </c>
      <c r="S204">
        <f>HYPERLINK("https://klasma.github.io/Logging_0380/artfynd/A 15297-2022 artfynd.xlsx", "A 15297-2022")</f>
        <v/>
      </c>
      <c r="T204">
        <f>HYPERLINK("https://klasma.github.io/Logging_0380/kartor/A 15297-2022 karta.png", "A 15297-2022")</f>
        <v/>
      </c>
      <c r="V204">
        <f>HYPERLINK("https://klasma.github.io/Logging_0380/klagomål/A 15297-2022 FSC-klagomål.docx", "A 15297-2022")</f>
        <v/>
      </c>
      <c r="W204">
        <f>HYPERLINK("https://klasma.github.io/Logging_0380/klagomålsmail/A 15297-2022 FSC-klagomål mail.docx", "A 15297-2022")</f>
        <v/>
      </c>
      <c r="X204">
        <f>HYPERLINK("https://klasma.github.io/Logging_0380/tillsyn/A 15297-2022 tillsynsbegäran.docx", "A 15297-2022")</f>
        <v/>
      </c>
      <c r="Y204">
        <f>HYPERLINK("https://klasma.github.io/Logging_0380/tillsynsmail/A 15297-2022 tillsynsbegäran mail.docx", "A 15297-2022")</f>
        <v/>
      </c>
    </row>
    <row r="205" ht="15" customHeight="1">
      <c r="A205" t="inlineStr">
        <is>
          <t>A 15956-2022</t>
        </is>
      </c>
      <c r="B205" s="1" t="n">
        <v>44664</v>
      </c>
      <c r="C205" s="1" t="n">
        <v>45832</v>
      </c>
      <c r="D205" t="inlineStr">
        <is>
          <t>UPPSALA LÄN</t>
        </is>
      </c>
      <c r="E205" t="inlineStr">
        <is>
          <t>UPPSALA</t>
        </is>
      </c>
      <c r="G205" t="n">
        <v>0.8</v>
      </c>
      <c r="H205" t="n">
        <v>0</v>
      </c>
      <c r="I205" t="n">
        <v>1</v>
      </c>
      <c r="J205" t="n">
        <v>2</v>
      </c>
      <c r="K205" t="n">
        <v>1</v>
      </c>
      <c r="L205" t="n">
        <v>0</v>
      </c>
      <c r="M205" t="n">
        <v>0</v>
      </c>
      <c r="N205" t="n">
        <v>0</v>
      </c>
      <c r="O205" t="n">
        <v>3</v>
      </c>
      <c r="P205" t="n">
        <v>1</v>
      </c>
      <c r="Q205" t="n">
        <v>4</v>
      </c>
      <c r="R205" s="2" t="inlineStr">
        <is>
          <t>Koppartaggsvamp
Orange taggsvamp
Svart taggsvamp
Mandelriska</t>
        </is>
      </c>
      <c r="S205">
        <f>HYPERLINK("https://klasma.github.io/Logging_0380/artfynd/A 15956-2022 artfynd.xlsx", "A 15956-2022")</f>
        <v/>
      </c>
      <c r="T205">
        <f>HYPERLINK("https://klasma.github.io/Logging_0380/kartor/A 15956-2022 karta.png", "A 15956-2022")</f>
        <v/>
      </c>
      <c r="V205">
        <f>HYPERLINK("https://klasma.github.io/Logging_0380/klagomål/A 15956-2022 FSC-klagomål.docx", "A 15956-2022")</f>
        <v/>
      </c>
      <c r="W205">
        <f>HYPERLINK("https://klasma.github.io/Logging_0380/klagomålsmail/A 15956-2022 FSC-klagomål mail.docx", "A 15956-2022")</f>
        <v/>
      </c>
      <c r="X205">
        <f>HYPERLINK("https://klasma.github.io/Logging_0380/tillsyn/A 15956-2022 tillsynsbegäran.docx", "A 15956-2022")</f>
        <v/>
      </c>
      <c r="Y205">
        <f>HYPERLINK("https://klasma.github.io/Logging_0380/tillsynsmail/A 15956-2022 tillsynsbegäran mail.docx", "A 15956-2022")</f>
        <v/>
      </c>
    </row>
    <row r="206" ht="15" customHeight="1">
      <c r="A206" t="inlineStr">
        <is>
          <t>A 16329-2022</t>
        </is>
      </c>
      <c r="B206" s="1" t="n">
        <v>44670</v>
      </c>
      <c r="C206" s="1" t="n">
        <v>45832</v>
      </c>
      <c r="D206" t="inlineStr">
        <is>
          <t>UPPSALA LÄN</t>
        </is>
      </c>
      <c r="E206" t="inlineStr">
        <is>
          <t>HEBY</t>
        </is>
      </c>
      <c r="G206" t="n">
        <v>24.5</v>
      </c>
      <c r="H206" t="n">
        <v>1</v>
      </c>
      <c r="I206" t="n">
        <v>4</v>
      </c>
      <c r="J206" t="n">
        <v>0</v>
      </c>
      <c r="K206" t="n">
        <v>0</v>
      </c>
      <c r="L206" t="n">
        <v>0</v>
      </c>
      <c r="M206" t="n">
        <v>0</v>
      </c>
      <c r="N206" t="n">
        <v>0</v>
      </c>
      <c r="O206" t="n">
        <v>0</v>
      </c>
      <c r="P206" t="n">
        <v>0</v>
      </c>
      <c r="Q206" t="n">
        <v>4</v>
      </c>
      <c r="R206" s="2" t="inlineStr">
        <is>
          <t>Aspvedgnagare
Bronshjon
Plattlummer
Thomsons trägnagare</t>
        </is>
      </c>
      <c r="S206">
        <f>HYPERLINK("https://klasma.github.io/Logging_0331/artfynd/A 16329-2022 artfynd.xlsx", "A 16329-2022")</f>
        <v/>
      </c>
      <c r="T206">
        <f>HYPERLINK("https://klasma.github.io/Logging_0331/kartor/A 16329-2022 karta.png", "A 16329-2022")</f>
        <v/>
      </c>
      <c r="V206">
        <f>HYPERLINK("https://klasma.github.io/Logging_0331/klagomål/A 16329-2022 FSC-klagomål.docx", "A 16329-2022")</f>
        <v/>
      </c>
      <c r="W206">
        <f>HYPERLINK("https://klasma.github.io/Logging_0331/klagomålsmail/A 16329-2022 FSC-klagomål mail.docx", "A 16329-2022")</f>
        <v/>
      </c>
      <c r="X206">
        <f>HYPERLINK("https://klasma.github.io/Logging_0331/tillsyn/A 16329-2022 tillsynsbegäran.docx", "A 16329-2022")</f>
        <v/>
      </c>
      <c r="Y206">
        <f>HYPERLINK("https://klasma.github.io/Logging_0331/tillsynsmail/A 16329-2022 tillsynsbegäran mail.docx", "A 16329-2022")</f>
        <v/>
      </c>
    </row>
    <row r="207" ht="15" customHeight="1">
      <c r="A207" t="inlineStr">
        <is>
          <t>A 18150-2022</t>
        </is>
      </c>
      <c r="B207" s="1" t="n">
        <v>44684</v>
      </c>
      <c r="C207" s="1" t="n">
        <v>45832</v>
      </c>
      <c r="D207" t="inlineStr">
        <is>
          <t>UPPSALA LÄN</t>
        </is>
      </c>
      <c r="E207" t="inlineStr">
        <is>
          <t>ÖSTHAMMAR</t>
        </is>
      </c>
      <c r="G207" t="n">
        <v>0.8</v>
      </c>
      <c r="H207" t="n">
        <v>3</v>
      </c>
      <c r="I207" t="n">
        <v>1</v>
      </c>
      <c r="J207" t="n">
        <v>1</v>
      </c>
      <c r="K207" t="n">
        <v>1</v>
      </c>
      <c r="L207" t="n">
        <v>0</v>
      </c>
      <c r="M207" t="n">
        <v>0</v>
      </c>
      <c r="N207" t="n">
        <v>0</v>
      </c>
      <c r="O207" t="n">
        <v>2</v>
      </c>
      <c r="P207" t="n">
        <v>1</v>
      </c>
      <c r="Q207" t="n">
        <v>4</v>
      </c>
      <c r="R207" s="2" t="inlineStr">
        <is>
          <t>Knärot
Talltita
Bronshjon
Blåsippa</t>
        </is>
      </c>
      <c r="S207">
        <f>HYPERLINK("https://klasma.github.io/Logging_0382/artfynd/A 18150-2022 artfynd.xlsx", "A 18150-2022")</f>
        <v/>
      </c>
      <c r="T207">
        <f>HYPERLINK("https://klasma.github.io/Logging_0382/kartor/A 18150-2022 karta.png", "A 18150-2022")</f>
        <v/>
      </c>
      <c r="U207">
        <f>HYPERLINK("https://klasma.github.io/Logging_0382/knärot/A 18150-2022 karta knärot.png", "A 18150-2022")</f>
        <v/>
      </c>
      <c r="V207">
        <f>HYPERLINK("https://klasma.github.io/Logging_0382/klagomål/A 18150-2022 FSC-klagomål.docx", "A 18150-2022")</f>
        <v/>
      </c>
      <c r="W207">
        <f>HYPERLINK("https://klasma.github.io/Logging_0382/klagomålsmail/A 18150-2022 FSC-klagomål mail.docx", "A 18150-2022")</f>
        <v/>
      </c>
      <c r="X207">
        <f>HYPERLINK("https://klasma.github.io/Logging_0382/tillsyn/A 18150-2022 tillsynsbegäran.docx", "A 18150-2022")</f>
        <v/>
      </c>
      <c r="Y207">
        <f>HYPERLINK("https://klasma.github.io/Logging_0382/tillsynsmail/A 18150-2022 tillsynsbegäran mail.docx", "A 18150-2022")</f>
        <v/>
      </c>
      <c r="Z207">
        <f>HYPERLINK("https://klasma.github.io/Logging_0382/fåglar/A 18150-2022 prioriterade fågelarter.docx", "A 18150-2022")</f>
        <v/>
      </c>
    </row>
    <row r="208" ht="15" customHeight="1">
      <c r="A208" t="inlineStr">
        <is>
          <t>A 22258-2022</t>
        </is>
      </c>
      <c r="B208" s="1" t="n">
        <v>44712</v>
      </c>
      <c r="C208" s="1" t="n">
        <v>45832</v>
      </c>
      <c r="D208" t="inlineStr">
        <is>
          <t>UPPSALA LÄN</t>
        </is>
      </c>
      <c r="E208" t="inlineStr">
        <is>
          <t>KNIVSTA</t>
        </is>
      </c>
      <c r="G208" t="n">
        <v>1.4</v>
      </c>
      <c r="H208" t="n">
        <v>2</v>
      </c>
      <c r="I208" t="n">
        <v>2</v>
      </c>
      <c r="J208" t="n">
        <v>0</v>
      </c>
      <c r="K208" t="n">
        <v>1</v>
      </c>
      <c r="L208" t="n">
        <v>0</v>
      </c>
      <c r="M208" t="n">
        <v>0</v>
      </c>
      <c r="N208" t="n">
        <v>0</v>
      </c>
      <c r="O208" t="n">
        <v>1</v>
      </c>
      <c r="P208" t="n">
        <v>1</v>
      </c>
      <c r="Q208" t="n">
        <v>4</v>
      </c>
      <c r="R208" s="2" t="inlineStr">
        <is>
          <t>Bombmurkla
Kamjordstjärna
Svart trolldruva
Blåsippa</t>
        </is>
      </c>
      <c r="S208">
        <f>HYPERLINK("https://klasma.github.io/Logging_0330/artfynd/A 22258-2022 artfynd.xlsx", "A 22258-2022")</f>
        <v/>
      </c>
      <c r="T208">
        <f>HYPERLINK("https://klasma.github.io/Logging_0330/kartor/A 22258-2022 karta.png", "A 22258-2022")</f>
        <v/>
      </c>
      <c r="V208">
        <f>HYPERLINK("https://klasma.github.io/Logging_0330/klagomål/A 22258-2022 FSC-klagomål.docx", "A 22258-2022")</f>
        <v/>
      </c>
      <c r="W208">
        <f>HYPERLINK("https://klasma.github.io/Logging_0330/klagomålsmail/A 22258-2022 FSC-klagomål mail.docx", "A 22258-2022")</f>
        <v/>
      </c>
      <c r="X208">
        <f>HYPERLINK("https://klasma.github.io/Logging_0330/tillsyn/A 22258-2022 tillsynsbegäran.docx", "A 22258-2022")</f>
        <v/>
      </c>
      <c r="Y208">
        <f>HYPERLINK("https://klasma.github.io/Logging_0330/tillsynsmail/A 22258-2022 tillsynsbegäran mail.docx", "A 22258-2022")</f>
        <v/>
      </c>
    </row>
    <row r="209" ht="15" customHeight="1">
      <c r="A209" t="inlineStr">
        <is>
          <t>A 23153-2022</t>
        </is>
      </c>
      <c r="B209" s="1" t="n">
        <v>44719</v>
      </c>
      <c r="C209" s="1" t="n">
        <v>45832</v>
      </c>
      <c r="D209" t="inlineStr">
        <is>
          <t>UPPSALA LÄN</t>
        </is>
      </c>
      <c r="E209" t="inlineStr">
        <is>
          <t>UPPSALA</t>
        </is>
      </c>
      <c r="G209" t="n">
        <v>5.4</v>
      </c>
      <c r="H209" t="n">
        <v>0</v>
      </c>
      <c r="I209" t="n">
        <v>3</v>
      </c>
      <c r="J209" t="n">
        <v>1</v>
      </c>
      <c r="K209" t="n">
        <v>0</v>
      </c>
      <c r="L209" t="n">
        <v>0</v>
      </c>
      <c r="M209" t="n">
        <v>0</v>
      </c>
      <c r="N209" t="n">
        <v>0</v>
      </c>
      <c r="O209" t="n">
        <v>1</v>
      </c>
      <c r="P209" t="n">
        <v>0</v>
      </c>
      <c r="Q209" t="n">
        <v>4</v>
      </c>
      <c r="R209" s="2" t="inlineStr">
        <is>
          <t>Större flatbagge
Bronshjon
Thomsons trägnagare
Trådticka</t>
        </is>
      </c>
      <c r="S209">
        <f>HYPERLINK("https://klasma.github.io/Logging_0380/artfynd/A 23153-2022 artfynd.xlsx", "A 23153-2022")</f>
        <v/>
      </c>
      <c r="T209">
        <f>HYPERLINK("https://klasma.github.io/Logging_0380/kartor/A 23153-2022 karta.png", "A 23153-2022")</f>
        <v/>
      </c>
      <c r="V209">
        <f>HYPERLINK("https://klasma.github.io/Logging_0380/klagomål/A 23153-2022 FSC-klagomål.docx", "A 23153-2022")</f>
        <v/>
      </c>
      <c r="W209">
        <f>HYPERLINK("https://klasma.github.io/Logging_0380/klagomålsmail/A 23153-2022 FSC-klagomål mail.docx", "A 23153-2022")</f>
        <v/>
      </c>
      <c r="X209">
        <f>HYPERLINK("https://klasma.github.io/Logging_0380/tillsyn/A 23153-2022 tillsynsbegäran.docx", "A 23153-2022")</f>
        <v/>
      </c>
      <c r="Y209">
        <f>HYPERLINK("https://klasma.github.io/Logging_0380/tillsynsmail/A 23153-2022 tillsynsbegäran mail.docx", "A 23153-2022")</f>
        <v/>
      </c>
    </row>
    <row r="210" ht="15" customHeight="1">
      <c r="A210" t="inlineStr">
        <is>
          <t>A 26758-2022</t>
        </is>
      </c>
      <c r="B210" s="1" t="n">
        <v>44740</v>
      </c>
      <c r="C210" s="1" t="n">
        <v>45832</v>
      </c>
      <c r="D210" t="inlineStr">
        <is>
          <t>UPPSALA LÄN</t>
        </is>
      </c>
      <c r="E210" t="inlineStr">
        <is>
          <t>UPPSALA</t>
        </is>
      </c>
      <c r="G210" t="n">
        <v>21.5</v>
      </c>
      <c r="H210" t="n">
        <v>0</v>
      </c>
      <c r="I210" t="n">
        <v>3</v>
      </c>
      <c r="J210" t="n">
        <v>1</v>
      </c>
      <c r="K210" t="n">
        <v>0</v>
      </c>
      <c r="L210" t="n">
        <v>0</v>
      </c>
      <c r="M210" t="n">
        <v>0</v>
      </c>
      <c r="N210" t="n">
        <v>0</v>
      </c>
      <c r="O210" t="n">
        <v>1</v>
      </c>
      <c r="P210" t="n">
        <v>0</v>
      </c>
      <c r="Q210" t="n">
        <v>4</v>
      </c>
      <c r="R210" s="2" t="inlineStr">
        <is>
          <t>Vedtrappmossa
Blåmossa
Bronshjon
Trådticka</t>
        </is>
      </c>
      <c r="S210">
        <f>HYPERLINK("https://klasma.github.io/Logging_0380/artfynd/A 26758-2022 artfynd.xlsx", "A 26758-2022")</f>
        <v/>
      </c>
      <c r="T210">
        <f>HYPERLINK("https://klasma.github.io/Logging_0380/kartor/A 26758-2022 karta.png", "A 26758-2022")</f>
        <v/>
      </c>
      <c r="V210">
        <f>HYPERLINK("https://klasma.github.io/Logging_0380/klagomål/A 26758-2022 FSC-klagomål.docx", "A 26758-2022")</f>
        <v/>
      </c>
      <c r="W210">
        <f>HYPERLINK("https://klasma.github.io/Logging_0380/klagomålsmail/A 26758-2022 FSC-klagomål mail.docx", "A 26758-2022")</f>
        <v/>
      </c>
      <c r="X210">
        <f>HYPERLINK("https://klasma.github.io/Logging_0380/tillsyn/A 26758-2022 tillsynsbegäran.docx", "A 26758-2022")</f>
        <v/>
      </c>
      <c r="Y210">
        <f>HYPERLINK("https://klasma.github.io/Logging_0380/tillsynsmail/A 26758-2022 tillsynsbegäran mail.docx", "A 26758-2022")</f>
        <v/>
      </c>
    </row>
    <row r="211" ht="15" customHeight="1">
      <c r="A211" t="inlineStr">
        <is>
          <t>A 42846-2022</t>
        </is>
      </c>
      <c r="B211" s="1" t="n">
        <v>44832</v>
      </c>
      <c r="C211" s="1" t="n">
        <v>45832</v>
      </c>
      <c r="D211" t="inlineStr">
        <is>
          <t>UPPSALA LÄN</t>
        </is>
      </c>
      <c r="E211" t="inlineStr">
        <is>
          <t>HEBY</t>
        </is>
      </c>
      <c r="G211" t="n">
        <v>4.8</v>
      </c>
      <c r="H211" t="n">
        <v>1</v>
      </c>
      <c r="I211" t="n">
        <v>3</v>
      </c>
      <c r="J211" t="n">
        <v>0</v>
      </c>
      <c r="K211" t="n">
        <v>1</v>
      </c>
      <c r="L211" t="n">
        <v>0</v>
      </c>
      <c r="M211" t="n">
        <v>0</v>
      </c>
      <c r="N211" t="n">
        <v>0</v>
      </c>
      <c r="O211" t="n">
        <v>1</v>
      </c>
      <c r="P211" t="n">
        <v>1</v>
      </c>
      <c r="Q211" t="n">
        <v>4</v>
      </c>
      <c r="R211" s="2" t="inlineStr">
        <is>
          <t>Knärot
Bronshjon
Thomsons trägnagare
Trådticka</t>
        </is>
      </c>
      <c r="S211">
        <f>HYPERLINK("https://klasma.github.io/Logging_0331/artfynd/A 42846-2022 artfynd.xlsx", "A 42846-2022")</f>
        <v/>
      </c>
      <c r="T211">
        <f>HYPERLINK("https://klasma.github.io/Logging_0331/kartor/A 42846-2022 karta.png", "A 42846-2022")</f>
        <v/>
      </c>
      <c r="U211">
        <f>HYPERLINK("https://klasma.github.io/Logging_0331/knärot/A 42846-2022 karta knärot.png", "A 42846-2022")</f>
        <v/>
      </c>
      <c r="V211">
        <f>HYPERLINK("https://klasma.github.io/Logging_0331/klagomål/A 42846-2022 FSC-klagomål.docx", "A 42846-2022")</f>
        <v/>
      </c>
      <c r="W211">
        <f>HYPERLINK("https://klasma.github.io/Logging_0331/klagomålsmail/A 42846-2022 FSC-klagomål mail.docx", "A 42846-2022")</f>
        <v/>
      </c>
      <c r="X211">
        <f>HYPERLINK("https://klasma.github.io/Logging_0331/tillsyn/A 42846-2022 tillsynsbegäran.docx", "A 42846-2022")</f>
        <v/>
      </c>
      <c r="Y211">
        <f>HYPERLINK("https://klasma.github.io/Logging_0331/tillsynsmail/A 42846-2022 tillsynsbegäran mail.docx", "A 42846-2022")</f>
        <v/>
      </c>
    </row>
    <row r="212" ht="15" customHeight="1">
      <c r="A212" t="inlineStr">
        <is>
          <t>A 48352-2022</t>
        </is>
      </c>
      <c r="B212" s="1" t="n">
        <v>44858</v>
      </c>
      <c r="C212" s="1" t="n">
        <v>45832</v>
      </c>
      <c r="D212" t="inlineStr">
        <is>
          <t>UPPSALA LÄN</t>
        </is>
      </c>
      <c r="E212" t="inlineStr">
        <is>
          <t>ÖSTHAMMAR</t>
        </is>
      </c>
      <c r="G212" t="n">
        <v>4.8</v>
      </c>
      <c r="H212" t="n">
        <v>0</v>
      </c>
      <c r="I212" t="n">
        <v>2</v>
      </c>
      <c r="J212" t="n">
        <v>2</v>
      </c>
      <c r="K212" t="n">
        <v>0</v>
      </c>
      <c r="L212" t="n">
        <v>0</v>
      </c>
      <c r="M212" t="n">
        <v>0</v>
      </c>
      <c r="N212" t="n">
        <v>0</v>
      </c>
      <c r="O212" t="n">
        <v>2</v>
      </c>
      <c r="P212" t="n">
        <v>0</v>
      </c>
      <c r="Q212" t="n">
        <v>4</v>
      </c>
      <c r="R212" s="2" t="inlineStr">
        <is>
          <t>Gultoppig fingersvamp
Svart taggsvamp
Anisspindling
Diskvaxskivling</t>
        </is>
      </c>
      <c r="S212">
        <f>HYPERLINK("https://klasma.github.io/Logging_0382/artfynd/A 48352-2022 artfynd.xlsx", "A 48352-2022")</f>
        <v/>
      </c>
      <c r="T212">
        <f>HYPERLINK("https://klasma.github.io/Logging_0382/kartor/A 48352-2022 karta.png", "A 48352-2022")</f>
        <v/>
      </c>
      <c r="V212">
        <f>HYPERLINK("https://klasma.github.io/Logging_0382/klagomål/A 48352-2022 FSC-klagomål.docx", "A 48352-2022")</f>
        <v/>
      </c>
      <c r="W212">
        <f>HYPERLINK("https://klasma.github.io/Logging_0382/klagomålsmail/A 48352-2022 FSC-klagomål mail.docx", "A 48352-2022")</f>
        <v/>
      </c>
      <c r="X212">
        <f>HYPERLINK("https://klasma.github.io/Logging_0382/tillsyn/A 48352-2022 tillsynsbegäran.docx", "A 48352-2022")</f>
        <v/>
      </c>
      <c r="Y212">
        <f>HYPERLINK("https://klasma.github.io/Logging_0382/tillsynsmail/A 48352-2022 tillsynsbegäran mail.docx", "A 48352-2022")</f>
        <v/>
      </c>
    </row>
    <row r="213" ht="15" customHeight="1">
      <c r="A213" t="inlineStr">
        <is>
          <t>A 49910-2022</t>
        </is>
      </c>
      <c r="B213" s="1" t="n">
        <v>44865</v>
      </c>
      <c r="C213" s="1" t="n">
        <v>45832</v>
      </c>
      <c r="D213" t="inlineStr">
        <is>
          <t>UPPSALA LÄN</t>
        </is>
      </c>
      <c r="E213" t="inlineStr">
        <is>
          <t>ÖSTHAMMAR</t>
        </is>
      </c>
      <c r="F213" t="inlineStr">
        <is>
          <t>Bergvik skog öst AB</t>
        </is>
      </c>
      <c r="G213" t="n">
        <v>5.7</v>
      </c>
      <c r="H213" t="n">
        <v>4</v>
      </c>
      <c r="I213" t="n">
        <v>0</v>
      </c>
      <c r="J213" t="n">
        <v>2</v>
      </c>
      <c r="K213" t="n">
        <v>0</v>
      </c>
      <c r="L213" t="n">
        <v>0</v>
      </c>
      <c r="M213" t="n">
        <v>0</v>
      </c>
      <c r="N213" t="n">
        <v>0</v>
      </c>
      <c r="O213" t="n">
        <v>2</v>
      </c>
      <c r="P213" t="n">
        <v>0</v>
      </c>
      <c r="Q213" t="n">
        <v>4</v>
      </c>
      <c r="R213" s="2" t="inlineStr">
        <is>
          <t>Svartvit flugsnappare
Sävsparv
Bivråk
Törnskata</t>
        </is>
      </c>
      <c r="S213">
        <f>HYPERLINK("https://klasma.github.io/Logging_0382/artfynd/A 49910-2022 artfynd.xlsx", "A 49910-2022")</f>
        <v/>
      </c>
      <c r="T213">
        <f>HYPERLINK("https://klasma.github.io/Logging_0382/kartor/A 49910-2022 karta.png", "A 49910-2022")</f>
        <v/>
      </c>
      <c r="V213">
        <f>HYPERLINK("https://klasma.github.io/Logging_0382/klagomål/A 49910-2022 FSC-klagomål.docx", "A 49910-2022")</f>
        <v/>
      </c>
      <c r="W213">
        <f>HYPERLINK("https://klasma.github.io/Logging_0382/klagomålsmail/A 49910-2022 FSC-klagomål mail.docx", "A 49910-2022")</f>
        <v/>
      </c>
      <c r="X213">
        <f>HYPERLINK("https://klasma.github.io/Logging_0382/tillsyn/A 49910-2022 tillsynsbegäran.docx", "A 49910-2022")</f>
        <v/>
      </c>
      <c r="Y213">
        <f>HYPERLINK("https://klasma.github.io/Logging_0382/tillsynsmail/A 49910-2022 tillsynsbegäran mail.docx", "A 49910-2022")</f>
        <v/>
      </c>
      <c r="Z213">
        <f>HYPERLINK("https://klasma.github.io/Logging_0382/fåglar/A 49910-2022 prioriterade fågelarter.docx", "A 49910-2022")</f>
        <v/>
      </c>
    </row>
    <row r="214" ht="15" customHeight="1">
      <c r="A214" t="inlineStr">
        <is>
          <t>A 52659-2022</t>
        </is>
      </c>
      <c r="B214" s="1" t="n">
        <v>44874</v>
      </c>
      <c r="C214" s="1" t="n">
        <v>45832</v>
      </c>
      <c r="D214" t="inlineStr">
        <is>
          <t>UPPSALA LÄN</t>
        </is>
      </c>
      <c r="E214" t="inlineStr">
        <is>
          <t>ÖSTHAMMAR</t>
        </is>
      </c>
      <c r="F214" t="inlineStr">
        <is>
          <t>Bergvik skog öst AB</t>
        </is>
      </c>
      <c r="G214" t="n">
        <v>1.8</v>
      </c>
      <c r="H214" t="n">
        <v>4</v>
      </c>
      <c r="I214" t="n">
        <v>0</v>
      </c>
      <c r="J214" t="n">
        <v>4</v>
      </c>
      <c r="K214" t="n">
        <v>0</v>
      </c>
      <c r="L214" t="n">
        <v>0</v>
      </c>
      <c r="M214" t="n">
        <v>0</v>
      </c>
      <c r="N214" t="n">
        <v>0</v>
      </c>
      <c r="O214" t="n">
        <v>4</v>
      </c>
      <c r="P214" t="n">
        <v>0</v>
      </c>
      <c r="Q214" t="n">
        <v>4</v>
      </c>
      <c r="R214" s="2" t="inlineStr">
        <is>
          <t>Gulsparv
Kråka
Svartvit flugsnappare
Sävsparv</t>
        </is>
      </c>
      <c r="S214">
        <f>HYPERLINK("https://klasma.github.io/Logging_0382/artfynd/A 52659-2022 artfynd.xlsx", "A 52659-2022")</f>
        <v/>
      </c>
      <c r="T214">
        <f>HYPERLINK("https://klasma.github.io/Logging_0382/kartor/A 52659-2022 karta.png", "A 52659-2022")</f>
        <v/>
      </c>
      <c r="V214">
        <f>HYPERLINK("https://klasma.github.io/Logging_0382/klagomål/A 52659-2022 FSC-klagomål.docx", "A 52659-2022")</f>
        <v/>
      </c>
      <c r="W214">
        <f>HYPERLINK("https://klasma.github.io/Logging_0382/klagomålsmail/A 52659-2022 FSC-klagomål mail.docx", "A 52659-2022")</f>
        <v/>
      </c>
      <c r="X214">
        <f>HYPERLINK("https://klasma.github.io/Logging_0382/tillsyn/A 52659-2022 tillsynsbegäran.docx", "A 52659-2022")</f>
        <v/>
      </c>
      <c r="Y214">
        <f>HYPERLINK("https://klasma.github.io/Logging_0382/tillsynsmail/A 52659-2022 tillsynsbegäran mail.docx", "A 52659-2022")</f>
        <v/>
      </c>
      <c r="Z214">
        <f>HYPERLINK("https://klasma.github.io/Logging_0382/fåglar/A 52659-2022 prioriterade fågelarter.docx", "A 52659-2022")</f>
        <v/>
      </c>
    </row>
    <row r="215" ht="15" customHeight="1">
      <c r="A215" t="inlineStr">
        <is>
          <t>A 52808-2022</t>
        </is>
      </c>
      <c r="B215" s="1" t="n">
        <v>44875</v>
      </c>
      <c r="C215" s="1" t="n">
        <v>45832</v>
      </c>
      <c r="D215" t="inlineStr">
        <is>
          <t>UPPSALA LÄN</t>
        </is>
      </c>
      <c r="E215" t="inlineStr">
        <is>
          <t>ÖSTHAMMAR</t>
        </is>
      </c>
      <c r="G215" t="n">
        <v>4.8</v>
      </c>
      <c r="H215" t="n">
        <v>2</v>
      </c>
      <c r="I215" t="n">
        <v>3</v>
      </c>
      <c r="J215" t="n">
        <v>0</v>
      </c>
      <c r="K215" t="n">
        <v>0</v>
      </c>
      <c r="L215" t="n">
        <v>0</v>
      </c>
      <c r="M215" t="n">
        <v>0</v>
      </c>
      <c r="N215" t="n">
        <v>0</v>
      </c>
      <c r="O215" t="n">
        <v>0</v>
      </c>
      <c r="P215" t="n">
        <v>0</v>
      </c>
      <c r="Q215" t="n">
        <v>4</v>
      </c>
      <c r="R215" s="2" t="inlineStr">
        <is>
          <t>Hasselticka
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5089-2023</t>
        </is>
      </c>
      <c r="B216" s="1" t="n">
        <v>44958</v>
      </c>
      <c r="C216" s="1" t="n">
        <v>45832</v>
      </c>
      <c r="D216" t="inlineStr">
        <is>
          <t>UPPSALA LÄN</t>
        </is>
      </c>
      <c r="E216" t="inlineStr">
        <is>
          <t>TIERP</t>
        </is>
      </c>
      <c r="F216" t="inlineStr">
        <is>
          <t>Bergvik skog öst AB</t>
        </is>
      </c>
      <c r="G216" t="n">
        <v>19.1</v>
      </c>
      <c r="H216" t="n">
        <v>1</v>
      </c>
      <c r="I216" t="n">
        <v>1</v>
      </c>
      <c r="J216" t="n">
        <v>3</v>
      </c>
      <c r="K216" t="n">
        <v>0</v>
      </c>
      <c r="L216" t="n">
        <v>0</v>
      </c>
      <c r="M216" t="n">
        <v>0</v>
      </c>
      <c r="N216" t="n">
        <v>0</v>
      </c>
      <c r="O216" t="n">
        <v>3</v>
      </c>
      <c r="P216" t="n">
        <v>0</v>
      </c>
      <c r="Q216" t="n">
        <v>4</v>
      </c>
      <c r="R216" s="2" t="inlineStr">
        <is>
          <t>Motaggsvamp
Talltita
Ullticka
Granbarkgnagare</t>
        </is>
      </c>
      <c r="S216">
        <f>HYPERLINK("https://klasma.github.io/Logging_0360/artfynd/A 5089-2023 artfynd.xlsx", "A 5089-2023")</f>
        <v/>
      </c>
      <c r="T216">
        <f>HYPERLINK("https://klasma.github.io/Logging_0360/kartor/A 5089-2023 karta.png", "A 5089-2023")</f>
        <v/>
      </c>
      <c r="V216">
        <f>HYPERLINK("https://klasma.github.io/Logging_0360/klagomål/A 5089-2023 FSC-klagomål.docx", "A 5089-2023")</f>
        <v/>
      </c>
      <c r="W216">
        <f>HYPERLINK("https://klasma.github.io/Logging_0360/klagomålsmail/A 5089-2023 FSC-klagomål mail.docx", "A 5089-2023")</f>
        <v/>
      </c>
      <c r="X216">
        <f>HYPERLINK("https://klasma.github.io/Logging_0360/tillsyn/A 5089-2023 tillsynsbegäran.docx", "A 5089-2023")</f>
        <v/>
      </c>
      <c r="Y216">
        <f>HYPERLINK("https://klasma.github.io/Logging_0360/tillsynsmail/A 5089-2023 tillsynsbegäran mail.docx", "A 5089-2023")</f>
        <v/>
      </c>
      <c r="Z216">
        <f>HYPERLINK("https://klasma.github.io/Logging_0360/fåglar/A 5089-2023 prioriterade fågelarter.docx", "A 5089-2023")</f>
        <v/>
      </c>
    </row>
    <row r="217" ht="15" customHeight="1">
      <c r="A217" t="inlineStr">
        <is>
          <t>A 8323-2023</t>
        </is>
      </c>
      <c r="B217" s="1" t="n">
        <v>44974</v>
      </c>
      <c r="C217" s="1" t="n">
        <v>45832</v>
      </c>
      <c r="D217" t="inlineStr">
        <is>
          <t>UPPSALA LÄN</t>
        </is>
      </c>
      <c r="E217" t="inlineStr">
        <is>
          <t>UPPSALA</t>
        </is>
      </c>
      <c r="G217" t="n">
        <v>9.4</v>
      </c>
      <c r="H217" t="n">
        <v>1</v>
      </c>
      <c r="I217" t="n">
        <v>2</v>
      </c>
      <c r="J217" t="n">
        <v>1</v>
      </c>
      <c r="K217" t="n">
        <v>0</v>
      </c>
      <c r="L217" t="n">
        <v>0</v>
      </c>
      <c r="M217" t="n">
        <v>0</v>
      </c>
      <c r="N217" t="n">
        <v>0</v>
      </c>
      <c r="O217" t="n">
        <v>1</v>
      </c>
      <c r="P217" t="n">
        <v>0</v>
      </c>
      <c r="Q217" t="n">
        <v>4</v>
      </c>
      <c r="R217" s="2" t="inlineStr">
        <is>
          <t>Leptoporus erubescens
Blodticka
Grönpyrola
Revlummer</t>
        </is>
      </c>
      <c r="S217">
        <f>HYPERLINK("https://klasma.github.io/Logging_0380/artfynd/A 8323-2023 artfynd.xlsx", "A 8323-2023")</f>
        <v/>
      </c>
      <c r="T217">
        <f>HYPERLINK("https://klasma.github.io/Logging_0380/kartor/A 8323-2023 karta.png", "A 8323-2023")</f>
        <v/>
      </c>
      <c r="V217">
        <f>HYPERLINK("https://klasma.github.io/Logging_0380/klagomål/A 8323-2023 FSC-klagomål.docx", "A 8323-2023")</f>
        <v/>
      </c>
      <c r="W217">
        <f>HYPERLINK("https://klasma.github.io/Logging_0380/klagomålsmail/A 8323-2023 FSC-klagomål mail.docx", "A 8323-2023")</f>
        <v/>
      </c>
      <c r="X217">
        <f>HYPERLINK("https://klasma.github.io/Logging_0380/tillsyn/A 8323-2023 tillsynsbegäran.docx", "A 8323-2023")</f>
        <v/>
      </c>
      <c r="Y217">
        <f>HYPERLINK("https://klasma.github.io/Logging_0380/tillsynsmail/A 8323-2023 tillsynsbegäran mail.docx", "A 8323-2023")</f>
        <v/>
      </c>
    </row>
    <row r="218" ht="15" customHeight="1">
      <c r="A218" t="inlineStr">
        <is>
          <t>A 13210-2023</t>
        </is>
      </c>
      <c r="B218" s="1" t="n">
        <v>45002</v>
      </c>
      <c r="C218" s="1" t="n">
        <v>45832</v>
      </c>
      <c r="D218" t="inlineStr">
        <is>
          <t>UPPSALA LÄN</t>
        </is>
      </c>
      <c r="E218" t="inlineStr">
        <is>
          <t>UPPSALA</t>
        </is>
      </c>
      <c r="F218" t="inlineStr">
        <is>
          <t>Holmen skog AB</t>
        </is>
      </c>
      <c r="G218" t="n">
        <v>6.5</v>
      </c>
      <c r="H218" t="n">
        <v>2</v>
      </c>
      <c r="I218" t="n">
        <v>2</v>
      </c>
      <c r="J218" t="n">
        <v>0</v>
      </c>
      <c r="K218" t="n">
        <v>1</v>
      </c>
      <c r="L218" t="n">
        <v>0</v>
      </c>
      <c r="M218" t="n">
        <v>0</v>
      </c>
      <c r="N218" t="n">
        <v>0</v>
      </c>
      <c r="O218" t="n">
        <v>1</v>
      </c>
      <c r="P218" t="n">
        <v>1</v>
      </c>
      <c r="Q218" t="n">
        <v>4</v>
      </c>
      <c r="R218" s="2" t="inlineStr">
        <is>
          <t>Knärot
Bronshjon
Vanlig rörsvepemossa
Blåsippa</t>
        </is>
      </c>
      <c r="S218">
        <f>HYPERLINK("https://klasma.github.io/Logging_0380/artfynd/A 13210-2023 artfynd.xlsx", "A 13210-2023")</f>
        <v/>
      </c>
      <c r="T218">
        <f>HYPERLINK("https://klasma.github.io/Logging_0380/kartor/A 13210-2023 karta.png", "A 13210-2023")</f>
        <v/>
      </c>
      <c r="U218">
        <f>HYPERLINK("https://klasma.github.io/Logging_0380/knärot/A 13210-2023 karta knärot.png", "A 13210-2023")</f>
        <v/>
      </c>
      <c r="V218">
        <f>HYPERLINK("https://klasma.github.io/Logging_0380/klagomål/A 13210-2023 FSC-klagomål.docx", "A 13210-2023")</f>
        <v/>
      </c>
      <c r="W218">
        <f>HYPERLINK("https://klasma.github.io/Logging_0380/klagomålsmail/A 13210-2023 FSC-klagomål mail.docx", "A 13210-2023")</f>
        <v/>
      </c>
      <c r="X218">
        <f>HYPERLINK("https://klasma.github.io/Logging_0380/tillsyn/A 13210-2023 tillsynsbegäran.docx", "A 13210-2023")</f>
        <v/>
      </c>
      <c r="Y218">
        <f>HYPERLINK("https://klasma.github.io/Logging_0380/tillsynsmail/A 13210-2023 tillsynsbegäran mail.docx", "A 13210-2023")</f>
        <v/>
      </c>
    </row>
    <row r="219" ht="15" customHeight="1">
      <c r="A219" t="inlineStr">
        <is>
          <t>A 16456-2023</t>
        </is>
      </c>
      <c r="B219" s="1" t="n">
        <v>45026</v>
      </c>
      <c r="C219" s="1" t="n">
        <v>45832</v>
      </c>
      <c r="D219" t="inlineStr">
        <is>
          <t>UPPSALA LÄN</t>
        </is>
      </c>
      <c r="E219" t="inlineStr">
        <is>
          <t>UPPSALA</t>
        </is>
      </c>
      <c r="G219" t="n">
        <v>6.5</v>
      </c>
      <c r="H219" t="n">
        <v>3</v>
      </c>
      <c r="I219" t="n">
        <v>1</v>
      </c>
      <c r="J219" t="n">
        <v>2</v>
      </c>
      <c r="K219" t="n">
        <v>0</v>
      </c>
      <c r="L219" t="n">
        <v>0</v>
      </c>
      <c r="M219" t="n">
        <v>0</v>
      </c>
      <c r="N219" t="n">
        <v>0</v>
      </c>
      <c r="O219" t="n">
        <v>2</v>
      </c>
      <c r="P219" t="n">
        <v>0</v>
      </c>
      <c r="Q219" t="n">
        <v>4</v>
      </c>
      <c r="R219" s="2" t="inlineStr">
        <is>
          <t>Entita
Rödvingetrast
Björksplintborre
Skogsduva</t>
        </is>
      </c>
      <c r="S219">
        <f>HYPERLINK("https://klasma.github.io/Logging_0380/artfynd/A 16456-2023 artfynd.xlsx", "A 16456-2023")</f>
        <v/>
      </c>
      <c r="T219">
        <f>HYPERLINK("https://klasma.github.io/Logging_0380/kartor/A 16456-2023 karta.png", "A 16456-2023")</f>
        <v/>
      </c>
      <c r="V219">
        <f>HYPERLINK("https://klasma.github.io/Logging_0380/klagomål/A 16456-2023 FSC-klagomål.docx", "A 16456-2023")</f>
        <v/>
      </c>
      <c r="W219">
        <f>HYPERLINK("https://klasma.github.io/Logging_0380/klagomålsmail/A 16456-2023 FSC-klagomål mail.docx", "A 16456-2023")</f>
        <v/>
      </c>
      <c r="X219">
        <f>HYPERLINK("https://klasma.github.io/Logging_0380/tillsyn/A 16456-2023 tillsynsbegäran.docx", "A 16456-2023")</f>
        <v/>
      </c>
      <c r="Y219">
        <f>HYPERLINK("https://klasma.github.io/Logging_0380/tillsynsmail/A 16456-2023 tillsynsbegäran mail.docx", "A 16456-2023")</f>
        <v/>
      </c>
      <c r="Z219">
        <f>HYPERLINK("https://klasma.github.io/Logging_0380/fåglar/A 16456-2023 prioriterade fågelarter.docx", "A 16456-2023")</f>
        <v/>
      </c>
    </row>
    <row r="220" ht="15" customHeight="1">
      <c r="A220" t="inlineStr">
        <is>
          <t>A 18814-2023</t>
        </is>
      </c>
      <c r="B220" s="1" t="n">
        <v>45043</v>
      </c>
      <c r="C220" s="1" t="n">
        <v>45832</v>
      </c>
      <c r="D220" t="inlineStr">
        <is>
          <t>UPPSALA LÄN</t>
        </is>
      </c>
      <c r="E220" t="inlineStr">
        <is>
          <t>KNIVSTA</t>
        </is>
      </c>
      <c r="G220" t="n">
        <v>8.9</v>
      </c>
      <c r="H220" t="n">
        <v>2</v>
      </c>
      <c r="I220" t="n">
        <v>1</v>
      </c>
      <c r="J220" t="n">
        <v>2</v>
      </c>
      <c r="K220" t="n">
        <v>0</v>
      </c>
      <c r="L220" t="n">
        <v>1</v>
      </c>
      <c r="M220" t="n">
        <v>0</v>
      </c>
      <c r="N220" t="n">
        <v>0</v>
      </c>
      <c r="O220" t="n">
        <v>3</v>
      </c>
      <c r="P220" t="n">
        <v>1</v>
      </c>
      <c r="Q220" t="n">
        <v>4</v>
      </c>
      <c r="R220" s="2" t="inlineStr">
        <is>
          <t>Grönfink
Gulsparv
Ullticka
Barkticka</t>
        </is>
      </c>
      <c r="S220">
        <f>HYPERLINK("https://klasma.github.io/Logging_0330/artfynd/A 18814-2023 artfynd.xlsx", "A 18814-2023")</f>
        <v/>
      </c>
      <c r="T220">
        <f>HYPERLINK("https://klasma.github.io/Logging_0330/kartor/A 18814-2023 karta.png", "A 18814-2023")</f>
        <v/>
      </c>
      <c r="V220">
        <f>HYPERLINK("https://klasma.github.io/Logging_0330/klagomål/A 18814-2023 FSC-klagomål.docx", "A 18814-2023")</f>
        <v/>
      </c>
      <c r="W220">
        <f>HYPERLINK("https://klasma.github.io/Logging_0330/klagomålsmail/A 18814-2023 FSC-klagomål mail.docx", "A 18814-2023")</f>
        <v/>
      </c>
      <c r="X220">
        <f>HYPERLINK("https://klasma.github.io/Logging_0330/tillsyn/A 18814-2023 tillsynsbegäran.docx", "A 18814-2023")</f>
        <v/>
      </c>
      <c r="Y220">
        <f>HYPERLINK("https://klasma.github.io/Logging_0330/tillsynsmail/A 18814-2023 tillsynsbegäran mail.docx", "A 18814-2023")</f>
        <v/>
      </c>
      <c r="Z220">
        <f>HYPERLINK("https://klasma.github.io/Logging_0330/fåglar/A 18814-2023 prioriterade fågelarter.docx", "A 18814-2023")</f>
        <v/>
      </c>
    </row>
    <row r="221" ht="15" customHeight="1">
      <c r="A221" t="inlineStr">
        <is>
          <t>A 19329-2023</t>
        </is>
      </c>
      <c r="B221" s="1" t="n">
        <v>45049</v>
      </c>
      <c r="C221" s="1" t="n">
        <v>45832</v>
      </c>
      <c r="D221" t="inlineStr">
        <is>
          <t>UPPSALA LÄN</t>
        </is>
      </c>
      <c r="E221" t="inlineStr">
        <is>
          <t>UPPSALA</t>
        </is>
      </c>
      <c r="G221" t="n">
        <v>10</v>
      </c>
      <c r="H221" t="n">
        <v>0</v>
      </c>
      <c r="I221" t="n">
        <v>3</v>
      </c>
      <c r="J221" t="n">
        <v>1</v>
      </c>
      <c r="K221" t="n">
        <v>0</v>
      </c>
      <c r="L221" t="n">
        <v>0</v>
      </c>
      <c r="M221" t="n">
        <v>0</v>
      </c>
      <c r="N221" t="n">
        <v>0</v>
      </c>
      <c r="O221" t="n">
        <v>1</v>
      </c>
      <c r="P221" t="n">
        <v>0</v>
      </c>
      <c r="Q221" t="n">
        <v>4</v>
      </c>
      <c r="R221" s="2" t="inlineStr">
        <is>
          <t>Erastia ochraceolateritia
Blodticka
Fjällig taggsvamp s.str.
Svavelriska</t>
        </is>
      </c>
      <c r="S221">
        <f>HYPERLINK("https://klasma.github.io/Logging_0380/artfynd/A 19329-2023 artfynd.xlsx", "A 19329-2023")</f>
        <v/>
      </c>
      <c r="T221">
        <f>HYPERLINK("https://klasma.github.io/Logging_0380/kartor/A 19329-2023 karta.png", "A 19329-2023")</f>
        <v/>
      </c>
      <c r="V221">
        <f>HYPERLINK("https://klasma.github.io/Logging_0380/klagomål/A 19329-2023 FSC-klagomål.docx", "A 19329-2023")</f>
        <v/>
      </c>
      <c r="W221">
        <f>HYPERLINK("https://klasma.github.io/Logging_0380/klagomålsmail/A 19329-2023 FSC-klagomål mail.docx", "A 19329-2023")</f>
        <v/>
      </c>
      <c r="X221">
        <f>HYPERLINK("https://klasma.github.io/Logging_0380/tillsyn/A 19329-2023 tillsynsbegäran.docx", "A 19329-2023")</f>
        <v/>
      </c>
      <c r="Y221">
        <f>HYPERLINK("https://klasma.github.io/Logging_0380/tillsynsmail/A 19329-2023 tillsynsbegäran mail.docx", "A 19329-2023")</f>
        <v/>
      </c>
    </row>
    <row r="222" ht="15" customHeight="1">
      <c r="A222" t="inlineStr">
        <is>
          <t>A 26600-2023</t>
        </is>
      </c>
      <c r="B222" s="1" t="n">
        <v>45092</v>
      </c>
      <c r="C222" s="1" t="n">
        <v>45832</v>
      </c>
      <c r="D222" t="inlineStr">
        <is>
          <t>UPPSALA LÄN</t>
        </is>
      </c>
      <c r="E222" t="inlineStr">
        <is>
          <t>ÖSTHAMMAR</t>
        </is>
      </c>
      <c r="F222" t="inlineStr">
        <is>
          <t>Sveaskog</t>
        </is>
      </c>
      <c r="G222" t="n">
        <v>3.5</v>
      </c>
      <c r="H222" t="n">
        <v>4</v>
      </c>
      <c r="I222" t="n">
        <v>0</v>
      </c>
      <c r="J222" t="n">
        <v>3</v>
      </c>
      <c r="K222" t="n">
        <v>0</v>
      </c>
      <c r="L222" t="n">
        <v>1</v>
      </c>
      <c r="M222" t="n">
        <v>0</v>
      </c>
      <c r="N222" t="n">
        <v>0</v>
      </c>
      <c r="O222" t="n">
        <v>4</v>
      </c>
      <c r="P222" t="n">
        <v>1</v>
      </c>
      <c r="Q222" t="n">
        <v>4</v>
      </c>
      <c r="R222" s="2" t="inlineStr">
        <is>
          <t>Grönfink
Fiskmås
Nordfladdermus
Rörsångare</t>
        </is>
      </c>
      <c r="S222">
        <f>HYPERLINK("https://klasma.github.io/Logging_0382/artfynd/A 26600-2023 artfynd.xlsx", "A 26600-2023")</f>
        <v/>
      </c>
      <c r="T222">
        <f>HYPERLINK("https://klasma.github.io/Logging_0382/kartor/A 26600-2023 karta.png", "A 26600-2023")</f>
        <v/>
      </c>
      <c r="V222">
        <f>HYPERLINK("https://klasma.github.io/Logging_0382/klagomål/A 26600-2023 FSC-klagomål.docx", "A 26600-2023")</f>
        <v/>
      </c>
      <c r="W222">
        <f>HYPERLINK("https://klasma.github.io/Logging_0382/klagomålsmail/A 26600-2023 FSC-klagomål mail.docx", "A 26600-2023")</f>
        <v/>
      </c>
      <c r="X222">
        <f>HYPERLINK("https://klasma.github.io/Logging_0382/tillsyn/A 26600-2023 tillsynsbegäran.docx", "A 26600-2023")</f>
        <v/>
      </c>
      <c r="Y222">
        <f>HYPERLINK("https://klasma.github.io/Logging_0382/tillsynsmail/A 26600-2023 tillsynsbegäran mail.docx", "A 26600-2023")</f>
        <v/>
      </c>
      <c r="Z222">
        <f>HYPERLINK("https://klasma.github.io/Logging_0382/fåglar/A 26600-2023 prioriterade fågelarter.docx", "A 26600-2023")</f>
        <v/>
      </c>
    </row>
    <row r="223" ht="15" customHeight="1">
      <c r="A223" t="inlineStr">
        <is>
          <t>A 32759-2023</t>
        </is>
      </c>
      <c r="B223" s="1" t="n">
        <v>45123</v>
      </c>
      <c r="C223" s="1" t="n">
        <v>45832</v>
      </c>
      <c r="D223" t="inlineStr">
        <is>
          <t>UPPSALA LÄN</t>
        </is>
      </c>
      <c r="E223" t="inlineStr">
        <is>
          <t>HEBY</t>
        </is>
      </c>
      <c r="G223" t="n">
        <v>23.9</v>
      </c>
      <c r="H223" t="n">
        <v>3</v>
      </c>
      <c r="I223" t="n">
        <v>2</v>
      </c>
      <c r="J223" t="n">
        <v>0</v>
      </c>
      <c r="K223" t="n">
        <v>1</v>
      </c>
      <c r="L223" t="n">
        <v>0</v>
      </c>
      <c r="M223" t="n">
        <v>0</v>
      </c>
      <c r="N223" t="n">
        <v>0</v>
      </c>
      <c r="O223" t="n">
        <v>1</v>
      </c>
      <c r="P223" t="n">
        <v>1</v>
      </c>
      <c r="Q223" t="n">
        <v>4</v>
      </c>
      <c r="R223" s="2" t="inlineStr">
        <is>
          <t>Knärot
Grön sköldmossa
Vedticka
Kungsfågel</t>
        </is>
      </c>
      <c r="S223">
        <f>HYPERLINK("https://klasma.github.io/Logging_0331/artfynd/A 32759-2023 artfynd.xlsx", "A 32759-2023")</f>
        <v/>
      </c>
      <c r="T223">
        <f>HYPERLINK("https://klasma.github.io/Logging_0331/kartor/A 32759-2023 karta.png", "A 32759-2023")</f>
        <v/>
      </c>
      <c r="U223">
        <f>HYPERLINK("https://klasma.github.io/Logging_0331/knärot/A 32759-2023 karta knärot.png", "A 32759-2023")</f>
        <v/>
      </c>
      <c r="V223">
        <f>HYPERLINK("https://klasma.github.io/Logging_0331/klagomål/A 32759-2023 FSC-klagomål.docx", "A 32759-2023")</f>
        <v/>
      </c>
      <c r="W223">
        <f>HYPERLINK("https://klasma.github.io/Logging_0331/klagomålsmail/A 32759-2023 FSC-klagomål mail.docx", "A 32759-2023")</f>
        <v/>
      </c>
      <c r="X223">
        <f>HYPERLINK("https://klasma.github.io/Logging_0331/tillsyn/A 32759-2023 tillsynsbegäran.docx", "A 32759-2023")</f>
        <v/>
      </c>
      <c r="Y223">
        <f>HYPERLINK("https://klasma.github.io/Logging_0331/tillsynsmail/A 32759-2023 tillsynsbegäran mail.docx", "A 32759-2023")</f>
        <v/>
      </c>
      <c r="Z223">
        <f>HYPERLINK("https://klasma.github.io/Logging_0331/fåglar/A 32759-2023 prioriterade fågelarter.docx", "A 32759-2023")</f>
        <v/>
      </c>
    </row>
    <row r="224" ht="15" customHeight="1">
      <c r="A224" t="inlineStr">
        <is>
          <t>A 32785-2023</t>
        </is>
      </c>
      <c r="B224" s="1" t="n">
        <v>45124</v>
      </c>
      <c r="C224" s="1" t="n">
        <v>45832</v>
      </c>
      <c r="D224" t="inlineStr">
        <is>
          <t>UPPSALA LÄN</t>
        </is>
      </c>
      <c r="E224" t="inlineStr">
        <is>
          <t>HEBY</t>
        </is>
      </c>
      <c r="G224" t="n">
        <v>3.1</v>
      </c>
      <c r="H224" t="n">
        <v>3</v>
      </c>
      <c r="I224" t="n">
        <v>0</v>
      </c>
      <c r="J224" t="n">
        <v>3</v>
      </c>
      <c r="K224" t="n">
        <v>0</v>
      </c>
      <c r="L224" t="n">
        <v>0</v>
      </c>
      <c r="M224" t="n">
        <v>0</v>
      </c>
      <c r="N224" t="n">
        <v>0</v>
      </c>
      <c r="O224" t="n">
        <v>3</v>
      </c>
      <c r="P224" t="n">
        <v>0</v>
      </c>
      <c r="Q224" t="n">
        <v>4</v>
      </c>
      <c r="R224" s="2" t="inlineStr">
        <is>
          <t>Garnlav
Spillkråka
Talltita
Huggorm</t>
        </is>
      </c>
      <c r="S224">
        <f>HYPERLINK("https://klasma.github.io/Logging_0331/artfynd/A 32785-2023 artfynd.xlsx", "A 32785-2023")</f>
        <v/>
      </c>
      <c r="T224">
        <f>HYPERLINK("https://klasma.github.io/Logging_0331/kartor/A 32785-2023 karta.png", "A 32785-2023")</f>
        <v/>
      </c>
      <c r="V224">
        <f>HYPERLINK("https://klasma.github.io/Logging_0331/klagomål/A 32785-2023 FSC-klagomål.docx", "A 32785-2023")</f>
        <v/>
      </c>
      <c r="W224">
        <f>HYPERLINK("https://klasma.github.io/Logging_0331/klagomålsmail/A 32785-2023 FSC-klagomål mail.docx", "A 32785-2023")</f>
        <v/>
      </c>
      <c r="X224">
        <f>HYPERLINK("https://klasma.github.io/Logging_0331/tillsyn/A 32785-2023 tillsynsbegäran.docx", "A 32785-2023")</f>
        <v/>
      </c>
      <c r="Y224">
        <f>HYPERLINK("https://klasma.github.io/Logging_0331/tillsynsmail/A 32785-2023 tillsynsbegäran mail.docx", "A 32785-2023")</f>
        <v/>
      </c>
      <c r="Z224">
        <f>HYPERLINK("https://klasma.github.io/Logging_0331/fåglar/A 32785-2023 prioriterade fågelarter.docx", "A 32785-2023")</f>
        <v/>
      </c>
    </row>
    <row r="225" ht="15" customHeight="1">
      <c r="A225" t="inlineStr">
        <is>
          <t>A 40648-2023</t>
        </is>
      </c>
      <c r="B225" s="1" t="n">
        <v>45170</v>
      </c>
      <c r="C225" s="1" t="n">
        <v>45832</v>
      </c>
      <c r="D225" t="inlineStr">
        <is>
          <t>UPPSALA LÄN</t>
        </is>
      </c>
      <c r="E225" t="inlineStr">
        <is>
          <t>HEBY</t>
        </is>
      </c>
      <c r="F225" t="inlineStr">
        <is>
          <t>Övriga Aktiebolag</t>
        </is>
      </c>
      <c r="G225" t="n">
        <v>5.3</v>
      </c>
      <c r="H225" t="n">
        <v>0</v>
      </c>
      <c r="I225" t="n">
        <v>2</v>
      </c>
      <c r="J225" t="n">
        <v>2</v>
      </c>
      <c r="K225" t="n">
        <v>0</v>
      </c>
      <c r="L225" t="n">
        <v>0</v>
      </c>
      <c r="M225" t="n">
        <v>0</v>
      </c>
      <c r="N225" t="n">
        <v>0</v>
      </c>
      <c r="O225" t="n">
        <v>2</v>
      </c>
      <c r="P225" t="n">
        <v>0</v>
      </c>
      <c r="Q225" t="n">
        <v>4</v>
      </c>
      <c r="R225" s="2" t="inlineStr">
        <is>
          <t>Garnlav
Tallticka
Blodticka
Grönpyrola</t>
        </is>
      </c>
      <c r="S225">
        <f>HYPERLINK("https://klasma.github.io/Logging_0331/artfynd/A 40648-2023 artfynd.xlsx", "A 40648-2023")</f>
        <v/>
      </c>
      <c r="T225">
        <f>HYPERLINK("https://klasma.github.io/Logging_0331/kartor/A 40648-2023 karta.png", "A 40648-2023")</f>
        <v/>
      </c>
      <c r="U225">
        <f>HYPERLINK("https://klasma.github.io/Logging_0331/knärot/A 40648-2023 karta knärot.png", "A 40648-2023")</f>
        <v/>
      </c>
      <c r="V225">
        <f>HYPERLINK("https://klasma.github.io/Logging_0331/klagomål/A 40648-2023 FSC-klagomål.docx", "A 40648-2023")</f>
        <v/>
      </c>
      <c r="W225">
        <f>HYPERLINK("https://klasma.github.io/Logging_0331/klagomålsmail/A 40648-2023 FSC-klagomål mail.docx", "A 40648-2023")</f>
        <v/>
      </c>
      <c r="X225">
        <f>HYPERLINK("https://klasma.github.io/Logging_0331/tillsyn/A 40648-2023 tillsynsbegäran.docx", "A 40648-2023")</f>
        <v/>
      </c>
      <c r="Y225">
        <f>HYPERLINK("https://klasma.github.io/Logging_0331/tillsynsmail/A 40648-2023 tillsynsbegäran mail.docx", "A 40648-2023")</f>
        <v/>
      </c>
    </row>
    <row r="226" ht="15" customHeight="1">
      <c r="A226" t="inlineStr">
        <is>
          <t>A 41808-2023</t>
        </is>
      </c>
      <c r="B226" s="1" t="n">
        <v>45176</v>
      </c>
      <c r="C226" s="1" t="n">
        <v>45832</v>
      </c>
      <c r="D226" t="inlineStr">
        <is>
          <t>UPPSALA LÄN</t>
        </is>
      </c>
      <c r="E226" t="inlineStr">
        <is>
          <t>TIERP</t>
        </is>
      </c>
      <c r="F226" t="inlineStr">
        <is>
          <t>Bergvik skog öst AB</t>
        </is>
      </c>
      <c r="G226" t="n">
        <v>2.5</v>
      </c>
      <c r="H226" t="n">
        <v>0</v>
      </c>
      <c r="I226" t="n">
        <v>3</v>
      </c>
      <c r="J226" t="n">
        <v>0</v>
      </c>
      <c r="K226" t="n">
        <v>1</v>
      </c>
      <c r="L226" t="n">
        <v>0</v>
      </c>
      <c r="M226" t="n">
        <v>0</v>
      </c>
      <c r="N226" t="n">
        <v>0</v>
      </c>
      <c r="O226" t="n">
        <v>1</v>
      </c>
      <c r="P226" t="n">
        <v>1</v>
      </c>
      <c r="Q226" t="n">
        <v>4</v>
      </c>
      <c r="R226" s="2" t="inlineStr">
        <is>
          <t>Läderdoftande fingersvamp
Fjällig taggsvamp s.str.
Skarp dropptaggsvamp
Zontaggsvamp</t>
        </is>
      </c>
      <c r="S226">
        <f>HYPERLINK("https://klasma.github.io/Logging_0360/artfynd/A 41808-2023 artfynd.xlsx", "A 41808-2023")</f>
        <v/>
      </c>
      <c r="T226">
        <f>HYPERLINK("https://klasma.github.io/Logging_0360/kartor/A 41808-2023 karta.png", "A 41808-2023")</f>
        <v/>
      </c>
      <c r="V226">
        <f>HYPERLINK("https://klasma.github.io/Logging_0360/klagomål/A 41808-2023 FSC-klagomål.docx", "A 41808-2023")</f>
        <v/>
      </c>
      <c r="W226">
        <f>HYPERLINK("https://klasma.github.io/Logging_0360/klagomålsmail/A 41808-2023 FSC-klagomål mail.docx", "A 41808-2023")</f>
        <v/>
      </c>
      <c r="X226">
        <f>HYPERLINK("https://klasma.github.io/Logging_0360/tillsyn/A 41808-2023 tillsynsbegäran.docx", "A 41808-2023")</f>
        <v/>
      </c>
      <c r="Y226">
        <f>HYPERLINK("https://klasma.github.io/Logging_0360/tillsynsmail/A 41808-2023 tillsynsbegäran mail.docx", "A 41808-2023")</f>
        <v/>
      </c>
    </row>
    <row r="227" ht="15" customHeight="1">
      <c r="A227" t="inlineStr">
        <is>
          <t>A 42343-2023</t>
        </is>
      </c>
      <c r="B227" s="1" t="n">
        <v>45180</v>
      </c>
      <c r="C227" s="1" t="n">
        <v>45832</v>
      </c>
      <c r="D227" t="inlineStr">
        <is>
          <t>UPPSALA LÄN</t>
        </is>
      </c>
      <c r="E227" t="inlineStr">
        <is>
          <t>TIERP</t>
        </is>
      </c>
      <c r="F227" t="inlineStr">
        <is>
          <t>Bergvik skog väst AB</t>
        </is>
      </c>
      <c r="G227" t="n">
        <v>13.6</v>
      </c>
      <c r="H227" t="n">
        <v>1</v>
      </c>
      <c r="I227" t="n">
        <v>3</v>
      </c>
      <c r="J227" t="n">
        <v>0</v>
      </c>
      <c r="K227" t="n">
        <v>0</v>
      </c>
      <c r="L227" t="n">
        <v>0</v>
      </c>
      <c r="M227" t="n">
        <v>0</v>
      </c>
      <c r="N227" t="n">
        <v>0</v>
      </c>
      <c r="O227" t="n">
        <v>0</v>
      </c>
      <c r="P227" t="n">
        <v>0</v>
      </c>
      <c r="Q227" t="n">
        <v>4</v>
      </c>
      <c r="R227" s="2" t="inlineStr">
        <is>
          <t>Bronshjon
Myskmadra
Thomsons trägnagare
Blåsippa</t>
        </is>
      </c>
      <c r="S227">
        <f>HYPERLINK("https://klasma.github.io/Logging_0360/artfynd/A 42343-2023 artfynd.xlsx", "A 42343-2023")</f>
        <v/>
      </c>
      <c r="T227">
        <f>HYPERLINK("https://klasma.github.io/Logging_0360/kartor/A 42343-2023 karta.png", "A 42343-2023")</f>
        <v/>
      </c>
      <c r="V227">
        <f>HYPERLINK("https://klasma.github.io/Logging_0360/klagomål/A 42343-2023 FSC-klagomål.docx", "A 42343-2023")</f>
        <v/>
      </c>
      <c r="W227">
        <f>HYPERLINK("https://klasma.github.io/Logging_0360/klagomålsmail/A 42343-2023 FSC-klagomål mail.docx", "A 42343-2023")</f>
        <v/>
      </c>
      <c r="X227">
        <f>HYPERLINK("https://klasma.github.io/Logging_0360/tillsyn/A 42343-2023 tillsynsbegäran.docx", "A 42343-2023")</f>
        <v/>
      </c>
      <c r="Y227">
        <f>HYPERLINK("https://klasma.github.io/Logging_0360/tillsynsmail/A 42343-2023 tillsynsbegäran mail.docx", "A 42343-2023")</f>
        <v/>
      </c>
    </row>
    <row r="228" ht="15" customHeight="1">
      <c r="A228" t="inlineStr">
        <is>
          <t>A 55610-2023</t>
        </is>
      </c>
      <c r="B228" s="1" t="n">
        <v>45238</v>
      </c>
      <c r="C228" s="1" t="n">
        <v>45832</v>
      </c>
      <c r="D228" t="inlineStr">
        <is>
          <t>UPPSALA LÄN</t>
        </is>
      </c>
      <c r="E228" t="inlineStr">
        <is>
          <t>ENKÖPING</t>
        </is>
      </c>
      <c r="F228" t="inlineStr">
        <is>
          <t>Allmännings- och besparingsskogar</t>
        </is>
      </c>
      <c r="G228" t="n">
        <v>4.4</v>
      </c>
      <c r="H228" t="n">
        <v>4</v>
      </c>
      <c r="I228" t="n">
        <v>0</v>
      </c>
      <c r="J228" t="n">
        <v>3</v>
      </c>
      <c r="K228" t="n">
        <v>1</v>
      </c>
      <c r="L228" t="n">
        <v>0</v>
      </c>
      <c r="M228" t="n">
        <v>0</v>
      </c>
      <c r="N228" t="n">
        <v>0</v>
      </c>
      <c r="O228" t="n">
        <v>4</v>
      </c>
      <c r="P228" t="n">
        <v>1</v>
      </c>
      <c r="Q228" t="n">
        <v>4</v>
      </c>
      <c r="R228" s="2" t="inlineStr">
        <is>
          <t>Kricka
Havsörn
Smålom
Spillkråka</t>
        </is>
      </c>
      <c r="S228">
        <f>HYPERLINK("https://klasma.github.io/Logging_0381/artfynd/A 55610-2023 artfynd.xlsx", "A 55610-2023")</f>
        <v/>
      </c>
      <c r="T228">
        <f>HYPERLINK("https://klasma.github.io/Logging_0381/kartor/A 55610-2023 karta.png", "A 55610-2023")</f>
        <v/>
      </c>
      <c r="V228">
        <f>HYPERLINK("https://klasma.github.io/Logging_0381/klagomål/A 55610-2023 FSC-klagomål.docx", "A 55610-2023")</f>
        <v/>
      </c>
      <c r="W228">
        <f>HYPERLINK("https://klasma.github.io/Logging_0381/klagomålsmail/A 55610-2023 FSC-klagomål mail.docx", "A 55610-2023")</f>
        <v/>
      </c>
      <c r="X228">
        <f>HYPERLINK("https://klasma.github.io/Logging_0381/tillsyn/A 55610-2023 tillsynsbegäran.docx", "A 55610-2023")</f>
        <v/>
      </c>
      <c r="Y228">
        <f>HYPERLINK("https://klasma.github.io/Logging_0381/tillsynsmail/A 55610-2023 tillsynsbegäran mail.docx", "A 55610-2023")</f>
        <v/>
      </c>
      <c r="Z228">
        <f>HYPERLINK("https://klasma.github.io/Logging_0381/fåglar/A 55610-2023 prioriterade fågelarter.docx", "A 55610-2023")</f>
        <v/>
      </c>
    </row>
    <row r="229" ht="15" customHeight="1">
      <c r="A229" t="inlineStr">
        <is>
          <t>A 11217-2024</t>
        </is>
      </c>
      <c r="B229" s="1" t="n">
        <v>45371</v>
      </c>
      <c r="C229" s="1" t="n">
        <v>45832</v>
      </c>
      <c r="D229" t="inlineStr">
        <is>
          <t>UPPSALA LÄN</t>
        </is>
      </c>
      <c r="E229" t="inlineStr">
        <is>
          <t>UPPSALA</t>
        </is>
      </c>
      <c r="F229" t="inlineStr">
        <is>
          <t>Kommuner</t>
        </is>
      </c>
      <c r="G229" t="n">
        <v>1.5</v>
      </c>
      <c r="H229" t="n">
        <v>1</v>
      </c>
      <c r="I229" t="n">
        <v>4</v>
      </c>
      <c r="J229" t="n">
        <v>0</v>
      </c>
      <c r="K229" t="n">
        <v>0</v>
      </c>
      <c r="L229" t="n">
        <v>0</v>
      </c>
      <c r="M229" t="n">
        <v>0</v>
      </c>
      <c r="N229" t="n">
        <v>0</v>
      </c>
      <c r="O229" t="n">
        <v>0</v>
      </c>
      <c r="P229" t="n">
        <v>0</v>
      </c>
      <c r="Q229" t="n">
        <v>4</v>
      </c>
      <c r="R229" s="2" t="inlineStr">
        <is>
          <t>Fällmossa
Grön sköldmossa
Lönnlav
Stor aspticka</t>
        </is>
      </c>
      <c r="S229">
        <f>HYPERLINK("https://klasma.github.io/Logging_0380/artfynd/A 11217-2024 artfynd.xlsx", "A 11217-2024")</f>
        <v/>
      </c>
      <c r="T229">
        <f>HYPERLINK("https://klasma.github.io/Logging_0380/kartor/A 11217-2024 karta.png", "A 11217-2024")</f>
        <v/>
      </c>
      <c r="V229">
        <f>HYPERLINK("https://klasma.github.io/Logging_0380/klagomål/A 11217-2024 FSC-klagomål.docx", "A 11217-2024")</f>
        <v/>
      </c>
      <c r="W229">
        <f>HYPERLINK("https://klasma.github.io/Logging_0380/klagomålsmail/A 11217-2024 FSC-klagomål mail.docx", "A 11217-2024")</f>
        <v/>
      </c>
      <c r="X229">
        <f>HYPERLINK("https://klasma.github.io/Logging_0380/tillsyn/A 11217-2024 tillsynsbegäran.docx", "A 11217-2024")</f>
        <v/>
      </c>
      <c r="Y229">
        <f>HYPERLINK("https://klasma.github.io/Logging_0380/tillsynsmail/A 11217-2024 tillsynsbegäran mail.docx", "A 11217-2024")</f>
        <v/>
      </c>
    </row>
    <row r="230" ht="15" customHeight="1">
      <c r="A230" t="inlineStr">
        <is>
          <t>A 11738-2024</t>
        </is>
      </c>
      <c r="B230" s="1" t="n">
        <v>45373</v>
      </c>
      <c r="C230" s="1" t="n">
        <v>45832</v>
      </c>
      <c r="D230" t="inlineStr">
        <is>
          <t>UPPSALA LÄN</t>
        </is>
      </c>
      <c r="E230" t="inlineStr">
        <is>
          <t>ÖSTHAMMAR</t>
        </is>
      </c>
      <c r="G230" t="n">
        <v>2.6</v>
      </c>
      <c r="H230" t="n">
        <v>1</v>
      </c>
      <c r="I230" t="n">
        <v>2</v>
      </c>
      <c r="J230" t="n">
        <v>1</v>
      </c>
      <c r="K230" t="n">
        <v>0</v>
      </c>
      <c r="L230" t="n">
        <v>0</v>
      </c>
      <c r="M230" t="n">
        <v>0</v>
      </c>
      <c r="N230" t="n">
        <v>0</v>
      </c>
      <c r="O230" t="n">
        <v>1</v>
      </c>
      <c r="P230" t="n">
        <v>0</v>
      </c>
      <c r="Q230" t="n">
        <v>4</v>
      </c>
      <c r="R230" s="2" t="inlineStr">
        <is>
          <t>Såpfingersvamp
Fjällig taggsvamp s.str.
Stor aspticka
Blåsippa</t>
        </is>
      </c>
      <c r="S230">
        <f>HYPERLINK("https://klasma.github.io/Logging_0382/artfynd/A 11738-2024 artfynd.xlsx", "A 11738-2024")</f>
        <v/>
      </c>
      <c r="T230">
        <f>HYPERLINK("https://klasma.github.io/Logging_0382/kartor/A 11738-2024 karta.png", "A 11738-2024")</f>
        <v/>
      </c>
      <c r="V230">
        <f>HYPERLINK("https://klasma.github.io/Logging_0382/klagomål/A 11738-2024 FSC-klagomål.docx", "A 11738-2024")</f>
        <v/>
      </c>
      <c r="W230">
        <f>HYPERLINK("https://klasma.github.io/Logging_0382/klagomålsmail/A 11738-2024 FSC-klagomål mail.docx", "A 11738-2024")</f>
        <v/>
      </c>
      <c r="X230">
        <f>HYPERLINK("https://klasma.github.io/Logging_0382/tillsyn/A 11738-2024 tillsynsbegäran.docx", "A 11738-2024")</f>
        <v/>
      </c>
      <c r="Y230">
        <f>HYPERLINK("https://klasma.github.io/Logging_0382/tillsynsmail/A 11738-2024 tillsynsbegäran mail.docx", "A 11738-2024")</f>
        <v/>
      </c>
    </row>
    <row r="231" ht="15" customHeight="1">
      <c r="A231" t="inlineStr">
        <is>
          <t>A 16618-2024</t>
        </is>
      </c>
      <c r="B231" s="1" t="n">
        <v>45408</v>
      </c>
      <c r="C231" s="1" t="n">
        <v>45832</v>
      </c>
      <c r="D231" t="inlineStr">
        <is>
          <t>UPPSALA LÄN</t>
        </is>
      </c>
      <c r="E231" t="inlineStr">
        <is>
          <t>HÅBO</t>
        </is>
      </c>
      <c r="G231" t="n">
        <v>3.5</v>
      </c>
      <c r="H231" t="n">
        <v>2</v>
      </c>
      <c r="I231" t="n">
        <v>1</v>
      </c>
      <c r="J231" t="n">
        <v>1</v>
      </c>
      <c r="K231" t="n">
        <v>0</v>
      </c>
      <c r="L231" t="n">
        <v>1</v>
      </c>
      <c r="M231" t="n">
        <v>0</v>
      </c>
      <c r="N231" t="n">
        <v>0</v>
      </c>
      <c r="O231" t="n">
        <v>2</v>
      </c>
      <c r="P231" t="n">
        <v>1</v>
      </c>
      <c r="Q231" t="n">
        <v>4</v>
      </c>
      <c r="R231" s="2" t="inlineStr">
        <is>
          <t>Prakttagging
Backklöver
Nästrot
Blåsippa</t>
        </is>
      </c>
      <c r="S231">
        <f>HYPERLINK("https://klasma.github.io/Logging_0305/artfynd/A 16618-2024 artfynd.xlsx", "A 16618-2024")</f>
        <v/>
      </c>
      <c r="T231">
        <f>HYPERLINK("https://klasma.github.io/Logging_0305/kartor/A 16618-2024 karta.png", "A 16618-2024")</f>
        <v/>
      </c>
      <c r="V231">
        <f>HYPERLINK("https://klasma.github.io/Logging_0305/klagomål/A 16618-2024 FSC-klagomål.docx", "A 16618-2024")</f>
        <v/>
      </c>
      <c r="W231">
        <f>HYPERLINK("https://klasma.github.io/Logging_0305/klagomålsmail/A 16618-2024 FSC-klagomål mail.docx", "A 16618-2024")</f>
        <v/>
      </c>
      <c r="X231">
        <f>HYPERLINK("https://klasma.github.io/Logging_0305/tillsyn/A 16618-2024 tillsynsbegäran.docx", "A 16618-2024")</f>
        <v/>
      </c>
      <c r="Y231">
        <f>HYPERLINK("https://klasma.github.io/Logging_0305/tillsynsmail/A 16618-2024 tillsynsbegäran mail.docx", "A 16618-2024")</f>
        <v/>
      </c>
    </row>
    <row r="232" ht="15" customHeight="1">
      <c r="A232" t="inlineStr">
        <is>
          <t>A 21809-2024</t>
        </is>
      </c>
      <c r="B232" s="1" t="n">
        <v>45442</v>
      </c>
      <c r="C232" s="1" t="n">
        <v>45832</v>
      </c>
      <c r="D232" t="inlineStr">
        <is>
          <t>UPPSALA LÄN</t>
        </is>
      </c>
      <c r="E232" t="inlineStr">
        <is>
          <t>UPPSALA</t>
        </is>
      </c>
      <c r="F232" t="inlineStr">
        <is>
          <t>Övriga statliga verk och myndigheter</t>
        </is>
      </c>
      <c r="G232" t="n">
        <v>6.6</v>
      </c>
      <c r="H232" t="n">
        <v>3</v>
      </c>
      <c r="I232" t="n">
        <v>1</v>
      </c>
      <c r="J232" t="n">
        <v>1</v>
      </c>
      <c r="K232" t="n">
        <v>0</v>
      </c>
      <c r="L232" t="n">
        <v>0</v>
      </c>
      <c r="M232" t="n">
        <v>0</v>
      </c>
      <c r="N232" t="n">
        <v>0</v>
      </c>
      <c r="O232" t="n">
        <v>1</v>
      </c>
      <c r="P232" t="n">
        <v>0</v>
      </c>
      <c r="Q232" t="n">
        <v>4</v>
      </c>
      <c r="R232" s="2" t="inlineStr">
        <is>
          <t>Nordfladdermus
Vågbandad barkbock
Dvärgpipistrell
Blåsippa</t>
        </is>
      </c>
      <c r="S232">
        <f>HYPERLINK("https://klasma.github.io/Logging_0380/artfynd/A 21809-2024 artfynd.xlsx", "A 21809-2024")</f>
        <v/>
      </c>
      <c r="T232">
        <f>HYPERLINK("https://klasma.github.io/Logging_0380/kartor/A 21809-2024 karta.png", "A 21809-2024")</f>
        <v/>
      </c>
      <c r="V232">
        <f>HYPERLINK("https://klasma.github.io/Logging_0380/klagomål/A 21809-2024 FSC-klagomål.docx", "A 21809-2024")</f>
        <v/>
      </c>
      <c r="W232">
        <f>HYPERLINK("https://klasma.github.io/Logging_0380/klagomålsmail/A 21809-2024 FSC-klagomål mail.docx", "A 21809-2024")</f>
        <v/>
      </c>
      <c r="X232">
        <f>HYPERLINK("https://klasma.github.io/Logging_0380/tillsyn/A 21809-2024 tillsynsbegäran.docx", "A 21809-2024")</f>
        <v/>
      </c>
      <c r="Y232">
        <f>HYPERLINK("https://klasma.github.io/Logging_0380/tillsynsmail/A 21809-2024 tillsynsbegäran mail.docx", "A 21809-2024")</f>
        <v/>
      </c>
    </row>
    <row r="233" ht="15" customHeight="1">
      <c r="A233" t="inlineStr">
        <is>
          <t>A 23691-2024</t>
        </is>
      </c>
      <c r="B233" s="1" t="n">
        <v>45454</v>
      </c>
      <c r="C233" s="1" t="n">
        <v>45832</v>
      </c>
      <c r="D233" t="inlineStr">
        <is>
          <t>UPPSALA LÄN</t>
        </is>
      </c>
      <c r="E233" t="inlineStr">
        <is>
          <t>UPPSALA</t>
        </is>
      </c>
      <c r="F233" t="inlineStr">
        <is>
          <t>Holmen skog AB</t>
        </is>
      </c>
      <c r="G233" t="n">
        <v>2.2</v>
      </c>
      <c r="H233" t="n">
        <v>0</v>
      </c>
      <c r="I233" t="n">
        <v>1</v>
      </c>
      <c r="J233" t="n">
        <v>3</v>
      </c>
      <c r="K233" t="n">
        <v>0</v>
      </c>
      <c r="L233" t="n">
        <v>0</v>
      </c>
      <c r="M233" t="n">
        <v>0</v>
      </c>
      <c r="N233" t="n">
        <v>0</v>
      </c>
      <c r="O233" t="n">
        <v>3</v>
      </c>
      <c r="P233" t="n">
        <v>0</v>
      </c>
      <c r="Q233" t="n">
        <v>4</v>
      </c>
      <c r="R233" s="2" t="inlineStr">
        <is>
          <t>Ekticka
Lunglav
Skuggorangelav
Gulpudrad spiklav</t>
        </is>
      </c>
      <c r="S233">
        <f>HYPERLINK("https://klasma.github.io/Logging_0380/artfynd/A 23691-2024 artfynd.xlsx", "A 23691-2024")</f>
        <v/>
      </c>
      <c r="T233">
        <f>HYPERLINK("https://klasma.github.io/Logging_0380/kartor/A 23691-2024 karta.png", "A 23691-2024")</f>
        <v/>
      </c>
      <c r="V233">
        <f>HYPERLINK("https://klasma.github.io/Logging_0380/klagomål/A 23691-2024 FSC-klagomål.docx", "A 23691-2024")</f>
        <v/>
      </c>
      <c r="W233">
        <f>HYPERLINK("https://klasma.github.io/Logging_0380/klagomålsmail/A 23691-2024 FSC-klagomål mail.docx", "A 23691-2024")</f>
        <v/>
      </c>
      <c r="X233">
        <f>HYPERLINK("https://klasma.github.io/Logging_0380/tillsyn/A 23691-2024 tillsynsbegäran.docx", "A 23691-2024")</f>
        <v/>
      </c>
      <c r="Y233">
        <f>HYPERLINK("https://klasma.github.io/Logging_0380/tillsynsmail/A 23691-2024 tillsynsbegäran mail.docx", "A 23691-2024")</f>
        <v/>
      </c>
    </row>
    <row r="234" ht="15" customHeight="1">
      <c r="A234" t="inlineStr">
        <is>
          <t>A 23807-2024</t>
        </is>
      </c>
      <c r="B234" s="1" t="n">
        <v>45455</v>
      </c>
      <c r="C234" s="1" t="n">
        <v>45832</v>
      </c>
      <c r="D234" t="inlineStr">
        <is>
          <t>UPPSALA LÄN</t>
        </is>
      </c>
      <c r="E234" t="inlineStr">
        <is>
          <t>UPPSALA</t>
        </is>
      </c>
      <c r="F234" t="inlineStr">
        <is>
          <t>Holmen skog AB</t>
        </is>
      </c>
      <c r="G234" t="n">
        <v>8.800000000000001</v>
      </c>
      <c r="H234" t="n">
        <v>2</v>
      </c>
      <c r="I234" t="n">
        <v>2</v>
      </c>
      <c r="J234" t="n">
        <v>0</v>
      </c>
      <c r="K234" t="n">
        <v>0</v>
      </c>
      <c r="L234" t="n">
        <v>0</v>
      </c>
      <c r="M234" t="n">
        <v>0</v>
      </c>
      <c r="N234" t="n">
        <v>0</v>
      </c>
      <c r="O234" t="n">
        <v>0</v>
      </c>
      <c r="P234" t="n">
        <v>0</v>
      </c>
      <c r="Q234" t="n">
        <v>4</v>
      </c>
      <c r="R234" s="2" t="inlineStr">
        <is>
          <t>Sotlav
Underviol
Blåsippa
Gullviva</t>
        </is>
      </c>
      <c r="S234">
        <f>HYPERLINK("https://klasma.github.io/Logging_0380/artfynd/A 23807-2024 artfynd.xlsx", "A 23807-2024")</f>
        <v/>
      </c>
      <c r="T234">
        <f>HYPERLINK("https://klasma.github.io/Logging_0380/kartor/A 23807-2024 karta.png", "A 23807-2024")</f>
        <v/>
      </c>
      <c r="V234">
        <f>HYPERLINK("https://klasma.github.io/Logging_0380/klagomål/A 23807-2024 FSC-klagomål.docx", "A 23807-2024")</f>
        <v/>
      </c>
      <c r="W234">
        <f>HYPERLINK("https://klasma.github.io/Logging_0380/klagomålsmail/A 23807-2024 FSC-klagomål mail.docx", "A 23807-2024")</f>
        <v/>
      </c>
      <c r="X234">
        <f>HYPERLINK("https://klasma.github.io/Logging_0380/tillsyn/A 23807-2024 tillsynsbegäran.docx", "A 23807-2024")</f>
        <v/>
      </c>
      <c r="Y234">
        <f>HYPERLINK("https://klasma.github.io/Logging_0380/tillsynsmail/A 23807-2024 tillsynsbegäran mail.docx", "A 23807-2024")</f>
        <v/>
      </c>
    </row>
    <row r="235" ht="15" customHeight="1">
      <c r="A235" t="inlineStr">
        <is>
          <t>A 26279-2024</t>
        </is>
      </c>
      <c r="B235" s="1" t="n">
        <v>45468</v>
      </c>
      <c r="C235" s="1" t="n">
        <v>45832</v>
      </c>
      <c r="D235" t="inlineStr">
        <is>
          <t>UPPSALA LÄN</t>
        </is>
      </c>
      <c r="E235" t="inlineStr">
        <is>
          <t>ÖSTHAMMAR</t>
        </is>
      </c>
      <c r="G235" t="n">
        <v>2.8</v>
      </c>
      <c r="H235" t="n">
        <v>2</v>
      </c>
      <c r="I235" t="n">
        <v>4</v>
      </c>
      <c r="J235" t="n">
        <v>0</v>
      </c>
      <c r="K235" t="n">
        <v>0</v>
      </c>
      <c r="L235" t="n">
        <v>0</v>
      </c>
      <c r="M235" t="n">
        <v>0</v>
      </c>
      <c r="N235" t="n">
        <v>0</v>
      </c>
      <c r="O235" t="n">
        <v>0</v>
      </c>
      <c r="P235" t="n">
        <v>0</v>
      </c>
      <c r="Q235" t="n">
        <v>4</v>
      </c>
      <c r="R235" s="2" t="inlineStr">
        <is>
          <t>Nästrot
Skogsknipprot
Sårläka
Vårärt</t>
        </is>
      </c>
      <c r="S235">
        <f>HYPERLINK("https://klasma.github.io/Logging_0382/artfynd/A 26279-2024 artfynd.xlsx", "A 26279-2024")</f>
        <v/>
      </c>
      <c r="T235">
        <f>HYPERLINK("https://klasma.github.io/Logging_0382/kartor/A 26279-2024 karta.png", "A 26279-2024")</f>
        <v/>
      </c>
      <c r="V235">
        <f>HYPERLINK("https://klasma.github.io/Logging_0382/klagomål/A 26279-2024 FSC-klagomål.docx", "A 26279-2024")</f>
        <v/>
      </c>
      <c r="W235">
        <f>HYPERLINK("https://klasma.github.io/Logging_0382/klagomålsmail/A 26279-2024 FSC-klagomål mail.docx", "A 26279-2024")</f>
        <v/>
      </c>
      <c r="X235">
        <f>HYPERLINK("https://klasma.github.io/Logging_0382/tillsyn/A 26279-2024 tillsynsbegäran.docx", "A 26279-2024")</f>
        <v/>
      </c>
      <c r="Y235">
        <f>HYPERLINK("https://klasma.github.io/Logging_0382/tillsynsmail/A 26279-2024 tillsynsbegäran mail.docx", "A 26279-2024")</f>
        <v/>
      </c>
    </row>
    <row r="236" ht="15" customHeight="1">
      <c r="A236" t="inlineStr">
        <is>
          <t>A 30090-2024</t>
        </is>
      </c>
      <c r="B236" s="1" t="n">
        <v>45485</v>
      </c>
      <c r="C236" s="1" t="n">
        <v>45832</v>
      </c>
      <c r="D236" t="inlineStr">
        <is>
          <t>UPPSALA LÄN</t>
        </is>
      </c>
      <c r="E236" t="inlineStr">
        <is>
          <t>HEBY</t>
        </is>
      </c>
      <c r="F236" t="inlineStr">
        <is>
          <t>Bergvik skog väst AB</t>
        </is>
      </c>
      <c r="G236" t="n">
        <v>2.1</v>
      </c>
      <c r="H236" t="n">
        <v>0</v>
      </c>
      <c r="I236" t="n">
        <v>3</v>
      </c>
      <c r="J236" t="n">
        <v>0</v>
      </c>
      <c r="K236" t="n">
        <v>1</v>
      </c>
      <c r="L236" t="n">
        <v>0</v>
      </c>
      <c r="M236" t="n">
        <v>0</v>
      </c>
      <c r="N236" t="n">
        <v>0</v>
      </c>
      <c r="O236" t="n">
        <v>1</v>
      </c>
      <c r="P236" t="n">
        <v>1</v>
      </c>
      <c r="Q236" t="n">
        <v>4</v>
      </c>
      <c r="R236" s="2" t="inlineStr">
        <is>
          <t>Aspsplintbock
Aspvedgnagare
Björksplintborre
Jättesvampmal</t>
        </is>
      </c>
      <c r="S236">
        <f>HYPERLINK("https://klasma.github.io/Logging_0331/artfynd/A 30090-2024 artfynd.xlsx", "A 30090-2024")</f>
        <v/>
      </c>
      <c r="T236">
        <f>HYPERLINK("https://klasma.github.io/Logging_0331/kartor/A 30090-2024 karta.png", "A 30090-2024")</f>
        <v/>
      </c>
      <c r="V236">
        <f>HYPERLINK("https://klasma.github.io/Logging_0331/klagomål/A 30090-2024 FSC-klagomål.docx", "A 30090-2024")</f>
        <v/>
      </c>
      <c r="W236">
        <f>HYPERLINK("https://klasma.github.io/Logging_0331/klagomålsmail/A 30090-2024 FSC-klagomål mail.docx", "A 30090-2024")</f>
        <v/>
      </c>
      <c r="X236">
        <f>HYPERLINK("https://klasma.github.io/Logging_0331/tillsyn/A 30090-2024 tillsynsbegäran.docx", "A 30090-2024")</f>
        <v/>
      </c>
      <c r="Y236">
        <f>HYPERLINK("https://klasma.github.io/Logging_0331/tillsynsmail/A 30090-2024 tillsynsbegäran mail.docx", "A 30090-2024")</f>
        <v/>
      </c>
    </row>
    <row r="237" ht="15" customHeight="1">
      <c r="A237" t="inlineStr">
        <is>
          <t>A 38956-2024</t>
        </is>
      </c>
      <c r="B237" s="1" t="n">
        <v>45548</v>
      </c>
      <c r="C237" s="1" t="n">
        <v>45832</v>
      </c>
      <c r="D237" t="inlineStr">
        <is>
          <t>UPPSALA LÄN</t>
        </is>
      </c>
      <c r="E237" t="inlineStr">
        <is>
          <t>TIERP</t>
        </is>
      </c>
      <c r="F237" t="inlineStr">
        <is>
          <t>Bergvik skog öst AB</t>
        </is>
      </c>
      <c r="G237" t="n">
        <v>24.8</v>
      </c>
      <c r="H237" t="n">
        <v>1</v>
      </c>
      <c r="I237" t="n">
        <v>0</v>
      </c>
      <c r="J237" t="n">
        <v>3</v>
      </c>
      <c r="K237" t="n">
        <v>0</v>
      </c>
      <c r="L237" t="n">
        <v>0</v>
      </c>
      <c r="M237" t="n">
        <v>0</v>
      </c>
      <c r="N237" t="n">
        <v>0</v>
      </c>
      <c r="O237" t="n">
        <v>3</v>
      </c>
      <c r="P237" t="n">
        <v>0</v>
      </c>
      <c r="Q237" t="n">
        <v>4</v>
      </c>
      <c r="R237" s="2" t="inlineStr">
        <is>
          <t>Majviva
Slåtterfibbla
Solvända
Brudsporre</t>
        </is>
      </c>
      <c r="S237">
        <f>HYPERLINK("https://klasma.github.io/Logging_0360/artfynd/A 38956-2024 artfynd.xlsx", "A 38956-2024")</f>
        <v/>
      </c>
      <c r="T237">
        <f>HYPERLINK("https://klasma.github.io/Logging_0360/kartor/A 38956-2024 karta.png", "A 38956-2024")</f>
        <v/>
      </c>
      <c r="V237">
        <f>HYPERLINK("https://klasma.github.io/Logging_0360/klagomål/A 38956-2024 FSC-klagomål.docx", "A 38956-2024")</f>
        <v/>
      </c>
      <c r="W237">
        <f>HYPERLINK("https://klasma.github.io/Logging_0360/klagomålsmail/A 38956-2024 FSC-klagomål mail.docx", "A 38956-2024")</f>
        <v/>
      </c>
      <c r="X237">
        <f>HYPERLINK("https://klasma.github.io/Logging_0360/tillsyn/A 38956-2024 tillsynsbegäran.docx", "A 38956-2024")</f>
        <v/>
      </c>
      <c r="Y237">
        <f>HYPERLINK("https://klasma.github.io/Logging_0360/tillsynsmail/A 38956-2024 tillsynsbegäran mail.docx", "A 38956-2024")</f>
        <v/>
      </c>
    </row>
    <row r="238" ht="15" customHeight="1">
      <c r="A238" t="inlineStr">
        <is>
          <t>A 39168-2024</t>
        </is>
      </c>
      <c r="B238" s="1" t="n">
        <v>45548</v>
      </c>
      <c r="C238" s="1" t="n">
        <v>45832</v>
      </c>
      <c r="D238" t="inlineStr">
        <is>
          <t>UPPSALA LÄN</t>
        </is>
      </c>
      <c r="E238" t="inlineStr">
        <is>
          <t>TIERP</t>
        </is>
      </c>
      <c r="F238" t="inlineStr">
        <is>
          <t>Bergvik skog väst AB</t>
        </is>
      </c>
      <c r="G238" t="n">
        <v>25.6</v>
      </c>
      <c r="H238" t="n">
        <v>2</v>
      </c>
      <c r="I238" t="n">
        <v>4</v>
      </c>
      <c r="J238" t="n">
        <v>0</v>
      </c>
      <c r="K238" t="n">
        <v>0</v>
      </c>
      <c r="L238" t="n">
        <v>0</v>
      </c>
      <c r="M238" t="n">
        <v>0</v>
      </c>
      <c r="N238" t="n">
        <v>0</v>
      </c>
      <c r="O238" t="n">
        <v>0</v>
      </c>
      <c r="P238" t="n">
        <v>0</v>
      </c>
      <c r="Q238" t="n">
        <v>4</v>
      </c>
      <c r="R238" s="2" t="inlineStr">
        <is>
          <t>Fransig jordstjärna
Skogsknipprot
Tibast
Tvåblad</t>
        </is>
      </c>
      <c r="S238">
        <f>HYPERLINK("https://klasma.github.io/Logging_0360/artfynd/A 39168-2024 artfynd.xlsx", "A 39168-2024")</f>
        <v/>
      </c>
      <c r="T238">
        <f>HYPERLINK("https://klasma.github.io/Logging_0360/kartor/A 39168-2024 karta.png", "A 39168-2024")</f>
        <v/>
      </c>
      <c r="V238">
        <f>HYPERLINK("https://klasma.github.io/Logging_0360/klagomål/A 39168-2024 FSC-klagomål.docx", "A 39168-2024")</f>
        <v/>
      </c>
      <c r="W238">
        <f>HYPERLINK("https://klasma.github.io/Logging_0360/klagomålsmail/A 39168-2024 FSC-klagomål mail.docx", "A 39168-2024")</f>
        <v/>
      </c>
      <c r="X238">
        <f>HYPERLINK("https://klasma.github.io/Logging_0360/tillsyn/A 39168-2024 tillsynsbegäran.docx", "A 39168-2024")</f>
        <v/>
      </c>
      <c r="Y238">
        <f>HYPERLINK("https://klasma.github.io/Logging_0360/tillsynsmail/A 39168-2024 tillsynsbegäran mail.docx", "A 39168-2024")</f>
        <v/>
      </c>
    </row>
    <row r="239" ht="15" customHeight="1">
      <c r="A239" t="inlineStr">
        <is>
          <t>A 52609-2024</t>
        </is>
      </c>
      <c r="B239" s="1" t="n">
        <v>45609</v>
      </c>
      <c r="C239" s="1" t="n">
        <v>45832</v>
      </c>
      <c r="D239" t="inlineStr">
        <is>
          <t>UPPSALA LÄN</t>
        </is>
      </c>
      <c r="E239" t="inlineStr">
        <is>
          <t>TIERP</t>
        </is>
      </c>
      <c r="G239" t="n">
        <v>2.1</v>
      </c>
      <c r="H239" t="n">
        <v>0</v>
      </c>
      <c r="I239" t="n">
        <v>2</v>
      </c>
      <c r="J239" t="n">
        <v>1</v>
      </c>
      <c r="K239" t="n">
        <v>1</v>
      </c>
      <c r="L239" t="n">
        <v>0</v>
      </c>
      <c r="M239" t="n">
        <v>0</v>
      </c>
      <c r="N239" t="n">
        <v>0</v>
      </c>
      <c r="O239" t="n">
        <v>2</v>
      </c>
      <c r="P239" t="n">
        <v>1</v>
      </c>
      <c r="Q239" t="n">
        <v>4</v>
      </c>
      <c r="R239" s="2" t="inlineStr">
        <is>
          <t>Gyllenspindling
Orange taggsvamp
Anisspindling
Olivspindling</t>
        </is>
      </c>
      <c r="S239">
        <f>HYPERLINK("https://klasma.github.io/Logging_0360/artfynd/A 52609-2024 artfynd.xlsx", "A 52609-2024")</f>
        <v/>
      </c>
      <c r="T239">
        <f>HYPERLINK("https://klasma.github.io/Logging_0360/kartor/A 52609-2024 karta.png", "A 52609-2024")</f>
        <v/>
      </c>
      <c r="V239">
        <f>HYPERLINK("https://klasma.github.io/Logging_0360/klagomål/A 52609-2024 FSC-klagomål.docx", "A 52609-2024")</f>
        <v/>
      </c>
      <c r="W239">
        <f>HYPERLINK("https://klasma.github.io/Logging_0360/klagomålsmail/A 52609-2024 FSC-klagomål mail.docx", "A 52609-2024")</f>
        <v/>
      </c>
      <c r="X239">
        <f>HYPERLINK("https://klasma.github.io/Logging_0360/tillsyn/A 52609-2024 tillsynsbegäran.docx", "A 52609-2024")</f>
        <v/>
      </c>
      <c r="Y239">
        <f>HYPERLINK("https://klasma.github.io/Logging_0360/tillsynsmail/A 52609-2024 tillsynsbegäran mail.docx", "A 52609-2024")</f>
        <v/>
      </c>
    </row>
    <row r="240" ht="15" customHeight="1">
      <c r="A240" t="inlineStr">
        <is>
          <t>A 53479-2024</t>
        </is>
      </c>
      <c r="B240" s="1" t="n">
        <v>45614</v>
      </c>
      <c r="C240" s="1" t="n">
        <v>45832</v>
      </c>
      <c r="D240" t="inlineStr">
        <is>
          <t>UPPSALA LÄN</t>
        </is>
      </c>
      <c r="E240" t="inlineStr">
        <is>
          <t>ÖSTHAMMAR</t>
        </is>
      </c>
      <c r="G240" t="n">
        <v>2.8</v>
      </c>
      <c r="H240" t="n">
        <v>0</v>
      </c>
      <c r="I240" t="n">
        <v>3</v>
      </c>
      <c r="J240" t="n">
        <v>1</v>
      </c>
      <c r="K240" t="n">
        <v>0</v>
      </c>
      <c r="L240" t="n">
        <v>0</v>
      </c>
      <c r="M240" t="n">
        <v>0</v>
      </c>
      <c r="N240" t="n">
        <v>0</v>
      </c>
      <c r="O240" t="n">
        <v>1</v>
      </c>
      <c r="P240" t="n">
        <v>0</v>
      </c>
      <c r="Q240" t="n">
        <v>4</v>
      </c>
      <c r="R240" s="2" t="inlineStr">
        <is>
          <t>Kungsspindling
Brandmusseron
Olivspindling
Strimspindling</t>
        </is>
      </c>
      <c r="S240">
        <f>HYPERLINK("https://klasma.github.io/Logging_0382/artfynd/A 53479-2024 artfynd.xlsx", "A 53479-2024")</f>
        <v/>
      </c>
      <c r="T240">
        <f>HYPERLINK("https://klasma.github.io/Logging_0382/kartor/A 53479-2024 karta.png", "A 53479-2024")</f>
        <v/>
      </c>
      <c r="V240">
        <f>HYPERLINK("https://klasma.github.io/Logging_0382/klagomål/A 53479-2024 FSC-klagomål.docx", "A 53479-2024")</f>
        <v/>
      </c>
      <c r="W240">
        <f>HYPERLINK("https://klasma.github.io/Logging_0382/klagomålsmail/A 53479-2024 FSC-klagomål mail.docx", "A 53479-2024")</f>
        <v/>
      </c>
      <c r="X240">
        <f>HYPERLINK("https://klasma.github.io/Logging_0382/tillsyn/A 53479-2024 tillsynsbegäran.docx", "A 53479-2024")</f>
        <v/>
      </c>
      <c r="Y240">
        <f>HYPERLINK("https://klasma.github.io/Logging_0382/tillsynsmail/A 53479-2024 tillsynsbegäran mail.docx", "A 53479-2024")</f>
        <v/>
      </c>
    </row>
    <row r="241" ht="15" customHeight="1">
      <c r="A241" t="inlineStr">
        <is>
          <t>A 54492-2024</t>
        </is>
      </c>
      <c r="B241" s="1" t="n">
        <v>45617</v>
      </c>
      <c r="C241" s="1" t="n">
        <v>45832</v>
      </c>
      <c r="D241" t="inlineStr">
        <is>
          <t>UPPSALA LÄN</t>
        </is>
      </c>
      <c r="E241" t="inlineStr">
        <is>
          <t>ÖSTHAMMAR</t>
        </is>
      </c>
      <c r="G241" t="n">
        <v>23.9</v>
      </c>
      <c r="H241" t="n">
        <v>1</v>
      </c>
      <c r="I241" t="n">
        <v>3</v>
      </c>
      <c r="J241" t="n">
        <v>0</v>
      </c>
      <c r="K241" t="n">
        <v>0</v>
      </c>
      <c r="L241" t="n">
        <v>0</v>
      </c>
      <c r="M241" t="n">
        <v>0</v>
      </c>
      <c r="N241" t="n">
        <v>0</v>
      </c>
      <c r="O241" t="n">
        <v>0</v>
      </c>
      <c r="P241" t="n">
        <v>0</v>
      </c>
      <c r="Q241" t="n">
        <v>4</v>
      </c>
      <c r="R241" s="2" t="inlineStr">
        <is>
          <t>Bårdlav
Hasselticka
Läderskål
Blåsippa</t>
        </is>
      </c>
      <c r="S241">
        <f>HYPERLINK("https://klasma.github.io/Logging_0382/artfynd/A 54492-2024 artfynd.xlsx", "A 54492-2024")</f>
        <v/>
      </c>
      <c r="T241">
        <f>HYPERLINK("https://klasma.github.io/Logging_0382/kartor/A 54492-2024 karta.png", "A 54492-2024")</f>
        <v/>
      </c>
      <c r="V241">
        <f>HYPERLINK("https://klasma.github.io/Logging_0382/klagomål/A 54492-2024 FSC-klagomål.docx", "A 54492-2024")</f>
        <v/>
      </c>
      <c r="W241">
        <f>HYPERLINK("https://klasma.github.io/Logging_0382/klagomålsmail/A 54492-2024 FSC-klagomål mail.docx", "A 54492-2024")</f>
        <v/>
      </c>
      <c r="X241">
        <f>HYPERLINK("https://klasma.github.io/Logging_0382/tillsyn/A 54492-2024 tillsynsbegäran.docx", "A 54492-2024")</f>
        <v/>
      </c>
      <c r="Y241">
        <f>HYPERLINK("https://klasma.github.io/Logging_0382/tillsynsmail/A 54492-2024 tillsynsbegäran mail.docx", "A 54492-2024")</f>
        <v/>
      </c>
    </row>
    <row r="242" ht="15" customHeight="1">
      <c r="A242" t="inlineStr">
        <is>
          <t>A 54825-2024</t>
        </is>
      </c>
      <c r="B242" s="1" t="n">
        <v>45618</v>
      </c>
      <c r="C242" s="1" t="n">
        <v>45832</v>
      </c>
      <c r="D242" t="inlineStr">
        <is>
          <t>UPPSALA LÄN</t>
        </is>
      </c>
      <c r="E242" t="inlineStr">
        <is>
          <t>ÖSTHAMMAR</t>
        </is>
      </c>
      <c r="F242" t="inlineStr">
        <is>
          <t>Bergvik skog öst AB</t>
        </is>
      </c>
      <c r="G242" t="n">
        <v>1.7</v>
      </c>
      <c r="H242" t="n">
        <v>3</v>
      </c>
      <c r="I242" t="n">
        <v>1</v>
      </c>
      <c r="J242" t="n">
        <v>1</v>
      </c>
      <c r="K242" t="n">
        <v>1</v>
      </c>
      <c r="L242" t="n">
        <v>0</v>
      </c>
      <c r="M242" t="n">
        <v>0</v>
      </c>
      <c r="N242" t="n">
        <v>0</v>
      </c>
      <c r="O242" t="n">
        <v>2</v>
      </c>
      <c r="P242" t="n">
        <v>1</v>
      </c>
      <c r="Q242" t="n">
        <v>4</v>
      </c>
      <c r="R242" s="2" t="inlineStr">
        <is>
          <t>Knärot
Spillkråka
Vågbandad barkbock
Blåsippa</t>
        </is>
      </c>
      <c r="S242">
        <f>HYPERLINK("https://klasma.github.io/Logging_0382/artfynd/A 54825-2024 artfynd.xlsx", "A 54825-2024")</f>
        <v/>
      </c>
      <c r="T242">
        <f>HYPERLINK("https://klasma.github.io/Logging_0382/kartor/A 54825-2024 karta.png", "A 54825-2024")</f>
        <v/>
      </c>
      <c r="U242">
        <f>HYPERLINK("https://klasma.github.io/Logging_0382/knärot/A 54825-2024 karta knärot.png", "A 54825-2024")</f>
        <v/>
      </c>
      <c r="V242">
        <f>HYPERLINK("https://klasma.github.io/Logging_0382/klagomål/A 54825-2024 FSC-klagomål.docx", "A 54825-2024")</f>
        <v/>
      </c>
      <c r="W242">
        <f>HYPERLINK("https://klasma.github.io/Logging_0382/klagomålsmail/A 54825-2024 FSC-klagomål mail.docx", "A 54825-2024")</f>
        <v/>
      </c>
      <c r="X242">
        <f>HYPERLINK("https://klasma.github.io/Logging_0382/tillsyn/A 54825-2024 tillsynsbegäran.docx", "A 54825-2024")</f>
        <v/>
      </c>
      <c r="Y242">
        <f>HYPERLINK("https://klasma.github.io/Logging_0382/tillsynsmail/A 54825-2024 tillsynsbegäran mail.docx", "A 54825-2024")</f>
        <v/>
      </c>
      <c r="Z242">
        <f>HYPERLINK("https://klasma.github.io/Logging_0382/fåglar/A 54825-2024 prioriterade fågelarter.docx", "A 54825-2024")</f>
        <v/>
      </c>
    </row>
    <row r="243" ht="15" customHeight="1">
      <c r="A243" t="inlineStr">
        <is>
          <t>A 221-2025</t>
        </is>
      </c>
      <c r="B243" s="1" t="n">
        <v>45660</v>
      </c>
      <c r="C243" s="1" t="n">
        <v>45832</v>
      </c>
      <c r="D243" t="inlineStr">
        <is>
          <t>UPPSALA LÄN</t>
        </is>
      </c>
      <c r="E243" t="inlineStr">
        <is>
          <t>ÖSTHAMMAR</t>
        </is>
      </c>
      <c r="F243" t="inlineStr">
        <is>
          <t>Bergvik skog öst AB</t>
        </is>
      </c>
      <c r="G243" t="n">
        <v>1.3</v>
      </c>
      <c r="H243" t="n">
        <v>2</v>
      </c>
      <c r="I243" t="n">
        <v>3</v>
      </c>
      <c r="J243" t="n">
        <v>0</v>
      </c>
      <c r="K243" t="n">
        <v>0</v>
      </c>
      <c r="L243" t="n">
        <v>0</v>
      </c>
      <c r="M243" t="n">
        <v>0</v>
      </c>
      <c r="N243" t="n">
        <v>0</v>
      </c>
      <c r="O243" t="n">
        <v>0</v>
      </c>
      <c r="P243" t="n">
        <v>0</v>
      </c>
      <c r="Q243" t="n">
        <v>4</v>
      </c>
      <c r="R243" s="2" t="inlineStr">
        <is>
          <t>Grön sköldmossa
Korallblylav
Rödgul trumpetsvamp
Blåsippa</t>
        </is>
      </c>
      <c r="S243">
        <f>HYPERLINK("https://klasma.github.io/Logging_0382/artfynd/A 221-2025 artfynd.xlsx", "A 221-2025")</f>
        <v/>
      </c>
      <c r="T243">
        <f>HYPERLINK("https://klasma.github.io/Logging_0382/kartor/A 221-2025 karta.png", "A 221-2025")</f>
        <v/>
      </c>
      <c r="V243">
        <f>HYPERLINK("https://klasma.github.io/Logging_0382/klagomål/A 221-2025 FSC-klagomål.docx", "A 221-2025")</f>
        <v/>
      </c>
      <c r="W243">
        <f>HYPERLINK("https://klasma.github.io/Logging_0382/klagomålsmail/A 221-2025 FSC-klagomål mail.docx", "A 221-2025")</f>
        <v/>
      </c>
      <c r="X243">
        <f>HYPERLINK("https://klasma.github.io/Logging_0382/tillsyn/A 221-2025 tillsynsbegäran.docx", "A 221-2025")</f>
        <v/>
      </c>
      <c r="Y243">
        <f>HYPERLINK("https://klasma.github.io/Logging_0382/tillsynsmail/A 221-2025 tillsynsbegäran mail.docx", "A 221-2025")</f>
        <v/>
      </c>
    </row>
    <row r="244" ht="15" customHeight="1">
      <c r="A244" t="inlineStr">
        <is>
          <t>A 220-2025</t>
        </is>
      </c>
      <c r="B244" s="1" t="n">
        <v>45660</v>
      </c>
      <c r="C244" s="1" t="n">
        <v>45832</v>
      </c>
      <c r="D244" t="inlineStr">
        <is>
          <t>UPPSALA LÄN</t>
        </is>
      </c>
      <c r="E244" t="inlineStr">
        <is>
          <t>TIERP</t>
        </is>
      </c>
      <c r="F244" t="inlineStr">
        <is>
          <t>Bergvik skog öst AB</t>
        </is>
      </c>
      <c r="G244" t="n">
        <v>3.2</v>
      </c>
      <c r="H244" t="n">
        <v>2</v>
      </c>
      <c r="I244" t="n">
        <v>1</v>
      </c>
      <c r="J244" t="n">
        <v>2</v>
      </c>
      <c r="K244" t="n">
        <v>0</v>
      </c>
      <c r="L244" t="n">
        <v>0</v>
      </c>
      <c r="M244" t="n">
        <v>0</v>
      </c>
      <c r="N244" t="n">
        <v>0</v>
      </c>
      <c r="O244" t="n">
        <v>2</v>
      </c>
      <c r="P244" t="n">
        <v>0</v>
      </c>
      <c r="Q244" t="n">
        <v>4</v>
      </c>
      <c r="R244" s="2" t="inlineStr">
        <is>
          <t>Spillkråka
Ullticka
Bronshjon
Blåsippa</t>
        </is>
      </c>
      <c r="S244">
        <f>HYPERLINK("https://klasma.github.io/Logging_0360/artfynd/A 220-2025 artfynd.xlsx", "A 220-2025")</f>
        <v/>
      </c>
      <c r="T244">
        <f>HYPERLINK("https://klasma.github.io/Logging_0360/kartor/A 220-2025 karta.png", "A 220-2025")</f>
        <v/>
      </c>
      <c r="V244">
        <f>HYPERLINK("https://klasma.github.io/Logging_0360/klagomål/A 220-2025 FSC-klagomål.docx", "A 220-2025")</f>
        <v/>
      </c>
      <c r="W244">
        <f>HYPERLINK("https://klasma.github.io/Logging_0360/klagomålsmail/A 220-2025 FSC-klagomål mail.docx", "A 220-2025")</f>
        <v/>
      </c>
      <c r="X244">
        <f>HYPERLINK("https://klasma.github.io/Logging_0360/tillsyn/A 220-2025 tillsynsbegäran.docx", "A 220-2025")</f>
        <v/>
      </c>
      <c r="Y244">
        <f>HYPERLINK("https://klasma.github.io/Logging_0360/tillsynsmail/A 220-2025 tillsynsbegäran mail.docx", "A 220-2025")</f>
        <v/>
      </c>
      <c r="Z244">
        <f>HYPERLINK("https://klasma.github.io/Logging_0360/fåglar/A 220-2025 prioriterade fågelarter.docx", "A 220-2025")</f>
        <v/>
      </c>
    </row>
    <row r="245" ht="15" customHeight="1">
      <c r="A245" t="inlineStr">
        <is>
          <t>A 3952-2025</t>
        </is>
      </c>
      <c r="B245" s="1" t="n">
        <v>45684</v>
      </c>
      <c r="C245" s="1" t="n">
        <v>45832</v>
      </c>
      <c r="D245" t="inlineStr">
        <is>
          <t>UPPSALA LÄN</t>
        </is>
      </c>
      <c r="E245" t="inlineStr">
        <is>
          <t>ÄLVKARLEBY</t>
        </is>
      </c>
      <c r="G245" t="n">
        <v>1.5</v>
      </c>
      <c r="H245" t="n">
        <v>3</v>
      </c>
      <c r="I245" t="n">
        <v>2</v>
      </c>
      <c r="J245" t="n">
        <v>1</v>
      </c>
      <c r="K245" t="n">
        <v>0</v>
      </c>
      <c r="L245" t="n">
        <v>0</v>
      </c>
      <c r="M245" t="n">
        <v>0</v>
      </c>
      <c r="N245" t="n">
        <v>0</v>
      </c>
      <c r="O245" t="n">
        <v>1</v>
      </c>
      <c r="P245" t="n">
        <v>0</v>
      </c>
      <c r="Q245" t="n">
        <v>4</v>
      </c>
      <c r="R245" s="2" t="inlineStr">
        <is>
          <t>Mindre bastardsvärmare
Skogsknipprot
Tvåblad
Kärrknipprot</t>
        </is>
      </c>
      <c r="S245">
        <f>HYPERLINK("https://klasma.github.io/Logging_0319/artfynd/A 3952-2025 artfynd.xlsx", "A 3952-2025")</f>
        <v/>
      </c>
      <c r="T245">
        <f>HYPERLINK("https://klasma.github.io/Logging_0319/kartor/A 3952-2025 karta.png", "A 3952-2025")</f>
        <v/>
      </c>
      <c r="V245">
        <f>HYPERLINK("https://klasma.github.io/Logging_0319/klagomål/A 3952-2025 FSC-klagomål.docx", "A 3952-2025")</f>
        <v/>
      </c>
      <c r="W245">
        <f>HYPERLINK("https://klasma.github.io/Logging_0319/klagomålsmail/A 3952-2025 FSC-klagomål mail.docx", "A 3952-2025")</f>
        <v/>
      </c>
      <c r="X245">
        <f>HYPERLINK("https://klasma.github.io/Logging_0319/tillsyn/A 3952-2025 tillsynsbegäran.docx", "A 3952-2025")</f>
        <v/>
      </c>
      <c r="Y245">
        <f>HYPERLINK("https://klasma.github.io/Logging_0319/tillsynsmail/A 3952-2025 tillsynsbegäran mail.docx", "A 3952-2025")</f>
        <v/>
      </c>
    </row>
    <row r="246" ht="15" customHeight="1">
      <c r="A246" t="inlineStr">
        <is>
          <t>A 7896-2025</t>
        </is>
      </c>
      <c r="B246" s="1" t="n">
        <v>45707</v>
      </c>
      <c r="C246" s="1" t="n">
        <v>45832</v>
      </c>
      <c r="D246" t="inlineStr">
        <is>
          <t>UPPSALA LÄN</t>
        </is>
      </c>
      <c r="E246" t="inlineStr">
        <is>
          <t>TIERP</t>
        </is>
      </c>
      <c r="F246" t="inlineStr">
        <is>
          <t>Bergvik skog öst AB</t>
        </is>
      </c>
      <c r="G246" t="n">
        <v>23.9</v>
      </c>
      <c r="H246" t="n">
        <v>1</v>
      </c>
      <c r="I246" t="n">
        <v>1</v>
      </c>
      <c r="J246" t="n">
        <v>1</v>
      </c>
      <c r="K246" t="n">
        <v>1</v>
      </c>
      <c r="L246" t="n">
        <v>0</v>
      </c>
      <c r="M246" t="n">
        <v>0</v>
      </c>
      <c r="N246" t="n">
        <v>0</v>
      </c>
      <c r="O246" t="n">
        <v>2</v>
      </c>
      <c r="P246" t="n">
        <v>1</v>
      </c>
      <c r="Q246" t="n">
        <v>4</v>
      </c>
      <c r="R246" s="2" t="inlineStr">
        <is>
          <t>Rynkskinn
Ullticka
Grönpyrola
Blåsippa</t>
        </is>
      </c>
      <c r="S246">
        <f>HYPERLINK("https://klasma.github.io/Logging_0360/artfynd/A 7896-2025 artfynd.xlsx", "A 7896-2025")</f>
        <v/>
      </c>
      <c r="T246">
        <f>HYPERLINK("https://klasma.github.io/Logging_0360/kartor/A 7896-2025 karta.png", "A 7896-2025")</f>
        <v/>
      </c>
      <c r="V246">
        <f>HYPERLINK("https://klasma.github.io/Logging_0360/klagomål/A 7896-2025 FSC-klagomål.docx", "A 7896-2025")</f>
        <v/>
      </c>
      <c r="W246">
        <f>HYPERLINK("https://klasma.github.io/Logging_0360/klagomålsmail/A 7896-2025 FSC-klagomål mail.docx", "A 7896-2025")</f>
        <v/>
      </c>
      <c r="X246">
        <f>HYPERLINK("https://klasma.github.io/Logging_0360/tillsyn/A 7896-2025 tillsynsbegäran.docx", "A 7896-2025")</f>
        <v/>
      </c>
      <c r="Y246">
        <f>HYPERLINK("https://klasma.github.io/Logging_0360/tillsynsmail/A 7896-2025 tillsynsbegäran mail.docx", "A 7896-2025")</f>
        <v/>
      </c>
    </row>
    <row r="247" ht="15" customHeight="1">
      <c r="A247" t="inlineStr">
        <is>
          <t>A 13594-2025</t>
        </is>
      </c>
      <c r="B247" s="1" t="n">
        <v>45736</v>
      </c>
      <c r="C247" s="1" t="n">
        <v>45832</v>
      </c>
      <c r="D247" t="inlineStr">
        <is>
          <t>UPPSALA LÄN</t>
        </is>
      </c>
      <c r="E247" t="inlineStr">
        <is>
          <t>UPPSALA</t>
        </is>
      </c>
      <c r="F247" t="inlineStr">
        <is>
          <t>Allmännings- och besparingsskogar</t>
        </is>
      </c>
      <c r="G247" t="n">
        <v>11.2</v>
      </c>
      <c r="H247" t="n">
        <v>3</v>
      </c>
      <c r="I247" t="n">
        <v>1</v>
      </c>
      <c r="J247" t="n">
        <v>2</v>
      </c>
      <c r="K247" t="n">
        <v>1</v>
      </c>
      <c r="L247" t="n">
        <v>0</v>
      </c>
      <c r="M247" t="n">
        <v>0</v>
      </c>
      <c r="N247" t="n">
        <v>0</v>
      </c>
      <c r="O247" t="n">
        <v>3</v>
      </c>
      <c r="P247" t="n">
        <v>1</v>
      </c>
      <c r="Q247" t="n">
        <v>4</v>
      </c>
      <c r="R247" s="2" t="inlineStr">
        <is>
          <t>Knärot
Talltita
Vedtrappmossa
Grön sköldmossa</t>
        </is>
      </c>
      <c r="S247">
        <f>HYPERLINK("https://klasma.github.io/Logging_030380/artfynd/A 13594-2025 artfynd.xlsx", "A 13594-2025")</f>
        <v/>
      </c>
      <c r="T247">
        <f>HYPERLINK("https://klasma.github.io/Logging_030380/kartor/A 13594-2025 karta.png", "A 13594-2025")</f>
        <v/>
      </c>
      <c r="U247">
        <f>HYPERLINK("https://klasma.github.io/Logging_030380/knärot/A 13594-2025 karta knärot.png", "A 13594-2025")</f>
        <v/>
      </c>
      <c r="V247">
        <f>HYPERLINK("https://klasma.github.io/Logging_030380/klagomål/A 13594-2025 FSC-klagomål.docx", "A 13594-2025")</f>
        <v/>
      </c>
      <c r="W247">
        <f>HYPERLINK("https://klasma.github.io/Logging_030380/klagomålsmail/A 13594-2025 FSC-klagomål mail.docx", "A 13594-2025")</f>
        <v/>
      </c>
      <c r="X247">
        <f>HYPERLINK("https://klasma.github.io/Logging_030380/tillsyn/A 13594-2025 tillsynsbegäran.docx", "A 13594-2025")</f>
        <v/>
      </c>
      <c r="Y247">
        <f>HYPERLINK("https://klasma.github.io/Logging_030380/tillsynsmail/A 13594-2025 tillsynsbegäran mail.docx", "A 13594-2025")</f>
        <v/>
      </c>
      <c r="Z247">
        <f>HYPERLINK("https://klasma.github.io/Logging_030380/fåglar/A 13594-2025 prioriterade fågelarter.docx", "A 13594-2025")</f>
        <v/>
      </c>
    </row>
    <row r="248" ht="15" customHeight="1">
      <c r="A248" t="inlineStr">
        <is>
          <t>A 14523-2025</t>
        </is>
      </c>
      <c r="B248" s="1" t="n">
        <v>45741</v>
      </c>
      <c r="C248" s="1" t="n">
        <v>45832</v>
      </c>
      <c r="D248" t="inlineStr">
        <is>
          <t>UPPSALA LÄN</t>
        </is>
      </c>
      <c r="E248" t="inlineStr">
        <is>
          <t>TIERP</t>
        </is>
      </c>
      <c r="F248" t="inlineStr">
        <is>
          <t>Bergvik skog väst AB</t>
        </is>
      </c>
      <c r="G248" t="n">
        <v>6.4</v>
      </c>
      <c r="H248" t="n">
        <v>0</v>
      </c>
      <c r="I248" t="n">
        <v>2</v>
      </c>
      <c r="J248" t="n">
        <v>2</v>
      </c>
      <c r="K248" t="n">
        <v>0</v>
      </c>
      <c r="L248" t="n">
        <v>0</v>
      </c>
      <c r="M248" t="n">
        <v>0</v>
      </c>
      <c r="N248" t="n">
        <v>0</v>
      </c>
      <c r="O248" t="n">
        <v>2</v>
      </c>
      <c r="P248" t="n">
        <v>0</v>
      </c>
      <c r="Q248" t="n">
        <v>4</v>
      </c>
      <c r="R248" s="2" t="inlineStr">
        <is>
          <t>Dofttaggsvamp
Svartvit taggsvamp
Rostfläck
Skarp dropptaggsvamp</t>
        </is>
      </c>
      <c r="S248">
        <f>HYPERLINK("https://klasma.github.io/Logging_030360/artfynd/A 14523-2025 artfynd.xlsx", "A 14523-2025")</f>
        <v/>
      </c>
      <c r="T248">
        <f>HYPERLINK("https://klasma.github.io/Logging_030360/kartor/A 14523-2025 karta.png", "A 14523-2025")</f>
        <v/>
      </c>
      <c r="V248">
        <f>HYPERLINK("https://klasma.github.io/Logging_030360/klagomål/A 14523-2025 FSC-klagomål.docx", "A 14523-2025")</f>
        <v/>
      </c>
      <c r="W248">
        <f>HYPERLINK("https://klasma.github.io/Logging_030360/klagomålsmail/A 14523-2025 FSC-klagomål mail.docx", "A 14523-2025")</f>
        <v/>
      </c>
      <c r="X248">
        <f>HYPERLINK("https://klasma.github.io/Logging_030360/tillsyn/A 14523-2025 tillsynsbegäran.docx", "A 14523-2025")</f>
        <v/>
      </c>
      <c r="Y248">
        <f>HYPERLINK("https://klasma.github.io/Logging_030360/tillsynsmail/A 14523-2025 tillsynsbegäran mail.docx", "A 14523-2025")</f>
        <v/>
      </c>
    </row>
    <row r="249" ht="15" customHeight="1">
      <c r="A249" t="inlineStr">
        <is>
          <t>A 20503-2025</t>
        </is>
      </c>
      <c r="B249" s="1" t="n">
        <v>45775</v>
      </c>
      <c r="C249" s="1" t="n">
        <v>45832</v>
      </c>
      <c r="D249" t="inlineStr">
        <is>
          <t>UPPSALA LÄN</t>
        </is>
      </c>
      <c r="E249" t="inlineStr">
        <is>
          <t>TIERP</t>
        </is>
      </c>
      <c r="F249" t="inlineStr">
        <is>
          <t>Bergvik skog väst AB</t>
        </is>
      </c>
      <c r="G249" t="n">
        <v>29.8</v>
      </c>
      <c r="H249" t="n">
        <v>0</v>
      </c>
      <c r="I249" t="n">
        <v>2</v>
      </c>
      <c r="J249" t="n">
        <v>2</v>
      </c>
      <c r="K249" t="n">
        <v>0</v>
      </c>
      <c r="L249" t="n">
        <v>0</v>
      </c>
      <c r="M249" t="n">
        <v>0</v>
      </c>
      <c r="N249" t="n">
        <v>0</v>
      </c>
      <c r="O249" t="n">
        <v>2</v>
      </c>
      <c r="P249" t="n">
        <v>0</v>
      </c>
      <c r="Q249" t="n">
        <v>4</v>
      </c>
      <c r="R249" s="2" t="inlineStr">
        <is>
          <t>Rutskinn
Rödbrun blekspik
Sotlav
Vätteros</t>
        </is>
      </c>
      <c r="S249">
        <f>HYPERLINK("https://klasma.github.io/Logging_030360/artfynd/A 20503-2025 artfynd.xlsx", "A 20503-2025")</f>
        <v/>
      </c>
      <c r="T249">
        <f>HYPERLINK("https://klasma.github.io/Logging_030360/kartor/A 20503-2025 karta.png", "A 20503-2025")</f>
        <v/>
      </c>
      <c r="V249">
        <f>HYPERLINK("https://klasma.github.io/Logging_030360/klagomål/A 20503-2025 FSC-klagomål.docx", "A 20503-2025")</f>
        <v/>
      </c>
      <c r="W249">
        <f>HYPERLINK("https://klasma.github.io/Logging_030360/klagomålsmail/A 20503-2025 FSC-klagomål mail.docx", "A 20503-2025")</f>
        <v/>
      </c>
      <c r="X249">
        <f>HYPERLINK("https://klasma.github.io/Logging_030360/tillsyn/A 20503-2025 tillsynsbegäran.docx", "A 20503-2025")</f>
        <v/>
      </c>
      <c r="Y249">
        <f>HYPERLINK("https://klasma.github.io/Logging_030360/tillsynsmail/A 20503-2025 tillsynsbegäran mail.docx", "A 20503-2025")</f>
        <v/>
      </c>
    </row>
    <row r="250" ht="15" customHeight="1">
      <c r="A250" t="inlineStr">
        <is>
          <t>A 30596-2025</t>
        </is>
      </c>
      <c r="B250" s="1" t="n">
        <v>45831</v>
      </c>
      <c r="C250" s="1" t="n">
        <v>45832</v>
      </c>
      <c r="D250" t="inlineStr">
        <is>
          <t>UPPSALA LÄN</t>
        </is>
      </c>
      <c r="E250" t="inlineStr">
        <is>
          <t>TIERP</t>
        </is>
      </c>
      <c r="F250" t="inlineStr">
        <is>
          <t>Bergvik skog väst AB</t>
        </is>
      </c>
      <c r="G250" t="n">
        <v>32.1</v>
      </c>
      <c r="H250" t="n">
        <v>0</v>
      </c>
      <c r="I250" t="n">
        <v>2</v>
      </c>
      <c r="J250" t="n">
        <v>1</v>
      </c>
      <c r="K250" t="n">
        <v>0</v>
      </c>
      <c r="L250" t="n">
        <v>1</v>
      </c>
      <c r="M250" t="n">
        <v>0</v>
      </c>
      <c r="N250" t="n">
        <v>0</v>
      </c>
      <c r="O250" t="n">
        <v>2</v>
      </c>
      <c r="P250" t="n">
        <v>1</v>
      </c>
      <c r="Q250" t="n">
        <v>4</v>
      </c>
      <c r="R250" s="2" t="inlineStr">
        <is>
          <t>Ask
Rödbrun blekspik
Brun nållav
Kamjordstjärna</t>
        </is>
      </c>
      <c r="S250">
        <f>HYPERLINK("https://klasma.github.io/Logging_030360/artfynd/A 30596-2025 artfynd.xlsx", "A 30596-2025")</f>
        <v/>
      </c>
      <c r="T250">
        <f>HYPERLINK("https://klasma.github.io/Logging_030360/kartor/A 30596-2025 karta.png", "A 30596-2025")</f>
        <v/>
      </c>
      <c r="V250">
        <f>HYPERLINK("https://klasma.github.io/Logging_030360/klagomål/A 30596-2025 FSC-klagomål.docx", "A 30596-2025")</f>
        <v/>
      </c>
      <c r="W250">
        <f>HYPERLINK("https://klasma.github.io/Logging_030360/klagomålsmail/A 30596-2025 FSC-klagomål mail.docx", "A 30596-2025")</f>
        <v/>
      </c>
      <c r="X250">
        <f>HYPERLINK("https://klasma.github.io/Logging_030360/tillsyn/A 30596-2025 tillsynsbegäran.docx", "A 30596-2025")</f>
        <v/>
      </c>
      <c r="Y250">
        <f>HYPERLINK("https://klasma.github.io/Logging_030360/tillsynsmail/A 30596-2025 tillsynsbegäran mail.docx", "A 30596-2025")</f>
        <v/>
      </c>
    </row>
    <row r="251" ht="15" customHeight="1">
      <c r="A251" t="inlineStr">
        <is>
          <t>A 36346-2019</t>
        </is>
      </c>
      <c r="B251" s="1" t="n">
        <v>43661</v>
      </c>
      <c r="C251" s="1" t="n">
        <v>45832</v>
      </c>
      <c r="D251" t="inlineStr">
        <is>
          <t>UPPSALA LÄN</t>
        </is>
      </c>
      <c r="E251" t="inlineStr">
        <is>
          <t>UPPSALA</t>
        </is>
      </c>
      <c r="G251" t="n">
        <v>15.8</v>
      </c>
      <c r="H251" t="n">
        <v>2</v>
      </c>
      <c r="I251" t="n">
        <v>0</v>
      </c>
      <c r="J251" t="n">
        <v>3</v>
      </c>
      <c r="K251" t="n">
        <v>0</v>
      </c>
      <c r="L251" t="n">
        <v>0</v>
      </c>
      <c r="M251" t="n">
        <v>0</v>
      </c>
      <c r="N251" t="n">
        <v>0</v>
      </c>
      <c r="O251" t="n">
        <v>3</v>
      </c>
      <c r="P251" t="n">
        <v>0</v>
      </c>
      <c r="Q251" t="n">
        <v>3</v>
      </c>
      <c r="R251" s="2" t="inlineStr">
        <is>
          <t>Gulsparv
Rosenticka
Svartvit flugsnappare</t>
        </is>
      </c>
      <c r="S251">
        <f>HYPERLINK("https://klasma.github.io/Logging_0380/artfynd/A 36346-2019 artfynd.xlsx", "A 36346-2019")</f>
        <v/>
      </c>
      <c r="T251">
        <f>HYPERLINK("https://klasma.github.io/Logging_0380/kartor/A 36346-2019 karta.png", "A 36346-2019")</f>
        <v/>
      </c>
      <c r="V251">
        <f>HYPERLINK("https://klasma.github.io/Logging_0380/klagomål/A 36346-2019 FSC-klagomål.docx", "A 36346-2019")</f>
        <v/>
      </c>
      <c r="W251">
        <f>HYPERLINK("https://klasma.github.io/Logging_0380/klagomålsmail/A 36346-2019 FSC-klagomål mail.docx", "A 36346-2019")</f>
        <v/>
      </c>
      <c r="X251">
        <f>HYPERLINK("https://klasma.github.io/Logging_0380/tillsyn/A 36346-2019 tillsynsbegäran.docx", "A 36346-2019")</f>
        <v/>
      </c>
      <c r="Y251">
        <f>HYPERLINK("https://klasma.github.io/Logging_0380/tillsynsmail/A 36346-2019 tillsynsbegäran mail.docx", "A 36346-2019")</f>
        <v/>
      </c>
      <c r="Z251">
        <f>HYPERLINK("https://klasma.github.io/Logging_0380/fåglar/A 36346-2019 prioriterade fågelarter.docx", "A 36346-2019")</f>
        <v/>
      </c>
    </row>
    <row r="252" ht="15" customHeight="1">
      <c r="A252" t="inlineStr">
        <is>
          <t>A 49258-2019</t>
        </is>
      </c>
      <c r="B252" s="1" t="n">
        <v>43731</v>
      </c>
      <c r="C252" s="1" t="n">
        <v>45832</v>
      </c>
      <c r="D252" t="inlineStr">
        <is>
          <t>UPPSALA LÄN</t>
        </is>
      </c>
      <c r="E252" t="inlineStr">
        <is>
          <t>UPPSALA</t>
        </is>
      </c>
      <c r="G252" t="n">
        <v>0.9</v>
      </c>
      <c r="H252" t="n">
        <v>0</v>
      </c>
      <c r="I252" t="n">
        <v>0</v>
      </c>
      <c r="J252" t="n">
        <v>1</v>
      </c>
      <c r="K252" t="n">
        <v>2</v>
      </c>
      <c r="L252" t="n">
        <v>0</v>
      </c>
      <c r="M252" t="n">
        <v>0</v>
      </c>
      <c r="N252" t="n">
        <v>0</v>
      </c>
      <c r="O252" t="n">
        <v>3</v>
      </c>
      <c r="P252" t="n">
        <v>2</v>
      </c>
      <c r="Q252" t="n">
        <v>3</v>
      </c>
      <c r="R252" s="2" t="inlineStr">
        <is>
          <t>Liten blekspik
Ostticka
Vedtrappmossa</t>
        </is>
      </c>
      <c r="S252">
        <f>HYPERLINK("https://klasma.github.io/Logging_0380/artfynd/A 49258-2019 artfynd.xlsx", "A 49258-2019")</f>
        <v/>
      </c>
      <c r="T252">
        <f>HYPERLINK("https://klasma.github.io/Logging_0380/kartor/A 49258-2019 karta.png", "A 49258-2019")</f>
        <v/>
      </c>
      <c r="V252">
        <f>HYPERLINK("https://klasma.github.io/Logging_0380/klagomål/A 49258-2019 FSC-klagomål.docx", "A 49258-2019")</f>
        <v/>
      </c>
      <c r="W252">
        <f>HYPERLINK("https://klasma.github.io/Logging_0380/klagomålsmail/A 49258-2019 FSC-klagomål mail.docx", "A 49258-2019")</f>
        <v/>
      </c>
      <c r="X252">
        <f>HYPERLINK("https://klasma.github.io/Logging_0380/tillsyn/A 49258-2019 tillsynsbegäran.docx", "A 49258-2019")</f>
        <v/>
      </c>
      <c r="Y252">
        <f>HYPERLINK("https://klasma.github.io/Logging_0380/tillsynsmail/A 49258-2019 tillsynsbegäran mail.docx", "A 49258-2019")</f>
        <v/>
      </c>
    </row>
    <row r="253" ht="15" customHeight="1">
      <c r="A253" t="inlineStr">
        <is>
          <t>A 52050-2019</t>
        </is>
      </c>
      <c r="B253" s="1" t="n">
        <v>43742</v>
      </c>
      <c r="C253" s="1" t="n">
        <v>45832</v>
      </c>
      <c r="D253" t="inlineStr">
        <is>
          <t>UPPSALA LÄN</t>
        </is>
      </c>
      <c r="E253" t="inlineStr">
        <is>
          <t>ENKÖPING</t>
        </is>
      </c>
      <c r="G253" t="n">
        <v>6.6</v>
      </c>
      <c r="H253" t="n">
        <v>0</v>
      </c>
      <c r="I253" t="n">
        <v>3</v>
      </c>
      <c r="J253" t="n">
        <v>0</v>
      </c>
      <c r="K253" t="n">
        <v>0</v>
      </c>
      <c r="L253" t="n">
        <v>0</v>
      </c>
      <c r="M253" t="n">
        <v>0</v>
      </c>
      <c r="N253" t="n">
        <v>0</v>
      </c>
      <c r="O253" t="n">
        <v>0</v>
      </c>
      <c r="P253" t="n">
        <v>0</v>
      </c>
      <c r="Q253" t="n">
        <v>3</v>
      </c>
      <c r="R253" s="2" t="inlineStr">
        <is>
          <t>Aspvedgnagare
Barkticka
Hasselticka</t>
        </is>
      </c>
      <c r="S253">
        <f>HYPERLINK("https://klasma.github.io/Logging_0381/artfynd/A 52050-2019 artfynd.xlsx", "A 52050-2019")</f>
        <v/>
      </c>
      <c r="T253">
        <f>HYPERLINK("https://klasma.github.io/Logging_0381/kartor/A 52050-2019 karta.png", "A 52050-2019")</f>
        <v/>
      </c>
      <c r="V253">
        <f>HYPERLINK("https://klasma.github.io/Logging_0381/klagomål/A 52050-2019 FSC-klagomål.docx", "A 52050-2019")</f>
        <v/>
      </c>
      <c r="W253">
        <f>HYPERLINK("https://klasma.github.io/Logging_0381/klagomålsmail/A 52050-2019 FSC-klagomål mail.docx", "A 52050-2019")</f>
        <v/>
      </c>
      <c r="X253">
        <f>HYPERLINK("https://klasma.github.io/Logging_0381/tillsyn/A 52050-2019 tillsynsbegäran.docx", "A 52050-2019")</f>
        <v/>
      </c>
      <c r="Y253">
        <f>HYPERLINK("https://klasma.github.io/Logging_0381/tillsynsmail/A 52050-2019 tillsynsbegäran mail.docx", "A 52050-2019")</f>
        <v/>
      </c>
    </row>
    <row r="254" ht="15" customHeight="1">
      <c r="A254" t="inlineStr">
        <is>
          <t>A 57665-2019</t>
        </is>
      </c>
      <c r="B254" s="1" t="n">
        <v>43768</v>
      </c>
      <c r="C254" s="1" t="n">
        <v>45832</v>
      </c>
      <c r="D254" t="inlineStr">
        <is>
          <t>UPPSALA LÄN</t>
        </is>
      </c>
      <c r="E254" t="inlineStr">
        <is>
          <t>TIERP</t>
        </is>
      </c>
      <c r="G254" t="n">
        <v>4</v>
      </c>
      <c r="H254" t="n">
        <v>1</v>
      </c>
      <c r="I254" t="n">
        <v>1</v>
      </c>
      <c r="J254" t="n">
        <v>0</v>
      </c>
      <c r="K254" t="n">
        <v>2</v>
      </c>
      <c r="L254" t="n">
        <v>0</v>
      </c>
      <c r="M254" t="n">
        <v>0</v>
      </c>
      <c r="N254" t="n">
        <v>0</v>
      </c>
      <c r="O254" t="n">
        <v>2</v>
      </c>
      <c r="P254" t="n">
        <v>2</v>
      </c>
      <c r="Q254" t="n">
        <v>3</v>
      </c>
      <c r="R254" s="2" t="inlineStr">
        <is>
          <t>Bombmurkla
Rynkskinn
Stor aspticka</t>
        </is>
      </c>
      <c r="S254">
        <f>HYPERLINK("https://klasma.github.io/Logging_0360/artfynd/A 57665-2019 artfynd.xlsx", "A 57665-2019")</f>
        <v/>
      </c>
      <c r="T254">
        <f>HYPERLINK("https://klasma.github.io/Logging_0360/kartor/A 57665-2019 karta.png", "A 57665-2019")</f>
        <v/>
      </c>
      <c r="V254">
        <f>HYPERLINK("https://klasma.github.io/Logging_0360/klagomål/A 57665-2019 FSC-klagomål.docx", "A 57665-2019")</f>
        <v/>
      </c>
      <c r="W254">
        <f>HYPERLINK("https://klasma.github.io/Logging_0360/klagomålsmail/A 57665-2019 FSC-klagomål mail.docx", "A 57665-2019")</f>
        <v/>
      </c>
      <c r="X254">
        <f>HYPERLINK("https://klasma.github.io/Logging_0360/tillsyn/A 57665-2019 tillsynsbegäran.docx", "A 57665-2019")</f>
        <v/>
      </c>
      <c r="Y254">
        <f>HYPERLINK("https://klasma.github.io/Logging_0360/tillsynsmail/A 57665-2019 tillsynsbegäran mail.docx", "A 57665-2019")</f>
        <v/>
      </c>
    </row>
    <row r="255" ht="15" customHeight="1">
      <c r="A255" t="inlineStr">
        <is>
          <t>A 63909-2019</t>
        </is>
      </c>
      <c r="B255" s="1" t="n">
        <v>43796</v>
      </c>
      <c r="C255" s="1" t="n">
        <v>45832</v>
      </c>
      <c r="D255" t="inlineStr">
        <is>
          <t>UPPSALA LÄN</t>
        </is>
      </c>
      <c r="E255" t="inlineStr">
        <is>
          <t>UPPSALA</t>
        </is>
      </c>
      <c r="F255" t="inlineStr">
        <is>
          <t>Holmen skog AB</t>
        </is>
      </c>
      <c r="G255" t="n">
        <v>3.8</v>
      </c>
      <c r="H255" t="n">
        <v>0</v>
      </c>
      <c r="I255" t="n">
        <v>0</v>
      </c>
      <c r="J255" t="n">
        <v>3</v>
      </c>
      <c r="K255" t="n">
        <v>0</v>
      </c>
      <c r="L255" t="n">
        <v>0</v>
      </c>
      <c r="M255" t="n">
        <v>0</v>
      </c>
      <c r="N255" t="n">
        <v>0</v>
      </c>
      <c r="O255" t="n">
        <v>3</v>
      </c>
      <c r="P255" t="n">
        <v>0</v>
      </c>
      <c r="Q255" t="n">
        <v>3</v>
      </c>
      <c r="R255" s="2" t="inlineStr">
        <is>
          <t>Ekticka
Rödbrun blekspik
Skuggorangelav</t>
        </is>
      </c>
      <c r="S255">
        <f>HYPERLINK("https://klasma.github.io/Logging_0380/artfynd/A 63909-2019 artfynd.xlsx", "A 63909-2019")</f>
        <v/>
      </c>
      <c r="T255">
        <f>HYPERLINK("https://klasma.github.io/Logging_0380/kartor/A 63909-2019 karta.png", "A 63909-2019")</f>
        <v/>
      </c>
      <c r="V255">
        <f>HYPERLINK("https://klasma.github.io/Logging_0380/klagomål/A 63909-2019 FSC-klagomål.docx", "A 63909-2019")</f>
        <v/>
      </c>
      <c r="W255">
        <f>HYPERLINK("https://klasma.github.io/Logging_0380/klagomålsmail/A 63909-2019 FSC-klagomål mail.docx", "A 63909-2019")</f>
        <v/>
      </c>
      <c r="X255">
        <f>HYPERLINK("https://klasma.github.io/Logging_0380/tillsyn/A 63909-2019 tillsynsbegäran.docx", "A 63909-2019")</f>
        <v/>
      </c>
      <c r="Y255">
        <f>HYPERLINK("https://klasma.github.io/Logging_0380/tillsynsmail/A 63909-2019 tillsynsbegäran mail.docx", "A 63909-2019")</f>
        <v/>
      </c>
    </row>
    <row r="256" ht="15" customHeight="1">
      <c r="A256" t="inlineStr">
        <is>
          <t>A 6195-2020</t>
        </is>
      </c>
      <c r="B256" s="1" t="n">
        <v>43865</v>
      </c>
      <c r="C256" s="1" t="n">
        <v>45832</v>
      </c>
      <c r="D256" t="inlineStr">
        <is>
          <t>UPPSALA LÄN</t>
        </is>
      </c>
      <c r="E256" t="inlineStr">
        <is>
          <t>ENKÖPING</t>
        </is>
      </c>
      <c r="G256" t="n">
        <v>1.2</v>
      </c>
      <c r="H256" t="n">
        <v>3</v>
      </c>
      <c r="I256" t="n">
        <v>0</v>
      </c>
      <c r="J256" t="n">
        <v>0</v>
      </c>
      <c r="K256" t="n">
        <v>0</v>
      </c>
      <c r="L256" t="n">
        <v>0</v>
      </c>
      <c r="M256" t="n">
        <v>0</v>
      </c>
      <c r="N256" t="n">
        <v>0</v>
      </c>
      <c r="O256" t="n">
        <v>0</v>
      </c>
      <c r="P256" t="n">
        <v>0</v>
      </c>
      <c r="Q256" t="n">
        <v>3</v>
      </c>
      <c r="R256" s="2" t="inlineStr">
        <is>
          <t>Gröngöling
Mindre vattensalamander
Blåsippa</t>
        </is>
      </c>
      <c r="S256">
        <f>HYPERLINK("https://klasma.github.io/Logging_0381/artfynd/A 6195-2020 artfynd.xlsx", "A 6195-2020")</f>
        <v/>
      </c>
      <c r="T256">
        <f>HYPERLINK("https://klasma.github.io/Logging_0381/kartor/A 6195-2020 karta.png", "A 6195-2020")</f>
        <v/>
      </c>
      <c r="V256">
        <f>HYPERLINK("https://klasma.github.io/Logging_0381/klagomål/A 6195-2020 FSC-klagomål.docx", "A 6195-2020")</f>
        <v/>
      </c>
      <c r="W256">
        <f>HYPERLINK("https://klasma.github.io/Logging_0381/klagomålsmail/A 6195-2020 FSC-klagomål mail.docx", "A 6195-2020")</f>
        <v/>
      </c>
      <c r="X256">
        <f>HYPERLINK("https://klasma.github.io/Logging_0381/tillsyn/A 6195-2020 tillsynsbegäran.docx", "A 6195-2020")</f>
        <v/>
      </c>
      <c r="Y256">
        <f>HYPERLINK("https://klasma.github.io/Logging_0381/tillsynsmail/A 6195-2020 tillsynsbegäran mail.docx", "A 6195-2020")</f>
        <v/>
      </c>
      <c r="Z256">
        <f>HYPERLINK("https://klasma.github.io/Logging_0381/fåglar/A 6195-2020 prioriterade fågelarter.docx", "A 6195-2020")</f>
        <v/>
      </c>
    </row>
    <row r="257" ht="15" customHeight="1">
      <c r="A257" t="inlineStr">
        <is>
          <t>A 6318-2020</t>
        </is>
      </c>
      <c r="B257" s="1" t="n">
        <v>43866</v>
      </c>
      <c r="C257" s="1" t="n">
        <v>45832</v>
      </c>
      <c r="D257" t="inlineStr">
        <is>
          <t>UPPSALA LÄN</t>
        </is>
      </c>
      <c r="E257" t="inlineStr">
        <is>
          <t>ENKÖPING</t>
        </is>
      </c>
      <c r="F257" t="inlineStr">
        <is>
          <t>Övriga statliga verk och myndigheter</t>
        </is>
      </c>
      <c r="G257" t="n">
        <v>10</v>
      </c>
      <c r="H257" t="n">
        <v>1</v>
      </c>
      <c r="I257" t="n">
        <v>1</v>
      </c>
      <c r="J257" t="n">
        <v>1</v>
      </c>
      <c r="K257" t="n">
        <v>1</v>
      </c>
      <c r="L257" t="n">
        <v>0</v>
      </c>
      <c r="M257" t="n">
        <v>0</v>
      </c>
      <c r="N257" t="n">
        <v>0</v>
      </c>
      <c r="O257" t="n">
        <v>2</v>
      </c>
      <c r="P257" t="n">
        <v>1</v>
      </c>
      <c r="Q257" t="n">
        <v>3</v>
      </c>
      <c r="R257" s="2" t="inlineStr">
        <is>
          <t>Knärot
Vintertagging
Granbarkgnagare</t>
        </is>
      </c>
      <c r="S257">
        <f>HYPERLINK("https://klasma.github.io/Logging_0381/artfynd/A 6318-2020 artfynd.xlsx", "A 6318-2020")</f>
        <v/>
      </c>
      <c r="T257">
        <f>HYPERLINK("https://klasma.github.io/Logging_0381/kartor/A 6318-2020 karta.png", "A 6318-2020")</f>
        <v/>
      </c>
      <c r="U257">
        <f>HYPERLINK("https://klasma.github.io/Logging_0381/knärot/A 6318-2020 karta knärot.png", "A 6318-2020")</f>
        <v/>
      </c>
      <c r="V257">
        <f>HYPERLINK("https://klasma.github.io/Logging_0381/klagomål/A 6318-2020 FSC-klagomål.docx", "A 6318-2020")</f>
        <v/>
      </c>
      <c r="W257">
        <f>HYPERLINK("https://klasma.github.io/Logging_0381/klagomålsmail/A 6318-2020 FSC-klagomål mail.docx", "A 6318-2020")</f>
        <v/>
      </c>
      <c r="X257">
        <f>HYPERLINK("https://klasma.github.io/Logging_0381/tillsyn/A 6318-2020 tillsynsbegäran.docx", "A 6318-2020")</f>
        <v/>
      </c>
      <c r="Y257">
        <f>HYPERLINK("https://klasma.github.io/Logging_0381/tillsynsmail/A 6318-2020 tillsynsbegäran mail.docx", "A 6318-2020")</f>
        <v/>
      </c>
    </row>
    <row r="258" ht="15" customHeight="1">
      <c r="A258" t="inlineStr">
        <is>
          <t>A 8385-2020</t>
        </is>
      </c>
      <c r="B258" s="1" t="n">
        <v>43875</v>
      </c>
      <c r="C258" s="1" t="n">
        <v>45832</v>
      </c>
      <c r="D258" t="inlineStr">
        <is>
          <t>UPPSALA LÄN</t>
        </is>
      </c>
      <c r="E258" t="inlineStr">
        <is>
          <t>ÖSTHAMMAR</t>
        </is>
      </c>
      <c r="F258" t="inlineStr">
        <is>
          <t>Bergvik skog öst AB</t>
        </is>
      </c>
      <c r="G258" t="n">
        <v>0.7</v>
      </c>
      <c r="H258" t="n">
        <v>2</v>
      </c>
      <c r="I258" t="n">
        <v>1</v>
      </c>
      <c r="J258" t="n">
        <v>2</v>
      </c>
      <c r="K258" t="n">
        <v>0</v>
      </c>
      <c r="L258" t="n">
        <v>0</v>
      </c>
      <c r="M258" t="n">
        <v>0</v>
      </c>
      <c r="N258" t="n">
        <v>0</v>
      </c>
      <c r="O258" t="n">
        <v>2</v>
      </c>
      <c r="P258" t="n">
        <v>0</v>
      </c>
      <c r="Q258" t="n">
        <v>3</v>
      </c>
      <c r="R258" s="2" t="inlineStr">
        <is>
          <t>Gulsparv
Svartvit flugsnappare
Svavelriska</t>
        </is>
      </c>
      <c r="S258">
        <f>HYPERLINK("https://klasma.github.io/Logging_0382/artfynd/A 8385-2020 artfynd.xlsx", "A 8385-2020")</f>
        <v/>
      </c>
      <c r="T258">
        <f>HYPERLINK("https://klasma.github.io/Logging_0382/kartor/A 8385-2020 karta.png", "A 8385-2020")</f>
        <v/>
      </c>
      <c r="V258">
        <f>HYPERLINK("https://klasma.github.io/Logging_0382/klagomål/A 8385-2020 FSC-klagomål.docx", "A 8385-2020")</f>
        <v/>
      </c>
      <c r="W258">
        <f>HYPERLINK("https://klasma.github.io/Logging_0382/klagomålsmail/A 8385-2020 FSC-klagomål mail.docx", "A 8385-2020")</f>
        <v/>
      </c>
      <c r="X258">
        <f>HYPERLINK("https://klasma.github.io/Logging_0382/tillsyn/A 8385-2020 tillsynsbegäran.docx", "A 8385-2020")</f>
        <v/>
      </c>
      <c r="Y258">
        <f>HYPERLINK("https://klasma.github.io/Logging_0382/tillsynsmail/A 8385-2020 tillsynsbegäran mail.docx", "A 8385-2020")</f>
        <v/>
      </c>
      <c r="Z258">
        <f>HYPERLINK("https://klasma.github.io/Logging_0382/fåglar/A 8385-2020 prioriterade fågelarter.docx", "A 8385-2020")</f>
        <v/>
      </c>
    </row>
    <row r="259" ht="15" customHeight="1">
      <c r="A259" t="inlineStr">
        <is>
          <t>A 15765-2020</t>
        </is>
      </c>
      <c r="B259" s="1" t="n">
        <v>43915</v>
      </c>
      <c r="C259" s="1" t="n">
        <v>45832</v>
      </c>
      <c r="D259" t="inlineStr">
        <is>
          <t>UPPSALA LÄN</t>
        </is>
      </c>
      <c r="E259" t="inlineStr">
        <is>
          <t>ENKÖPING</t>
        </is>
      </c>
      <c r="G259" t="n">
        <v>0.4</v>
      </c>
      <c r="H259" t="n">
        <v>3</v>
      </c>
      <c r="I259" t="n">
        <v>0</v>
      </c>
      <c r="J259" t="n">
        <v>1</v>
      </c>
      <c r="K259" t="n">
        <v>0</v>
      </c>
      <c r="L259" t="n">
        <v>1</v>
      </c>
      <c r="M259" t="n">
        <v>0</v>
      </c>
      <c r="N259" t="n">
        <v>0</v>
      </c>
      <c r="O259" t="n">
        <v>2</v>
      </c>
      <c r="P259" t="n">
        <v>1</v>
      </c>
      <c r="Q259" t="n">
        <v>3</v>
      </c>
      <c r="R259" s="2" t="inlineStr">
        <is>
          <t>Storspov
Havsörn
Sångsvan</t>
        </is>
      </c>
      <c r="S259">
        <f>HYPERLINK("https://klasma.github.io/Logging_0381/artfynd/A 15765-2020 artfynd.xlsx", "A 15765-2020")</f>
        <v/>
      </c>
      <c r="T259">
        <f>HYPERLINK("https://klasma.github.io/Logging_0381/kartor/A 15765-2020 karta.png", "A 15765-2020")</f>
        <v/>
      </c>
      <c r="V259">
        <f>HYPERLINK("https://klasma.github.io/Logging_0381/klagomål/A 15765-2020 FSC-klagomål.docx", "A 15765-2020")</f>
        <v/>
      </c>
      <c r="W259">
        <f>HYPERLINK("https://klasma.github.io/Logging_0381/klagomålsmail/A 15765-2020 FSC-klagomål mail.docx", "A 15765-2020")</f>
        <v/>
      </c>
      <c r="X259">
        <f>HYPERLINK("https://klasma.github.io/Logging_0381/tillsyn/A 15765-2020 tillsynsbegäran.docx", "A 15765-2020")</f>
        <v/>
      </c>
      <c r="Y259">
        <f>HYPERLINK("https://klasma.github.io/Logging_0381/tillsynsmail/A 15765-2020 tillsynsbegäran mail.docx", "A 15765-2020")</f>
        <v/>
      </c>
      <c r="Z259">
        <f>HYPERLINK("https://klasma.github.io/Logging_0381/fåglar/A 15765-2020 prioriterade fågelarter.docx", "A 15765-2020")</f>
        <v/>
      </c>
    </row>
    <row r="260" ht="15" customHeight="1">
      <c r="A260" t="inlineStr">
        <is>
          <t>A 45714-2020</t>
        </is>
      </c>
      <c r="B260" s="1" t="n">
        <v>44090</v>
      </c>
      <c r="C260" s="1" t="n">
        <v>45832</v>
      </c>
      <c r="D260" t="inlineStr">
        <is>
          <t>UPPSALA LÄN</t>
        </is>
      </c>
      <c r="E260" t="inlineStr">
        <is>
          <t>ÖSTHAMMAR</t>
        </is>
      </c>
      <c r="F260" t="inlineStr">
        <is>
          <t>Övriga Aktiebolag</t>
        </is>
      </c>
      <c r="G260" t="n">
        <v>10.8</v>
      </c>
      <c r="H260" t="n">
        <v>1</v>
      </c>
      <c r="I260" t="n">
        <v>1</v>
      </c>
      <c r="J260" t="n">
        <v>2</v>
      </c>
      <c r="K260" t="n">
        <v>0</v>
      </c>
      <c r="L260" t="n">
        <v>0</v>
      </c>
      <c r="M260" t="n">
        <v>0</v>
      </c>
      <c r="N260" t="n">
        <v>0</v>
      </c>
      <c r="O260" t="n">
        <v>2</v>
      </c>
      <c r="P260" t="n">
        <v>0</v>
      </c>
      <c r="Q260" t="n">
        <v>3</v>
      </c>
      <c r="R260" s="2" t="inlineStr">
        <is>
          <t>Slåtterfibbla
Solvända
Skogsknipprot</t>
        </is>
      </c>
      <c r="S260">
        <f>HYPERLINK("https://klasma.github.io/Logging_0382/artfynd/A 45714-2020 artfynd.xlsx", "A 45714-2020")</f>
        <v/>
      </c>
      <c r="T260">
        <f>HYPERLINK("https://klasma.github.io/Logging_0382/kartor/A 45714-2020 karta.png", "A 45714-2020")</f>
        <v/>
      </c>
      <c r="V260">
        <f>HYPERLINK("https://klasma.github.io/Logging_0382/klagomål/A 45714-2020 FSC-klagomål.docx", "A 45714-2020")</f>
        <v/>
      </c>
      <c r="W260">
        <f>HYPERLINK("https://klasma.github.io/Logging_0382/klagomålsmail/A 45714-2020 FSC-klagomål mail.docx", "A 45714-2020")</f>
        <v/>
      </c>
      <c r="X260">
        <f>HYPERLINK("https://klasma.github.io/Logging_0382/tillsyn/A 45714-2020 tillsynsbegäran.docx", "A 45714-2020")</f>
        <v/>
      </c>
      <c r="Y260">
        <f>HYPERLINK("https://klasma.github.io/Logging_0382/tillsynsmail/A 45714-2020 tillsynsbegäran mail.docx", "A 45714-2020")</f>
        <v/>
      </c>
    </row>
    <row r="261" ht="15" customHeight="1">
      <c r="A261" t="inlineStr">
        <is>
          <t>A 56107-2020</t>
        </is>
      </c>
      <c r="B261" s="1" t="n">
        <v>44133</v>
      </c>
      <c r="C261" s="1" t="n">
        <v>45832</v>
      </c>
      <c r="D261" t="inlineStr">
        <is>
          <t>UPPSALA LÄN</t>
        </is>
      </c>
      <c r="E261" t="inlineStr">
        <is>
          <t>UPPSALA</t>
        </is>
      </c>
      <c r="F261" t="inlineStr">
        <is>
          <t>Allmännings- och besparingsskogar</t>
        </is>
      </c>
      <c r="G261" t="n">
        <v>45.6</v>
      </c>
      <c r="H261" t="n">
        <v>3</v>
      </c>
      <c r="I261" t="n">
        <v>0</v>
      </c>
      <c r="J261" t="n">
        <v>1</v>
      </c>
      <c r="K261" t="n">
        <v>0</v>
      </c>
      <c r="L261" t="n">
        <v>0</v>
      </c>
      <c r="M261" t="n">
        <v>0</v>
      </c>
      <c r="N261" t="n">
        <v>0</v>
      </c>
      <c r="O261" t="n">
        <v>1</v>
      </c>
      <c r="P261" t="n">
        <v>0</v>
      </c>
      <c r="Q261" t="n">
        <v>3</v>
      </c>
      <c r="R261" s="2" t="inlineStr">
        <is>
          <t>Nordfladdermus
Dvärgpipistrell
Vattenfladdermus</t>
        </is>
      </c>
      <c r="S261">
        <f>HYPERLINK("https://klasma.github.io/Logging_0380/artfynd/A 56107-2020 artfynd.xlsx", "A 56107-2020")</f>
        <v/>
      </c>
      <c r="T261">
        <f>HYPERLINK("https://klasma.github.io/Logging_0380/kartor/A 56107-2020 karta.png", "A 56107-2020")</f>
        <v/>
      </c>
      <c r="V261">
        <f>HYPERLINK("https://klasma.github.io/Logging_0380/klagomål/A 56107-2020 FSC-klagomål.docx", "A 56107-2020")</f>
        <v/>
      </c>
      <c r="W261">
        <f>HYPERLINK("https://klasma.github.io/Logging_0380/klagomålsmail/A 56107-2020 FSC-klagomål mail.docx", "A 56107-2020")</f>
        <v/>
      </c>
      <c r="X261">
        <f>HYPERLINK("https://klasma.github.io/Logging_0380/tillsyn/A 56107-2020 tillsynsbegäran.docx", "A 56107-2020")</f>
        <v/>
      </c>
      <c r="Y261">
        <f>HYPERLINK("https://klasma.github.io/Logging_0380/tillsynsmail/A 56107-2020 tillsynsbegäran mail.docx", "A 56107-2020")</f>
        <v/>
      </c>
    </row>
    <row r="262" ht="15" customHeight="1">
      <c r="A262" t="inlineStr">
        <is>
          <t>A 33035-2021</t>
        </is>
      </c>
      <c r="B262" s="1" t="n">
        <v>44376</v>
      </c>
      <c r="C262" s="1" t="n">
        <v>45832</v>
      </c>
      <c r="D262" t="inlineStr">
        <is>
          <t>UPPSALA LÄN</t>
        </is>
      </c>
      <c r="E262" t="inlineStr">
        <is>
          <t>ÖSTHAMMAR</t>
        </is>
      </c>
      <c r="G262" t="n">
        <v>4.3</v>
      </c>
      <c r="H262" t="n">
        <v>0</v>
      </c>
      <c r="I262" t="n">
        <v>0</v>
      </c>
      <c r="J262" t="n">
        <v>1</v>
      </c>
      <c r="K262" t="n">
        <v>2</v>
      </c>
      <c r="L262" t="n">
        <v>0</v>
      </c>
      <c r="M262" t="n">
        <v>0</v>
      </c>
      <c r="N262" t="n">
        <v>0</v>
      </c>
      <c r="O262" t="n">
        <v>3</v>
      </c>
      <c r="P262" t="n">
        <v>2</v>
      </c>
      <c r="Q262" t="n">
        <v>3</v>
      </c>
      <c r="R262" s="2" t="inlineStr">
        <is>
          <t>Granrotsspindling
Gyllenfingersvamp
Dofttaggsvamp</t>
        </is>
      </c>
      <c r="S262">
        <f>HYPERLINK("https://klasma.github.io/Logging_0382/artfynd/A 33035-2021 artfynd.xlsx", "A 33035-2021")</f>
        <v/>
      </c>
      <c r="T262">
        <f>HYPERLINK("https://klasma.github.io/Logging_0382/kartor/A 33035-2021 karta.png", "A 33035-2021")</f>
        <v/>
      </c>
      <c r="V262">
        <f>HYPERLINK("https://klasma.github.io/Logging_0382/klagomål/A 33035-2021 FSC-klagomål.docx", "A 33035-2021")</f>
        <v/>
      </c>
      <c r="W262">
        <f>HYPERLINK("https://klasma.github.io/Logging_0382/klagomålsmail/A 33035-2021 FSC-klagomål mail.docx", "A 33035-2021")</f>
        <v/>
      </c>
      <c r="X262">
        <f>HYPERLINK("https://klasma.github.io/Logging_0382/tillsyn/A 33035-2021 tillsynsbegäran.docx", "A 33035-2021")</f>
        <v/>
      </c>
      <c r="Y262">
        <f>HYPERLINK("https://klasma.github.io/Logging_0382/tillsynsmail/A 33035-2021 tillsynsbegäran mail.docx", "A 33035-2021")</f>
        <v/>
      </c>
    </row>
    <row r="263" ht="15" customHeight="1">
      <c r="A263" t="inlineStr">
        <is>
          <t>A 33441-2021</t>
        </is>
      </c>
      <c r="B263" s="1" t="n">
        <v>44377</v>
      </c>
      <c r="C263" s="1" t="n">
        <v>45832</v>
      </c>
      <c r="D263" t="inlineStr">
        <is>
          <t>UPPSALA LÄN</t>
        </is>
      </c>
      <c r="E263" t="inlineStr">
        <is>
          <t>ÄLVKARLEBY</t>
        </is>
      </c>
      <c r="F263" t="inlineStr">
        <is>
          <t>Bergvik skog väst AB</t>
        </is>
      </c>
      <c r="G263" t="n">
        <v>12</v>
      </c>
      <c r="H263" t="n">
        <v>1</v>
      </c>
      <c r="I263" t="n">
        <v>2</v>
      </c>
      <c r="J263" t="n">
        <v>1</v>
      </c>
      <c r="K263" t="n">
        <v>0</v>
      </c>
      <c r="L263" t="n">
        <v>0</v>
      </c>
      <c r="M263" t="n">
        <v>0</v>
      </c>
      <c r="N263" t="n">
        <v>0</v>
      </c>
      <c r="O263" t="n">
        <v>1</v>
      </c>
      <c r="P263" t="n">
        <v>0</v>
      </c>
      <c r="Q263" t="n">
        <v>3</v>
      </c>
      <c r="R263" s="2" t="inlineStr">
        <is>
          <t>Kalkkärrsgrynsnäcka
Nästrot
Ögonpyrola</t>
        </is>
      </c>
      <c r="S263">
        <f>HYPERLINK("https://klasma.github.io/Logging_0319/artfynd/A 33441-2021 artfynd.xlsx", "A 33441-2021")</f>
        <v/>
      </c>
      <c r="T263">
        <f>HYPERLINK("https://klasma.github.io/Logging_0319/kartor/A 33441-2021 karta.png", "A 33441-2021")</f>
        <v/>
      </c>
      <c r="V263">
        <f>HYPERLINK("https://klasma.github.io/Logging_0319/klagomål/A 33441-2021 FSC-klagomål.docx", "A 33441-2021")</f>
        <v/>
      </c>
      <c r="W263">
        <f>HYPERLINK("https://klasma.github.io/Logging_0319/klagomålsmail/A 33441-2021 FSC-klagomål mail.docx", "A 33441-2021")</f>
        <v/>
      </c>
      <c r="X263">
        <f>HYPERLINK("https://klasma.github.io/Logging_0319/tillsyn/A 33441-2021 tillsynsbegäran.docx", "A 33441-2021")</f>
        <v/>
      </c>
      <c r="Y263">
        <f>HYPERLINK("https://klasma.github.io/Logging_0319/tillsynsmail/A 33441-2021 tillsynsbegäran mail.docx", "A 33441-2021")</f>
        <v/>
      </c>
    </row>
    <row r="264" ht="15" customHeight="1">
      <c r="A264" t="inlineStr">
        <is>
          <t>A 55051-2021</t>
        </is>
      </c>
      <c r="B264" s="1" t="n">
        <v>44474</v>
      </c>
      <c r="C264" s="1" t="n">
        <v>45832</v>
      </c>
      <c r="D264" t="inlineStr">
        <is>
          <t>UPPSALA LÄN</t>
        </is>
      </c>
      <c r="E264" t="inlineStr">
        <is>
          <t>ÖSTHAMMAR</t>
        </is>
      </c>
      <c r="F264" t="inlineStr">
        <is>
          <t>Bergvik skog öst AB</t>
        </is>
      </c>
      <c r="G264" t="n">
        <v>6.5</v>
      </c>
      <c r="H264" t="n">
        <v>1</v>
      </c>
      <c r="I264" t="n">
        <v>2</v>
      </c>
      <c r="J264" t="n">
        <v>0</v>
      </c>
      <c r="K264" t="n">
        <v>0</v>
      </c>
      <c r="L264" t="n">
        <v>0</v>
      </c>
      <c r="M264" t="n">
        <v>0</v>
      </c>
      <c r="N264" t="n">
        <v>0</v>
      </c>
      <c r="O264" t="n">
        <v>0</v>
      </c>
      <c r="P264" t="n">
        <v>0</v>
      </c>
      <c r="Q264" t="n">
        <v>3</v>
      </c>
      <c r="R264" s="2" t="inlineStr">
        <is>
          <t>Svart trolldruva
Tibast
Blåsippa</t>
        </is>
      </c>
      <c r="S264">
        <f>HYPERLINK("https://klasma.github.io/Logging_0382/artfynd/A 55051-2021 artfynd.xlsx", "A 55051-2021")</f>
        <v/>
      </c>
      <c r="T264">
        <f>HYPERLINK("https://klasma.github.io/Logging_0382/kartor/A 55051-2021 karta.png", "A 55051-2021")</f>
        <v/>
      </c>
      <c r="V264">
        <f>HYPERLINK("https://klasma.github.io/Logging_0382/klagomål/A 55051-2021 FSC-klagomål.docx", "A 55051-2021")</f>
        <v/>
      </c>
      <c r="W264">
        <f>HYPERLINK("https://klasma.github.io/Logging_0382/klagomålsmail/A 55051-2021 FSC-klagomål mail.docx", "A 55051-2021")</f>
        <v/>
      </c>
      <c r="X264">
        <f>HYPERLINK("https://klasma.github.io/Logging_0382/tillsyn/A 55051-2021 tillsynsbegäran.docx", "A 55051-2021")</f>
        <v/>
      </c>
      <c r="Y264">
        <f>HYPERLINK("https://klasma.github.io/Logging_0382/tillsynsmail/A 55051-2021 tillsynsbegäran mail.docx", "A 55051-2021")</f>
        <v/>
      </c>
    </row>
    <row r="265" ht="15" customHeight="1">
      <c r="A265" t="inlineStr">
        <is>
          <t>A 60038-2021</t>
        </is>
      </c>
      <c r="B265" s="1" t="n">
        <v>44495</v>
      </c>
      <c r="C265" s="1" t="n">
        <v>45832</v>
      </c>
      <c r="D265" t="inlineStr">
        <is>
          <t>UPPSALA LÄN</t>
        </is>
      </c>
      <c r="E265" t="inlineStr">
        <is>
          <t>UPPSALA</t>
        </is>
      </c>
      <c r="G265" t="n">
        <v>1.2</v>
      </c>
      <c r="H265" t="n">
        <v>1</v>
      </c>
      <c r="I265" t="n">
        <v>0</v>
      </c>
      <c r="J265" t="n">
        <v>1</v>
      </c>
      <c r="K265" t="n">
        <v>1</v>
      </c>
      <c r="L265" t="n">
        <v>0</v>
      </c>
      <c r="M265" t="n">
        <v>0</v>
      </c>
      <c r="N265" t="n">
        <v>0</v>
      </c>
      <c r="O265" t="n">
        <v>2</v>
      </c>
      <c r="P265" t="n">
        <v>1</v>
      </c>
      <c r="Q265" t="n">
        <v>3</v>
      </c>
      <c r="R265" s="2" t="inlineStr">
        <is>
          <t>Rynkskinn
Ullticka
Blåsippa</t>
        </is>
      </c>
      <c r="S265">
        <f>HYPERLINK("https://klasma.github.io/Logging_0380/artfynd/A 60038-2021 artfynd.xlsx", "A 60038-2021")</f>
        <v/>
      </c>
      <c r="T265">
        <f>HYPERLINK("https://klasma.github.io/Logging_0380/kartor/A 60038-2021 karta.png", "A 60038-2021")</f>
        <v/>
      </c>
      <c r="V265">
        <f>HYPERLINK("https://klasma.github.io/Logging_0380/klagomål/A 60038-2021 FSC-klagomål.docx", "A 60038-2021")</f>
        <v/>
      </c>
      <c r="W265">
        <f>HYPERLINK("https://klasma.github.io/Logging_0380/klagomålsmail/A 60038-2021 FSC-klagomål mail.docx", "A 60038-2021")</f>
        <v/>
      </c>
      <c r="X265">
        <f>HYPERLINK("https://klasma.github.io/Logging_0380/tillsyn/A 60038-2021 tillsynsbegäran.docx", "A 60038-2021")</f>
        <v/>
      </c>
      <c r="Y265">
        <f>HYPERLINK("https://klasma.github.io/Logging_0380/tillsynsmail/A 60038-2021 tillsynsbegäran mail.docx", "A 60038-2021")</f>
        <v/>
      </c>
    </row>
    <row r="266" ht="15" customHeight="1">
      <c r="A266" t="inlineStr">
        <is>
          <t>A 69515-2021</t>
        </is>
      </c>
      <c r="B266" s="1" t="n">
        <v>44531</v>
      </c>
      <c r="C266" s="1" t="n">
        <v>45832</v>
      </c>
      <c r="D266" t="inlineStr">
        <is>
          <t>UPPSALA LÄN</t>
        </is>
      </c>
      <c r="E266" t="inlineStr">
        <is>
          <t>ÖSTHAMMAR</t>
        </is>
      </c>
      <c r="G266" t="n">
        <v>7</v>
      </c>
      <c r="H266" t="n">
        <v>1</v>
      </c>
      <c r="I266" t="n">
        <v>2</v>
      </c>
      <c r="J266" t="n">
        <v>0</v>
      </c>
      <c r="K266" t="n">
        <v>0</v>
      </c>
      <c r="L266" t="n">
        <v>0</v>
      </c>
      <c r="M266" t="n">
        <v>0</v>
      </c>
      <c r="N266" t="n">
        <v>0</v>
      </c>
      <c r="O266" t="n">
        <v>0</v>
      </c>
      <c r="P266" t="n">
        <v>0</v>
      </c>
      <c r="Q266" t="n">
        <v>3</v>
      </c>
      <c r="R266" s="2" t="inlineStr">
        <is>
          <t>Svart trolldruva
Underviol
Revlummer</t>
        </is>
      </c>
      <c r="S266">
        <f>HYPERLINK("https://klasma.github.io/Logging_0382/artfynd/A 69515-2021 artfynd.xlsx", "A 69515-2021")</f>
        <v/>
      </c>
      <c r="T266">
        <f>HYPERLINK("https://klasma.github.io/Logging_0382/kartor/A 69515-2021 karta.png", "A 69515-2021")</f>
        <v/>
      </c>
      <c r="V266">
        <f>HYPERLINK("https://klasma.github.io/Logging_0382/klagomål/A 69515-2021 FSC-klagomål.docx", "A 69515-2021")</f>
        <v/>
      </c>
      <c r="W266">
        <f>HYPERLINK("https://klasma.github.io/Logging_0382/klagomålsmail/A 69515-2021 FSC-klagomål mail.docx", "A 69515-2021")</f>
        <v/>
      </c>
      <c r="X266">
        <f>HYPERLINK("https://klasma.github.io/Logging_0382/tillsyn/A 69515-2021 tillsynsbegäran.docx", "A 69515-2021")</f>
        <v/>
      </c>
      <c r="Y266">
        <f>HYPERLINK("https://klasma.github.io/Logging_0382/tillsynsmail/A 69515-2021 tillsynsbegäran mail.docx", "A 69515-2021")</f>
        <v/>
      </c>
    </row>
    <row r="267" ht="15" customHeight="1">
      <c r="A267" t="inlineStr">
        <is>
          <t>A 70017-2021</t>
        </is>
      </c>
      <c r="B267" s="1" t="n">
        <v>44533</v>
      </c>
      <c r="C267" s="1" t="n">
        <v>45832</v>
      </c>
      <c r="D267" t="inlineStr">
        <is>
          <t>UPPSALA LÄN</t>
        </is>
      </c>
      <c r="E267" t="inlineStr">
        <is>
          <t>ÄLVKARLEBY</t>
        </is>
      </c>
      <c r="G267" t="n">
        <v>2.1</v>
      </c>
      <c r="H267" t="n">
        <v>3</v>
      </c>
      <c r="I267" t="n">
        <v>0</v>
      </c>
      <c r="J267" t="n">
        <v>0</v>
      </c>
      <c r="K267" t="n">
        <v>1</v>
      </c>
      <c r="L267" t="n">
        <v>0</v>
      </c>
      <c r="M267" t="n">
        <v>0</v>
      </c>
      <c r="N267" t="n">
        <v>0</v>
      </c>
      <c r="O267" t="n">
        <v>1</v>
      </c>
      <c r="P267" t="n">
        <v>1</v>
      </c>
      <c r="Q267" t="n">
        <v>3</v>
      </c>
      <c r="R267" s="2" t="inlineStr">
        <is>
          <t>Gölgroda
Trana
Mindre vattensalamander</t>
        </is>
      </c>
      <c r="S267">
        <f>HYPERLINK("https://klasma.github.io/Logging_0319/artfynd/A 70017-2021 artfynd.xlsx", "A 70017-2021")</f>
        <v/>
      </c>
      <c r="T267">
        <f>HYPERLINK("https://klasma.github.io/Logging_0319/kartor/A 70017-2021 karta.png", "A 70017-2021")</f>
        <v/>
      </c>
      <c r="V267">
        <f>HYPERLINK("https://klasma.github.io/Logging_0319/klagomål/A 70017-2021 FSC-klagomål.docx", "A 70017-2021")</f>
        <v/>
      </c>
      <c r="W267">
        <f>HYPERLINK("https://klasma.github.io/Logging_0319/klagomålsmail/A 70017-2021 FSC-klagomål mail.docx", "A 70017-2021")</f>
        <v/>
      </c>
      <c r="X267">
        <f>HYPERLINK("https://klasma.github.io/Logging_0319/tillsyn/A 70017-2021 tillsynsbegäran.docx", "A 70017-2021")</f>
        <v/>
      </c>
      <c r="Y267">
        <f>HYPERLINK("https://klasma.github.io/Logging_0319/tillsynsmail/A 70017-2021 tillsynsbegäran mail.docx", "A 70017-2021")</f>
        <v/>
      </c>
      <c r="Z267">
        <f>HYPERLINK("https://klasma.github.io/Logging_0319/fåglar/A 70017-2021 prioriterade fågelarter.docx", "A 70017-2021")</f>
        <v/>
      </c>
    </row>
    <row r="268" ht="15" customHeight="1">
      <c r="A268" t="inlineStr">
        <is>
          <t>A 73005-2021</t>
        </is>
      </c>
      <c r="B268" s="1" t="n">
        <v>44550</v>
      </c>
      <c r="C268" s="1" t="n">
        <v>45832</v>
      </c>
      <c r="D268" t="inlineStr">
        <is>
          <t>UPPSALA LÄN</t>
        </is>
      </c>
      <c r="E268" t="inlineStr">
        <is>
          <t>TIERP</t>
        </is>
      </c>
      <c r="F268" t="inlineStr">
        <is>
          <t>Bergvik skog väst AB</t>
        </is>
      </c>
      <c r="G268" t="n">
        <v>5.7</v>
      </c>
      <c r="H268" t="n">
        <v>0</v>
      </c>
      <c r="I268" t="n">
        <v>2</v>
      </c>
      <c r="J268" t="n">
        <v>1</v>
      </c>
      <c r="K268" t="n">
        <v>0</v>
      </c>
      <c r="L268" t="n">
        <v>0</v>
      </c>
      <c r="M268" t="n">
        <v>0</v>
      </c>
      <c r="N268" t="n">
        <v>0</v>
      </c>
      <c r="O268" t="n">
        <v>1</v>
      </c>
      <c r="P268" t="n">
        <v>0</v>
      </c>
      <c r="Q268" t="n">
        <v>3</v>
      </c>
      <c r="R268" s="2" t="inlineStr">
        <is>
          <t>Ekticka
Dvärghäxört
Jättesvampmal</t>
        </is>
      </c>
      <c r="S268">
        <f>HYPERLINK("https://klasma.github.io/Logging_0360/artfynd/A 73005-2021 artfynd.xlsx", "A 73005-2021")</f>
        <v/>
      </c>
      <c r="T268">
        <f>HYPERLINK("https://klasma.github.io/Logging_0360/kartor/A 73005-2021 karta.png", "A 73005-2021")</f>
        <v/>
      </c>
      <c r="V268">
        <f>HYPERLINK("https://klasma.github.io/Logging_0360/klagomål/A 73005-2021 FSC-klagomål.docx", "A 73005-2021")</f>
        <v/>
      </c>
      <c r="W268">
        <f>HYPERLINK("https://klasma.github.io/Logging_0360/klagomålsmail/A 73005-2021 FSC-klagomål mail.docx", "A 73005-2021")</f>
        <v/>
      </c>
      <c r="X268">
        <f>HYPERLINK("https://klasma.github.io/Logging_0360/tillsyn/A 73005-2021 tillsynsbegäran.docx", "A 73005-2021")</f>
        <v/>
      </c>
      <c r="Y268">
        <f>HYPERLINK("https://klasma.github.io/Logging_0360/tillsynsmail/A 73005-2021 tillsynsbegäran mail.docx", "A 73005-2021")</f>
        <v/>
      </c>
    </row>
    <row r="269" ht="15" customHeight="1">
      <c r="A269" t="inlineStr">
        <is>
          <t>A 73325-2021</t>
        </is>
      </c>
      <c r="B269" s="1" t="n">
        <v>44551</v>
      </c>
      <c r="C269" s="1" t="n">
        <v>45832</v>
      </c>
      <c r="D269" t="inlineStr">
        <is>
          <t>UPPSALA LÄN</t>
        </is>
      </c>
      <c r="E269" t="inlineStr">
        <is>
          <t>TIERP</t>
        </is>
      </c>
      <c r="G269" t="n">
        <v>3.7</v>
      </c>
      <c r="H269" t="n">
        <v>0</v>
      </c>
      <c r="I269" t="n">
        <v>1</v>
      </c>
      <c r="J269" t="n">
        <v>1</v>
      </c>
      <c r="K269" t="n">
        <v>1</v>
      </c>
      <c r="L269" t="n">
        <v>0</v>
      </c>
      <c r="M269" t="n">
        <v>0</v>
      </c>
      <c r="N269" t="n">
        <v>0</v>
      </c>
      <c r="O269" t="n">
        <v>2</v>
      </c>
      <c r="P269" t="n">
        <v>1</v>
      </c>
      <c r="Q269" t="n">
        <v>3</v>
      </c>
      <c r="R269" s="2" t="inlineStr">
        <is>
          <t>Taggfingersvamp
Äggspindling
Rödgul trumpetsvamp</t>
        </is>
      </c>
      <c r="S269">
        <f>HYPERLINK("https://klasma.github.io/Logging_0360/artfynd/A 73325-2021 artfynd.xlsx", "A 73325-2021")</f>
        <v/>
      </c>
      <c r="T269">
        <f>HYPERLINK("https://klasma.github.io/Logging_0360/kartor/A 73325-2021 karta.png", "A 73325-2021")</f>
        <v/>
      </c>
      <c r="V269">
        <f>HYPERLINK("https://klasma.github.io/Logging_0360/klagomål/A 73325-2021 FSC-klagomål.docx", "A 73325-2021")</f>
        <v/>
      </c>
      <c r="W269">
        <f>HYPERLINK("https://klasma.github.io/Logging_0360/klagomålsmail/A 73325-2021 FSC-klagomål mail.docx", "A 73325-2021")</f>
        <v/>
      </c>
      <c r="X269">
        <f>HYPERLINK("https://klasma.github.io/Logging_0360/tillsyn/A 73325-2021 tillsynsbegäran.docx", "A 73325-2021")</f>
        <v/>
      </c>
      <c r="Y269">
        <f>HYPERLINK("https://klasma.github.io/Logging_0360/tillsynsmail/A 73325-2021 tillsynsbegäran mail.docx", "A 73325-2021")</f>
        <v/>
      </c>
    </row>
    <row r="270" ht="15" customHeight="1">
      <c r="A270" t="inlineStr">
        <is>
          <t>A 2711-2022</t>
        </is>
      </c>
      <c r="B270" s="1" t="n">
        <v>44552</v>
      </c>
      <c r="C270" s="1" t="n">
        <v>45832</v>
      </c>
      <c r="D270" t="inlineStr">
        <is>
          <t>UPPSALA LÄN</t>
        </is>
      </c>
      <c r="E270" t="inlineStr">
        <is>
          <t>ENKÖPING</t>
        </is>
      </c>
      <c r="F270" t="inlineStr">
        <is>
          <t>Kommuner</t>
        </is>
      </c>
      <c r="G270" t="n">
        <v>2</v>
      </c>
      <c r="H270" t="n">
        <v>0</v>
      </c>
      <c r="I270" t="n">
        <v>2</v>
      </c>
      <c r="J270" t="n">
        <v>0</v>
      </c>
      <c r="K270" t="n">
        <v>1</v>
      </c>
      <c r="L270" t="n">
        <v>0</v>
      </c>
      <c r="M270" t="n">
        <v>0</v>
      </c>
      <c r="N270" t="n">
        <v>0</v>
      </c>
      <c r="O270" t="n">
        <v>1</v>
      </c>
      <c r="P270" t="n">
        <v>1</v>
      </c>
      <c r="Q270" t="n">
        <v>3</v>
      </c>
      <c r="R270" s="2" t="inlineStr">
        <is>
          <t>Grangråticka
Skarp dropptaggsvamp
Strimspindling</t>
        </is>
      </c>
      <c r="S270">
        <f>HYPERLINK("https://klasma.github.io/Logging_0381/artfynd/A 2711-2022 artfynd.xlsx", "A 2711-2022")</f>
        <v/>
      </c>
      <c r="T270">
        <f>HYPERLINK("https://klasma.github.io/Logging_0381/kartor/A 2711-2022 karta.png", "A 2711-2022")</f>
        <v/>
      </c>
      <c r="V270">
        <f>HYPERLINK("https://klasma.github.io/Logging_0381/klagomål/A 2711-2022 FSC-klagomål.docx", "A 2711-2022")</f>
        <v/>
      </c>
      <c r="W270">
        <f>HYPERLINK("https://klasma.github.io/Logging_0381/klagomålsmail/A 2711-2022 FSC-klagomål mail.docx", "A 2711-2022")</f>
        <v/>
      </c>
      <c r="X270">
        <f>HYPERLINK("https://klasma.github.io/Logging_0381/tillsyn/A 2711-2022 tillsynsbegäran.docx", "A 2711-2022")</f>
        <v/>
      </c>
      <c r="Y270">
        <f>HYPERLINK("https://klasma.github.io/Logging_0381/tillsynsmail/A 2711-2022 tillsynsbegäran mail.docx", "A 2711-2022")</f>
        <v/>
      </c>
    </row>
    <row r="271" ht="15" customHeight="1">
      <c r="A271" t="inlineStr">
        <is>
          <t>A 73903-2021</t>
        </is>
      </c>
      <c r="B271" s="1" t="n">
        <v>44552</v>
      </c>
      <c r="C271" s="1" t="n">
        <v>45832</v>
      </c>
      <c r="D271" t="inlineStr">
        <is>
          <t>UPPSALA LÄN</t>
        </is>
      </c>
      <c r="E271" t="inlineStr">
        <is>
          <t>ENKÖPING</t>
        </is>
      </c>
      <c r="F271" t="inlineStr">
        <is>
          <t>Kommuner</t>
        </is>
      </c>
      <c r="G271" t="n">
        <v>3.1</v>
      </c>
      <c r="H271" t="n">
        <v>0</v>
      </c>
      <c r="I271" t="n">
        <v>0</v>
      </c>
      <c r="J271" t="n">
        <v>2</v>
      </c>
      <c r="K271" t="n">
        <v>1</v>
      </c>
      <c r="L271" t="n">
        <v>0</v>
      </c>
      <c r="M271" t="n">
        <v>0</v>
      </c>
      <c r="N271" t="n">
        <v>0</v>
      </c>
      <c r="O271" t="n">
        <v>3</v>
      </c>
      <c r="P271" t="n">
        <v>1</v>
      </c>
      <c r="Q271" t="n">
        <v>3</v>
      </c>
      <c r="R271" s="2" t="inlineStr">
        <is>
          <t>Rynkskinn
Orange taggsvamp
Ullticka</t>
        </is>
      </c>
      <c r="S271">
        <f>HYPERLINK("https://klasma.github.io/Logging_0381/artfynd/A 73903-2021 artfynd.xlsx", "A 73903-2021")</f>
        <v/>
      </c>
      <c r="T271">
        <f>HYPERLINK("https://klasma.github.io/Logging_0381/kartor/A 73903-2021 karta.png", "A 73903-2021")</f>
        <v/>
      </c>
      <c r="V271">
        <f>HYPERLINK("https://klasma.github.io/Logging_0381/klagomål/A 73903-2021 FSC-klagomål.docx", "A 73903-2021")</f>
        <v/>
      </c>
      <c r="W271">
        <f>HYPERLINK("https://klasma.github.io/Logging_0381/klagomålsmail/A 73903-2021 FSC-klagomål mail.docx", "A 73903-2021")</f>
        <v/>
      </c>
      <c r="X271">
        <f>HYPERLINK("https://klasma.github.io/Logging_0381/tillsyn/A 73903-2021 tillsynsbegäran.docx", "A 73903-2021")</f>
        <v/>
      </c>
      <c r="Y271">
        <f>HYPERLINK("https://klasma.github.io/Logging_0381/tillsynsmail/A 73903-2021 tillsynsbegäran mail.docx", "A 73903-2021")</f>
        <v/>
      </c>
    </row>
    <row r="272" ht="15" customHeight="1">
      <c r="A272" t="inlineStr">
        <is>
          <t>A 1396-2022</t>
        </is>
      </c>
      <c r="B272" s="1" t="n">
        <v>44573</v>
      </c>
      <c r="C272" s="1" t="n">
        <v>45832</v>
      </c>
      <c r="D272" t="inlineStr">
        <is>
          <t>UPPSALA LÄN</t>
        </is>
      </c>
      <c r="E272" t="inlineStr">
        <is>
          <t>HEBY</t>
        </is>
      </c>
      <c r="F272" t="inlineStr">
        <is>
          <t>Allmännings- och besparingsskogar</t>
        </is>
      </c>
      <c r="G272" t="n">
        <v>2</v>
      </c>
      <c r="H272" t="n">
        <v>3</v>
      </c>
      <c r="I272" t="n">
        <v>0</v>
      </c>
      <c r="J272" t="n">
        <v>0</v>
      </c>
      <c r="K272" t="n">
        <v>0</v>
      </c>
      <c r="L272" t="n">
        <v>0</v>
      </c>
      <c r="M272" t="n">
        <v>0</v>
      </c>
      <c r="N272" t="n">
        <v>0</v>
      </c>
      <c r="O272" t="n">
        <v>0</v>
      </c>
      <c r="P272" t="n">
        <v>0</v>
      </c>
      <c r="Q272" t="n">
        <v>3</v>
      </c>
      <c r="R272" s="2" t="inlineStr">
        <is>
          <t>Åkergroda
Vanlig groda
Vanlig padda</t>
        </is>
      </c>
      <c r="S272">
        <f>HYPERLINK("https://klasma.github.io/Logging_0331/artfynd/A 1396-2022 artfynd.xlsx", "A 1396-2022")</f>
        <v/>
      </c>
      <c r="T272">
        <f>HYPERLINK("https://klasma.github.io/Logging_0331/kartor/A 1396-2022 karta.png", "A 1396-2022")</f>
        <v/>
      </c>
      <c r="V272">
        <f>HYPERLINK("https://klasma.github.io/Logging_0331/klagomål/A 1396-2022 FSC-klagomål.docx", "A 1396-2022")</f>
        <v/>
      </c>
      <c r="W272">
        <f>HYPERLINK("https://klasma.github.io/Logging_0331/klagomålsmail/A 1396-2022 FSC-klagomål mail.docx", "A 1396-2022")</f>
        <v/>
      </c>
      <c r="X272">
        <f>HYPERLINK("https://klasma.github.io/Logging_0331/tillsyn/A 1396-2022 tillsynsbegäran.docx", "A 1396-2022")</f>
        <v/>
      </c>
      <c r="Y272">
        <f>HYPERLINK("https://klasma.github.io/Logging_0331/tillsynsmail/A 1396-2022 tillsynsbegäran mail.docx", "A 1396-2022")</f>
        <v/>
      </c>
    </row>
    <row r="273" ht="15" customHeight="1">
      <c r="A273" t="inlineStr">
        <is>
          <t>A 14313-2022</t>
        </is>
      </c>
      <c r="B273" s="1" t="n">
        <v>44652</v>
      </c>
      <c r="C273" s="1" t="n">
        <v>45832</v>
      </c>
      <c r="D273" t="inlineStr">
        <is>
          <t>UPPSALA LÄN</t>
        </is>
      </c>
      <c r="E273" t="inlineStr">
        <is>
          <t>UPPSALA</t>
        </is>
      </c>
      <c r="F273" t="inlineStr">
        <is>
          <t>Holmen skog AB</t>
        </is>
      </c>
      <c r="G273" t="n">
        <v>1.7</v>
      </c>
      <c r="H273" t="n">
        <v>2</v>
      </c>
      <c r="I273" t="n">
        <v>1</v>
      </c>
      <c r="J273" t="n">
        <v>0</v>
      </c>
      <c r="K273" t="n">
        <v>0</v>
      </c>
      <c r="L273" t="n">
        <v>0</v>
      </c>
      <c r="M273" t="n">
        <v>0</v>
      </c>
      <c r="N273" t="n">
        <v>0</v>
      </c>
      <c r="O273" t="n">
        <v>0</v>
      </c>
      <c r="P273" t="n">
        <v>0</v>
      </c>
      <c r="Q273" t="n">
        <v>3</v>
      </c>
      <c r="R273" s="2" t="inlineStr">
        <is>
          <t>Vätteros
Blåsippa
Gullviva</t>
        </is>
      </c>
      <c r="S273">
        <f>HYPERLINK("https://klasma.github.io/Logging_0380/artfynd/A 14313-2022 artfynd.xlsx", "A 14313-2022")</f>
        <v/>
      </c>
      <c r="T273">
        <f>HYPERLINK("https://klasma.github.io/Logging_0380/kartor/A 14313-2022 karta.png", "A 14313-2022")</f>
        <v/>
      </c>
      <c r="V273">
        <f>HYPERLINK("https://klasma.github.io/Logging_0380/klagomål/A 14313-2022 FSC-klagomål.docx", "A 14313-2022")</f>
        <v/>
      </c>
      <c r="W273">
        <f>HYPERLINK("https://klasma.github.io/Logging_0380/klagomålsmail/A 14313-2022 FSC-klagomål mail.docx", "A 14313-2022")</f>
        <v/>
      </c>
      <c r="X273">
        <f>HYPERLINK("https://klasma.github.io/Logging_0380/tillsyn/A 14313-2022 tillsynsbegäran.docx", "A 14313-2022")</f>
        <v/>
      </c>
      <c r="Y273">
        <f>HYPERLINK("https://klasma.github.io/Logging_0380/tillsynsmail/A 14313-2022 tillsynsbegäran mail.docx", "A 14313-2022")</f>
        <v/>
      </c>
    </row>
    <row r="274" ht="15" customHeight="1">
      <c r="A274" t="inlineStr">
        <is>
          <t>A 15592-2022</t>
        </is>
      </c>
      <c r="B274" s="1" t="n">
        <v>44662</v>
      </c>
      <c r="C274" s="1" t="n">
        <v>45832</v>
      </c>
      <c r="D274" t="inlineStr">
        <is>
          <t>UPPSALA LÄN</t>
        </is>
      </c>
      <c r="E274" t="inlineStr">
        <is>
          <t>TIERP</t>
        </is>
      </c>
      <c r="F274" t="inlineStr">
        <is>
          <t>Bergvik skog väst AB</t>
        </is>
      </c>
      <c r="G274" t="n">
        <v>1.7</v>
      </c>
      <c r="H274" t="n">
        <v>2</v>
      </c>
      <c r="I274" t="n">
        <v>2</v>
      </c>
      <c r="J274" t="n">
        <v>0</v>
      </c>
      <c r="K274" t="n">
        <v>0</v>
      </c>
      <c r="L274" t="n">
        <v>0</v>
      </c>
      <c r="M274" t="n">
        <v>0</v>
      </c>
      <c r="N274" t="n">
        <v>0</v>
      </c>
      <c r="O274" t="n">
        <v>0</v>
      </c>
      <c r="P274" t="n">
        <v>0</v>
      </c>
      <c r="Q274" t="n">
        <v>3</v>
      </c>
      <c r="R274" s="2" t="inlineStr">
        <is>
          <t>Skogsknipprot
Tibast
Blåsippa</t>
        </is>
      </c>
      <c r="S274">
        <f>HYPERLINK("https://klasma.github.io/Logging_0360/artfynd/A 15592-2022 artfynd.xlsx", "A 15592-2022")</f>
        <v/>
      </c>
      <c r="T274">
        <f>HYPERLINK("https://klasma.github.io/Logging_0360/kartor/A 15592-2022 karta.png", "A 15592-2022")</f>
        <v/>
      </c>
      <c r="V274">
        <f>HYPERLINK("https://klasma.github.io/Logging_0360/klagomål/A 15592-2022 FSC-klagomål.docx", "A 15592-2022")</f>
        <v/>
      </c>
      <c r="W274">
        <f>HYPERLINK("https://klasma.github.io/Logging_0360/klagomålsmail/A 15592-2022 FSC-klagomål mail.docx", "A 15592-2022")</f>
        <v/>
      </c>
      <c r="X274">
        <f>HYPERLINK("https://klasma.github.io/Logging_0360/tillsyn/A 15592-2022 tillsynsbegäran.docx", "A 15592-2022")</f>
        <v/>
      </c>
      <c r="Y274">
        <f>HYPERLINK("https://klasma.github.io/Logging_0360/tillsynsmail/A 15592-2022 tillsynsbegäran mail.docx", "A 15592-2022")</f>
        <v/>
      </c>
    </row>
    <row r="275" ht="15" customHeight="1">
      <c r="A275" t="inlineStr">
        <is>
          <t>A 18079-2022</t>
        </is>
      </c>
      <c r="B275" s="1" t="n">
        <v>44684</v>
      </c>
      <c r="C275" s="1" t="n">
        <v>45832</v>
      </c>
      <c r="D275" t="inlineStr">
        <is>
          <t>UPPSALA LÄN</t>
        </is>
      </c>
      <c r="E275" t="inlineStr">
        <is>
          <t>UPPSALA</t>
        </is>
      </c>
      <c r="G275" t="n">
        <v>2</v>
      </c>
      <c r="H275" t="n">
        <v>0</v>
      </c>
      <c r="I275" t="n">
        <v>2</v>
      </c>
      <c r="J275" t="n">
        <v>0</v>
      </c>
      <c r="K275" t="n">
        <v>1</v>
      </c>
      <c r="L275" t="n">
        <v>0</v>
      </c>
      <c r="M275" t="n">
        <v>0</v>
      </c>
      <c r="N275" t="n">
        <v>0</v>
      </c>
      <c r="O275" t="n">
        <v>1</v>
      </c>
      <c r="P275" t="n">
        <v>1</v>
      </c>
      <c r="Q275" t="n">
        <v>3</v>
      </c>
      <c r="R275" s="2" t="inlineStr">
        <is>
          <t>Aspfjädermossa
Dvärgtufs
Skinnlav</t>
        </is>
      </c>
      <c r="S275">
        <f>HYPERLINK("https://klasma.github.io/Logging_0380/artfynd/A 18079-2022 artfynd.xlsx", "A 18079-2022")</f>
        <v/>
      </c>
      <c r="T275">
        <f>HYPERLINK("https://klasma.github.io/Logging_0380/kartor/A 18079-2022 karta.png", "A 18079-2022")</f>
        <v/>
      </c>
      <c r="V275">
        <f>HYPERLINK("https://klasma.github.io/Logging_0380/klagomål/A 18079-2022 FSC-klagomål.docx", "A 18079-2022")</f>
        <v/>
      </c>
      <c r="W275">
        <f>HYPERLINK("https://klasma.github.io/Logging_0380/klagomålsmail/A 18079-2022 FSC-klagomål mail.docx", "A 18079-2022")</f>
        <v/>
      </c>
      <c r="X275">
        <f>HYPERLINK("https://klasma.github.io/Logging_0380/tillsyn/A 18079-2022 tillsynsbegäran.docx", "A 18079-2022")</f>
        <v/>
      </c>
      <c r="Y275">
        <f>HYPERLINK("https://klasma.github.io/Logging_0380/tillsynsmail/A 18079-2022 tillsynsbegäran mail.docx", "A 18079-2022")</f>
        <v/>
      </c>
    </row>
    <row r="276" ht="15" customHeight="1">
      <c r="A276" t="inlineStr">
        <is>
          <t>A 19373-2022</t>
        </is>
      </c>
      <c r="B276" s="1" t="n">
        <v>44692</v>
      </c>
      <c r="C276" s="1" t="n">
        <v>45832</v>
      </c>
      <c r="D276" t="inlineStr">
        <is>
          <t>UPPSALA LÄN</t>
        </is>
      </c>
      <c r="E276" t="inlineStr">
        <is>
          <t>UPPSALA</t>
        </is>
      </c>
      <c r="F276" t="inlineStr">
        <is>
          <t>Bergvik skog öst AB</t>
        </is>
      </c>
      <c r="G276" t="n">
        <v>12.2</v>
      </c>
      <c r="H276" t="n">
        <v>1</v>
      </c>
      <c r="I276" t="n">
        <v>1</v>
      </c>
      <c r="J276" t="n">
        <v>0</v>
      </c>
      <c r="K276" t="n">
        <v>0</v>
      </c>
      <c r="L276" t="n">
        <v>1</v>
      </c>
      <c r="M276" t="n">
        <v>0</v>
      </c>
      <c r="N276" t="n">
        <v>0</v>
      </c>
      <c r="O276" t="n">
        <v>1</v>
      </c>
      <c r="P276" t="n">
        <v>1</v>
      </c>
      <c r="Q276" t="n">
        <v>3</v>
      </c>
      <c r="R276" s="2" t="inlineStr">
        <is>
          <t>Ask
Sårläka
Blåsippa</t>
        </is>
      </c>
      <c r="S276">
        <f>HYPERLINK("https://klasma.github.io/Logging_0380/artfynd/A 19373-2022 artfynd.xlsx", "A 19373-2022")</f>
        <v/>
      </c>
      <c r="T276">
        <f>HYPERLINK("https://klasma.github.io/Logging_0380/kartor/A 19373-2022 karta.png", "A 19373-2022")</f>
        <v/>
      </c>
      <c r="V276">
        <f>HYPERLINK("https://klasma.github.io/Logging_0380/klagomål/A 19373-2022 FSC-klagomål.docx", "A 19373-2022")</f>
        <v/>
      </c>
      <c r="W276">
        <f>HYPERLINK("https://klasma.github.io/Logging_0380/klagomålsmail/A 19373-2022 FSC-klagomål mail.docx", "A 19373-2022")</f>
        <v/>
      </c>
      <c r="X276">
        <f>HYPERLINK("https://klasma.github.io/Logging_0380/tillsyn/A 19373-2022 tillsynsbegäran.docx", "A 19373-2022")</f>
        <v/>
      </c>
      <c r="Y276">
        <f>HYPERLINK("https://klasma.github.io/Logging_0380/tillsynsmail/A 19373-2022 tillsynsbegäran mail.docx", "A 19373-2022")</f>
        <v/>
      </c>
    </row>
    <row r="277" ht="15" customHeight="1">
      <c r="A277" t="inlineStr">
        <is>
          <t>A 19960-2022</t>
        </is>
      </c>
      <c r="B277" s="1" t="n">
        <v>44697</v>
      </c>
      <c r="C277" s="1" t="n">
        <v>45832</v>
      </c>
      <c r="D277" t="inlineStr">
        <is>
          <t>UPPSALA LÄN</t>
        </is>
      </c>
      <c r="E277" t="inlineStr">
        <is>
          <t>ENKÖPING</t>
        </is>
      </c>
      <c r="G277" t="n">
        <v>3.7</v>
      </c>
      <c r="H277" t="n">
        <v>1</v>
      </c>
      <c r="I277" t="n">
        <v>0</v>
      </c>
      <c r="J277" t="n">
        <v>2</v>
      </c>
      <c r="K277" t="n">
        <v>0</v>
      </c>
      <c r="L277" t="n">
        <v>0</v>
      </c>
      <c r="M277" t="n">
        <v>0</v>
      </c>
      <c r="N277" t="n">
        <v>0</v>
      </c>
      <c r="O277" t="n">
        <v>2</v>
      </c>
      <c r="P277" t="n">
        <v>0</v>
      </c>
      <c r="Q277" t="n">
        <v>3</v>
      </c>
      <c r="R277" s="2" t="inlineStr">
        <is>
          <t>Ullticka
Vedtrappmossa
Blåsippa</t>
        </is>
      </c>
      <c r="S277">
        <f>HYPERLINK("https://klasma.github.io/Logging_0381/artfynd/A 19960-2022 artfynd.xlsx", "A 19960-2022")</f>
        <v/>
      </c>
      <c r="T277">
        <f>HYPERLINK("https://klasma.github.io/Logging_0381/kartor/A 19960-2022 karta.png", "A 19960-2022")</f>
        <v/>
      </c>
      <c r="V277">
        <f>HYPERLINK("https://klasma.github.io/Logging_0381/klagomål/A 19960-2022 FSC-klagomål.docx", "A 19960-2022")</f>
        <v/>
      </c>
      <c r="W277">
        <f>HYPERLINK("https://klasma.github.io/Logging_0381/klagomålsmail/A 19960-2022 FSC-klagomål mail.docx", "A 19960-2022")</f>
        <v/>
      </c>
      <c r="X277">
        <f>HYPERLINK("https://klasma.github.io/Logging_0381/tillsyn/A 19960-2022 tillsynsbegäran.docx", "A 19960-2022")</f>
        <v/>
      </c>
      <c r="Y277">
        <f>HYPERLINK("https://klasma.github.io/Logging_0381/tillsynsmail/A 19960-2022 tillsynsbegäran mail.docx", "A 19960-2022")</f>
        <v/>
      </c>
    </row>
    <row r="278" ht="15" customHeight="1">
      <c r="A278" t="inlineStr">
        <is>
          <t>A 26557-2022</t>
        </is>
      </c>
      <c r="B278" s="1" t="n">
        <v>44739</v>
      </c>
      <c r="C278" s="1" t="n">
        <v>45832</v>
      </c>
      <c r="D278" t="inlineStr">
        <is>
          <t>UPPSALA LÄN</t>
        </is>
      </c>
      <c r="E278" t="inlineStr">
        <is>
          <t>ÖSTHAMMAR</t>
        </is>
      </c>
      <c r="F278" t="inlineStr">
        <is>
          <t>Övriga statliga verk och myndigheter</t>
        </is>
      </c>
      <c r="G278" t="n">
        <v>1.7</v>
      </c>
      <c r="H278" t="n">
        <v>3</v>
      </c>
      <c r="I278" t="n">
        <v>0</v>
      </c>
      <c r="J278" t="n">
        <v>3</v>
      </c>
      <c r="K278" t="n">
        <v>0</v>
      </c>
      <c r="L278" t="n">
        <v>0</v>
      </c>
      <c r="M278" t="n">
        <v>0</v>
      </c>
      <c r="N278" t="n">
        <v>0</v>
      </c>
      <c r="O278" t="n">
        <v>3</v>
      </c>
      <c r="P278" t="n">
        <v>0</v>
      </c>
      <c r="Q278" t="n">
        <v>3</v>
      </c>
      <c r="R278" s="2" t="inlineStr">
        <is>
          <t>Järpe
Mindre hackspett
Spillkråka</t>
        </is>
      </c>
      <c r="S278">
        <f>HYPERLINK("https://klasma.github.io/Logging_0382/artfynd/A 26557-2022 artfynd.xlsx", "A 26557-2022")</f>
        <v/>
      </c>
      <c r="T278">
        <f>HYPERLINK("https://klasma.github.io/Logging_0382/kartor/A 26557-2022 karta.png", "A 26557-2022")</f>
        <v/>
      </c>
      <c r="V278">
        <f>HYPERLINK("https://klasma.github.io/Logging_0382/klagomål/A 26557-2022 FSC-klagomål.docx", "A 26557-2022")</f>
        <v/>
      </c>
      <c r="W278">
        <f>HYPERLINK("https://klasma.github.io/Logging_0382/klagomålsmail/A 26557-2022 FSC-klagomål mail.docx", "A 26557-2022")</f>
        <v/>
      </c>
      <c r="X278">
        <f>HYPERLINK("https://klasma.github.io/Logging_0382/tillsyn/A 26557-2022 tillsynsbegäran.docx", "A 26557-2022")</f>
        <v/>
      </c>
      <c r="Y278">
        <f>HYPERLINK("https://klasma.github.io/Logging_0382/tillsynsmail/A 26557-2022 tillsynsbegäran mail.docx", "A 26557-2022")</f>
        <v/>
      </c>
      <c r="Z278">
        <f>HYPERLINK("https://klasma.github.io/Logging_0382/fåglar/A 26557-2022 prioriterade fågelarter.docx", "A 26557-2022")</f>
        <v/>
      </c>
    </row>
    <row r="279" ht="15" customHeight="1">
      <c r="A279" t="inlineStr">
        <is>
          <t>A 34147-2022</t>
        </is>
      </c>
      <c r="B279" s="1" t="n">
        <v>44791</v>
      </c>
      <c r="C279" s="1" t="n">
        <v>45832</v>
      </c>
      <c r="D279" t="inlineStr">
        <is>
          <t>UPPSALA LÄN</t>
        </is>
      </c>
      <c r="E279" t="inlineStr">
        <is>
          <t>UPPSALA</t>
        </is>
      </c>
      <c r="G279" t="n">
        <v>1.9</v>
      </c>
      <c r="H279" t="n">
        <v>0</v>
      </c>
      <c r="I279" t="n">
        <v>2</v>
      </c>
      <c r="J279" t="n">
        <v>1</v>
      </c>
      <c r="K279" t="n">
        <v>0</v>
      </c>
      <c r="L279" t="n">
        <v>0</v>
      </c>
      <c r="M279" t="n">
        <v>0</v>
      </c>
      <c r="N279" t="n">
        <v>0</v>
      </c>
      <c r="O279" t="n">
        <v>1</v>
      </c>
      <c r="P279" t="n">
        <v>0</v>
      </c>
      <c r="Q279" t="n">
        <v>3</v>
      </c>
      <c r="R279" s="2" t="inlineStr">
        <is>
          <t>Granticka
Kamjordstjärna
Stor aspticka</t>
        </is>
      </c>
      <c r="S279">
        <f>HYPERLINK("https://klasma.github.io/Logging_0380/artfynd/A 34147-2022 artfynd.xlsx", "A 34147-2022")</f>
        <v/>
      </c>
      <c r="T279">
        <f>HYPERLINK("https://klasma.github.io/Logging_0380/kartor/A 34147-2022 karta.png", "A 34147-2022")</f>
        <v/>
      </c>
      <c r="V279">
        <f>HYPERLINK("https://klasma.github.io/Logging_0380/klagomål/A 34147-2022 FSC-klagomål.docx", "A 34147-2022")</f>
        <v/>
      </c>
      <c r="W279">
        <f>HYPERLINK("https://klasma.github.io/Logging_0380/klagomålsmail/A 34147-2022 FSC-klagomål mail.docx", "A 34147-2022")</f>
        <v/>
      </c>
      <c r="X279">
        <f>HYPERLINK("https://klasma.github.io/Logging_0380/tillsyn/A 34147-2022 tillsynsbegäran.docx", "A 34147-2022")</f>
        <v/>
      </c>
      <c r="Y279">
        <f>HYPERLINK("https://klasma.github.io/Logging_0380/tillsynsmail/A 34147-2022 tillsynsbegäran mail.docx", "A 34147-2022")</f>
        <v/>
      </c>
    </row>
    <row r="280" ht="15" customHeight="1">
      <c r="A280" t="inlineStr">
        <is>
          <t>A 36471-2022</t>
        </is>
      </c>
      <c r="B280" s="1" t="n">
        <v>44804</v>
      </c>
      <c r="C280" s="1" t="n">
        <v>45832</v>
      </c>
      <c r="D280" t="inlineStr">
        <is>
          <t>UPPSALA LÄN</t>
        </is>
      </c>
      <c r="E280" t="inlineStr">
        <is>
          <t>UPPSALA</t>
        </is>
      </c>
      <c r="G280" t="n">
        <v>4.2</v>
      </c>
      <c r="H280" t="n">
        <v>0</v>
      </c>
      <c r="I280" t="n">
        <v>3</v>
      </c>
      <c r="J280" t="n">
        <v>0</v>
      </c>
      <c r="K280" t="n">
        <v>0</v>
      </c>
      <c r="L280" t="n">
        <v>0</v>
      </c>
      <c r="M280" t="n">
        <v>0</v>
      </c>
      <c r="N280" t="n">
        <v>0</v>
      </c>
      <c r="O280" t="n">
        <v>0</v>
      </c>
      <c r="P280" t="n">
        <v>0</v>
      </c>
      <c r="Q280" t="n">
        <v>3</v>
      </c>
      <c r="R280" s="2" t="inlineStr">
        <is>
          <t>Bronshjon
Spindelbock
Stor aspticka</t>
        </is>
      </c>
      <c r="S280">
        <f>HYPERLINK("https://klasma.github.io/Logging_0380/artfynd/A 36471-2022 artfynd.xlsx", "A 36471-2022")</f>
        <v/>
      </c>
      <c r="T280">
        <f>HYPERLINK("https://klasma.github.io/Logging_0380/kartor/A 36471-2022 karta.png", "A 36471-2022")</f>
        <v/>
      </c>
      <c r="V280">
        <f>HYPERLINK("https://klasma.github.io/Logging_0380/klagomål/A 36471-2022 FSC-klagomål.docx", "A 36471-2022")</f>
        <v/>
      </c>
      <c r="W280">
        <f>HYPERLINK("https://klasma.github.io/Logging_0380/klagomålsmail/A 36471-2022 FSC-klagomål mail.docx", "A 36471-2022")</f>
        <v/>
      </c>
      <c r="X280">
        <f>HYPERLINK("https://klasma.github.io/Logging_0380/tillsyn/A 36471-2022 tillsynsbegäran.docx", "A 36471-2022")</f>
        <v/>
      </c>
      <c r="Y280">
        <f>HYPERLINK("https://klasma.github.io/Logging_0380/tillsynsmail/A 36471-2022 tillsynsbegäran mail.docx", "A 36471-2022")</f>
        <v/>
      </c>
    </row>
    <row r="281" ht="15" customHeight="1">
      <c r="A281" t="inlineStr">
        <is>
          <t>A 52951-2022</t>
        </is>
      </c>
      <c r="B281" s="1" t="n">
        <v>44875</v>
      </c>
      <c r="C281" s="1" t="n">
        <v>45832</v>
      </c>
      <c r="D281" t="inlineStr">
        <is>
          <t>UPPSALA LÄN</t>
        </is>
      </c>
      <c r="E281" t="inlineStr">
        <is>
          <t>TIERP</t>
        </is>
      </c>
      <c r="F281" t="inlineStr">
        <is>
          <t>Bergvik skog öst AB</t>
        </is>
      </c>
      <c r="G281" t="n">
        <v>13.5</v>
      </c>
      <c r="H281" t="n">
        <v>0</v>
      </c>
      <c r="I281" t="n">
        <v>3</v>
      </c>
      <c r="J281" t="n">
        <v>0</v>
      </c>
      <c r="K281" t="n">
        <v>0</v>
      </c>
      <c r="L281" t="n">
        <v>0</v>
      </c>
      <c r="M281" t="n">
        <v>0</v>
      </c>
      <c r="N281" t="n">
        <v>0</v>
      </c>
      <c r="O281" t="n">
        <v>0</v>
      </c>
      <c r="P281" t="n">
        <v>0</v>
      </c>
      <c r="Q281" t="n">
        <v>3</v>
      </c>
      <c r="R281" s="2" t="inlineStr">
        <is>
          <t>Myskmadra
Rödgul trumpetsvamp
Sårläka</t>
        </is>
      </c>
      <c r="S281">
        <f>HYPERLINK("https://klasma.github.io/Logging_0360/artfynd/A 52951-2022 artfynd.xlsx", "A 52951-2022")</f>
        <v/>
      </c>
      <c r="T281">
        <f>HYPERLINK("https://klasma.github.io/Logging_0360/kartor/A 52951-2022 karta.png", "A 52951-2022")</f>
        <v/>
      </c>
      <c r="V281">
        <f>HYPERLINK("https://klasma.github.io/Logging_0360/klagomål/A 52951-2022 FSC-klagomål.docx", "A 52951-2022")</f>
        <v/>
      </c>
      <c r="W281">
        <f>HYPERLINK("https://klasma.github.io/Logging_0360/klagomålsmail/A 52951-2022 FSC-klagomål mail.docx", "A 52951-2022")</f>
        <v/>
      </c>
      <c r="X281">
        <f>HYPERLINK("https://klasma.github.io/Logging_0360/tillsyn/A 52951-2022 tillsynsbegäran.docx", "A 52951-2022")</f>
        <v/>
      </c>
      <c r="Y281">
        <f>HYPERLINK("https://klasma.github.io/Logging_0360/tillsynsmail/A 52951-2022 tillsynsbegäran mail.docx", "A 52951-2022")</f>
        <v/>
      </c>
    </row>
    <row r="282" ht="15" customHeight="1">
      <c r="A282" t="inlineStr">
        <is>
          <t>A 4586-2023</t>
        </is>
      </c>
      <c r="B282" s="1" t="n">
        <v>44956</v>
      </c>
      <c r="C282" s="1" t="n">
        <v>45832</v>
      </c>
      <c r="D282" t="inlineStr">
        <is>
          <t>UPPSALA LÄN</t>
        </is>
      </c>
      <c r="E282" t="inlineStr">
        <is>
          <t>UPPSALA</t>
        </is>
      </c>
      <c r="G282" t="n">
        <v>12.2</v>
      </c>
      <c r="H282" t="n">
        <v>1</v>
      </c>
      <c r="I282" t="n">
        <v>2</v>
      </c>
      <c r="J282" t="n">
        <v>0</v>
      </c>
      <c r="K282" t="n">
        <v>0</v>
      </c>
      <c r="L282" t="n">
        <v>0</v>
      </c>
      <c r="M282" t="n">
        <v>0</v>
      </c>
      <c r="N282" t="n">
        <v>0</v>
      </c>
      <c r="O282" t="n">
        <v>0</v>
      </c>
      <c r="P282" t="n">
        <v>0</v>
      </c>
      <c r="Q282" t="n">
        <v>3</v>
      </c>
      <c r="R282" s="2" t="inlineStr">
        <is>
          <t>Barkticka
Vedticka
Vanlig padda</t>
        </is>
      </c>
      <c r="S282">
        <f>HYPERLINK("https://klasma.github.io/Logging_0380/artfynd/A 4586-2023 artfynd.xlsx", "A 4586-2023")</f>
        <v/>
      </c>
      <c r="T282">
        <f>HYPERLINK("https://klasma.github.io/Logging_0380/kartor/A 4586-2023 karta.png", "A 4586-2023")</f>
        <v/>
      </c>
      <c r="V282">
        <f>HYPERLINK("https://klasma.github.io/Logging_0380/klagomål/A 4586-2023 FSC-klagomål.docx", "A 4586-2023")</f>
        <v/>
      </c>
      <c r="W282">
        <f>HYPERLINK("https://klasma.github.io/Logging_0380/klagomålsmail/A 4586-2023 FSC-klagomål mail.docx", "A 4586-2023")</f>
        <v/>
      </c>
      <c r="X282">
        <f>HYPERLINK("https://klasma.github.io/Logging_0380/tillsyn/A 4586-2023 tillsynsbegäran.docx", "A 4586-2023")</f>
        <v/>
      </c>
      <c r="Y282">
        <f>HYPERLINK("https://klasma.github.io/Logging_0380/tillsynsmail/A 4586-2023 tillsynsbegäran mail.docx", "A 4586-2023")</f>
        <v/>
      </c>
    </row>
    <row r="283" ht="15" customHeight="1">
      <c r="A283" t="inlineStr">
        <is>
          <t>A 7366-2023</t>
        </is>
      </c>
      <c r="B283" s="1" t="n">
        <v>44966</v>
      </c>
      <c r="C283" s="1" t="n">
        <v>45832</v>
      </c>
      <c r="D283" t="inlineStr">
        <is>
          <t>UPPSALA LÄN</t>
        </is>
      </c>
      <c r="E283" t="inlineStr">
        <is>
          <t>TIERP</t>
        </is>
      </c>
      <c r="G283" t="n">
        <v>10.3</v>
      </c>
      <c r="H283" t="n">
        <v>2</v>
      </c>
      <c r="I283" t="n">
        <v>1</v>
      </c>
      <c r="J283" t="n">
        <v>0</v>
      </c>
      <c r="K283" t="n">
        <v>1</v>
      </c>
      <c r="L283" t="n">
        <v>0</v>
      </c>
      <c r="M283" t="n">
        <v>0</v>
      </c>
      <c r="N283" t="n">
        <v>0</v>
      </c>
      <c r="O283" t="n">
        <v>1</v>
      </c>
      <c r="P283" t="n">
        <v>1</v>
      </c>
      <c r="Q283" t="n">
        <v>3</v>
      </c>
      <c r="R283" s="2" t="inlineStr">
        <is>
          <t>Knärot
Grönpyrola
Revlummer</t>
        </is>
      </c>
      <c r="S283">
        <f>HYPERLINK("https://klasma.github.io/Logging_0360/artfynd/A 7366-2023 artfynd.xlsx", "A 7366-2023")</f>
        <v/>
      </c>
      <c r="T283">
        <f>HYPERLINK("https://klasma.github.io/Logging_0360/kartor/A 7366-2023 karta.png", "A 7366-2023")</f>
        <v/>
      </c>
      <c r="U283">
        <f>HYPERLINK("https://klasma.github.io/Logging_0360/knärot/A 7366-2023 karta knärot.png", "A 7366-2023")</f>
        <v/>
      </c>
      <c r="V283">
        <f>HYPERLINK("https://klasma.github.io/Logging_0360/klagomål/A 7366-2023 FSC-klagomål.docx", "A 7366-2023")</f>
        <v/>
      </c>
      <c r="W283">
        <f>HYPERLINK("https://klasma.github.io/Logging_0360/klagomålsmail/A 7366-2023 FSC-klagomål mail.docx", "A 7366-2023")</f>
        <v/>
      </c>
      <c r="X283">
        <f>HYPERLINK("https://klasma.github.io/Logging_0360/tillsyn/A 7366-2023 tillsynsbegäran.docx", "A 7366-2023")</f>
        <v/>
      </c>
      <c r="Y283">
        <f>HYPERLINK("https://klasma.github.io/Logging_0360/tillsynsmail/A 7366-2023 tillsynsbegäran mail.docx", "A 7366-2023")</f>
        <v/>
      </c>
    </row>
    <row r="284" ht="15" customHeight="1">
      <c r="A284" t="inlineStr">
        <is>
          <t>A 6832-2023</t>
        </is>
      </c>
      <c r="B284" s="1" t="n">
        <v>44967</v>
      </c>
      <c r="C284" s="1" t="n">
        <v>45832</v>
      </c>
      <c r="D284" t="inlineStr">
        <is>
          <t>UPPSALA LÄN</t>
        </is>
      </c>
      <c r="E284" t="inlineStr">
        <is>
          <t>ÄLVKARLEBY</t>
        </is>
      </c>
      <c r="F284" t="inlineStr">
        <is>
          <t>Bergvik skog väst AB</t>
        </is>
      </c>
      <c r="G284" t="n">
        <v>8.9</v>
      </c>
      <c r="H284" t="n">
        <v>1</v>
      </c>
      <c r="I284" t="n">
        <v>0</v>
      </c>
      <c r="J284" t="n">
        <v>1</v>
      </c>
      <c r="K284" t="n">
        <v>2</v>
      </c>
      <c r="L284" t="n">
        <v>0</v>
      </c>
      <c r="M284" t="n">
        <v>0</v>
      </c>
      <c r="N284" t="n">
        <v>0</v>
      </c>
      <c r="O284" t="n">
        <v>3</v>
      </c>
      <c r="P284" t="n">
        <v>2</v>
      </c>
      <c r="Q284" t="n">
        <v>3</v>
      </c>
      <c r="R284" s="2" t="inlineStr">
        <is>
          <t>Grangråticka
Koppartaggsvamp
Grönsångare</t>
        </is>
      </c>
      <c r="S284">
        <f>HYPERLINK("https://klasma.github.io/Logging_0319/artfynd/A 6832-2023 artfynd.xlsx", "A 6832-2023")</f>
        <v/>
      </c>
      <c r="T284">
        <f>HYPERLINK("https://klasma.github.io/Logging_0319/kartor/A 6832-2023 karta.png", "A 6832-2023")</f>
        <v/>
      </c>
      <c r="V284">
        <f>HYPERLINK("https://klasma.github.io/Logging_0319/klagomål/A 6832-2023 FSC-klagomål.docx", "A 6832-2023")</f>
        <v/>
      </c>
      <c r="W284">
        <f>HYPERLINK("https://klasma.github.io/Logging_0319/klagomålsmail/A 6832-2023 FSC-klagomål mail.docx", "A 6832-2023")</f>
        <v/>
      </c>
      <c r="X284">
        <f>HYPERLINK("https://klasma.github.io/Logging_0319/tillsyn/A 6832-2023 tillsynsbegäran.docx", "A 6832-2023")</f>
        <v/>
      </c>
      <c r="Y284">
        <f>HYPERLINK("https://klasma.github.io/Logging_0319/tillsynsmail/A 6832-2023 tillsynsbegäran mail.docx", "A 6832-2023")</f>
        <v/>
      </c>
      <c r="Z284">
        <f>HYPERLINK("https://klasma.github.io/Logging_0319/fåglar/A 6832-2023 prioriterade fågelarter.docx", "A 6832-2023")</f>
        <v/>
      </c>
    </row>
    <row r="285" ht="15" customHeight="1">
      <c r="A285" t="inlineStr">
        <is>
          <t>A 7309-2023</t>
        </is>
      </c>
      <c r="B285" s="1" t="n">
        <v>44970</v>
      </c>
      <c r="C285" s="1" t="n">
        <v>45832</v>
      </c>
      <c r="D285" t="inlineStr">
        <is>
          <t>UPPSALA LÄN</t>
        </is>
      </c>
      <c r="E285" t="inlineStr">
        <is>
          <t>TIERP</t>
        </is>
      </c>
      <c r="F285" t="inlineStr">
        <is>
          <t>Bergvik skog öst AB</t>
        </is>
      </c>
      <c r="G285" t="n">
        <v>13.7</v>
      </c>
      <c r="H285" t="n">
        <v>3</v>
      </c>
      <c r="I285" t="n">
        <v>1</v>
      </c>
      <c r="J285" t="n">
        <v>0</v>
      </c>
      <c r="K285" t="n">
        <v>0</v>
      </c>
      <c r="L285" t="n">
        <v>0</v>
      </c>
      <c r="M285" t="n">
        <v>0</v>
      </c>
      <c r="N285" t="n">
        <v>0</v>
      </c>
      <c r="O285" t="n">
        <v>0</v>
      </c>
      <c r="P285" t="n">
        <v>0</v>
      </c>
      <c r="Q285" t="n">
        <v>3</v>
      </c>
      <c r="R285" s="2" t="inlineStr">
        <is>
          <t>Skogsknipprot
Blåsippa
Revlummer</t>
        </is>
      </c>
      <c r="S285">
        <f>HYPERLINK("https://klasma.github.io/Logging_0360/artfynd/A 7309-2023 artfynd.xlsx", "A 7309-2023")</f>
        <v/>
      </c>
      <c r="T285">
        <f>HYPERLINK("https://klasma.github.io/Logging_0360/kartor/A 7309-2023 karta.png", "A 7309-2023")</f>
        <v/>
      </c>
      <c r="V285">
        <f>HYPERLINK("https://klasma.github.io/Logging_0360/klagomål/A 7309-2023 FSC-klagomål.docx", "A 7309-2023")</f>
        <v/>
      </c>
      <c r="W285">
        <f>HYPERLINK("https://klasma.github.io/Logging_0360/klagomålsmail/A 7309-2023 FSC-klagomål mail.docx", "A 7309-2023")</f>
        <v/>
      </c>
      <c r="X285">
        <f>HYPERLINK("https://klasma.github.io/Logging_0360/tillsyn/A 7309-2023 tillsynsbegäran.docx", "A 7309-2023")</f>
        <v/>
      </c>
      <c r="Y285">
        <f>HYPERLINK("https://klasma.github.io/Logging_0360/tillsynsmail/A 7309-2023 tillsynsbegäran mail.docx", "A 7309-2023")</f>
        <v/>
      </c>
    </row>
    <row r="286" ht="15" customHeight="1">
      <c r="A286" t="inlineStr">
        <is>
          <t>A 7752-2023</t>
        </is>
      </c>
      <c r="B286" s="1" t="n">
        <v>44973</v>
      </c>
      <c r="C286" s="1" t="n">
        <v>45832</v>
      </c>
      <c r="D286" t="inlineStr">
        <is>
          <t>UPPSALA LÄN</t>
        </is>
      </c>
      <c r="E286" t="inlineStr">
        <is>
          <t>UPPSALA</t>
        </is>
      </c>
      <c r="F286" t="inlineStr">
        <is>
          <t>Sveaskog</t>
        </is>
      </c>
      <c r="G286" t="n">
        <v>0.6</v>
      </c>
      <c r="H286" t="n">
        <v>1</v>
      </c>
      <c r="I286" t="n">
        <v>2</v>
      </c>
      <c r="J286" t="n">
        <v>0</v>
      </c>
      <c r="K286" t="n">
        <v>0</v>
      </c>
      <c r="L286" t="n">
        <v>0</v>
      </c>
      <c r="M286" t="n">
        <v>0</v>
      </c>
      <c r="N286" t="n">
        <v>0</v>
      </c>
      <c r="O286" t="n">
        <v>0</v>
      </c>
      <c r="P286" t="n">
        <v>0</v>
      </c>
      <c r="Q286" t="n">
        <v>3</v>
      </c>
      <c r="R286" s="2" t="inlineStr">
        <is>
          <t>Fjällig taggsvamp s.str.
Skogshakmossa
Blåsippa</t>
        </is>
      </c>
      <c r="S286">
        <f>HYPERLINK("https://klasma.github.io/Logging_0380/artfynd/A 7752-2023 artfynd.xlsx", "A 7752-2023")</f>
        <v/>
      </c>
      <c r="T286">
        <f>HYPERLINK("https://klasma.github.io/Logging_0380/kartor/A 7752-2023 karta.png", "A 7752-2023")</f>
        <v/>
      </c>
      <c r="V286">
        <f>HYPERLINK("https://klasma.github.io/Logging_0380/klagomål/A 7752-2023 FSC-klagomål.docx", "A 7752-2023")</f>
        <v/>
      </c>
      <c r="W286">
        <f>HYPERLINK("https://klasma.github.io/Logging_0380/klagomålsmail/A 7752-2023 FSC-klagomål mail.docx", "A 7752-2023")</f>
        <v/>
      </c>
      <c r="X286">
        <f>HYPERLINK("https://klasma.github.io/Logging_0380/tillsyn/A 7752-2023 tillsynsbegäran.docx", "A 7752-2023")</f>
        <v/>
      </c>
      <c r="Y286">
        <f>HYPERLINK("https://klasma.github.io/Logging_0380/tillsynsmail/A 7752-2023 tillsynsbegäran mail.docx", "A 7752-2023")</f>
        <v/>
      </c>
    </row>
    <row r="287" ht="15" customHeight="1">
      <c r="A287" t="inlineStr">
        <is>
          <t>A 9706-2023</t>
        </is>
      </c>
      <c r="B287" s="1" t="n">
        <v>44984</v>
      </c>
      <c r="C287" s="1" t="n">
        <v>45832</v>
      </c>
      <c r="D287" t="inlineStr">
        <is>
          <t>UPPSALA LÄN</t>
        </is>
      </c>
      <c r="E287" t="inlineStr">
        <is>
          <t>TIERP</t>
        </is>
      </c>
      <c r="F287" t="inlineStr">
        <is>
          <t>Bergvik skog öst AB</t>
        </is>
      </c>
      <c r="G287" t="n">
        <v>12.2</v>
      </c>
      <c r="H287" t="n">
        <v>1</v>
      </c>
      <c r="I287" t="n">
        <v>2</v>
      </c>
      <c r="J287" t="n">
        <v>1</v>
      </c>
      <c r="K287" t="n">
        <v>0</v>
      </c>
      <c r="L287" t="n">
        <v>0</v>
      </c>
      <c r="M287" t="n">
        <v>0</v>
      </c>
      <c r="N287" t="n">
        <v>0</v>
      </c>
      <c r="O287" t="n">
        <v>1</v>
      </c>
      <c r="P287" t="n">
        <v>0</v>
      </c>
      <c r="Q287" t="n">
        <v>3</v>
      </c>
      <c r="R287" s="2" t="inlineStr">
        <is>
          <t>Klasefibbla
Rödgul trumpetsvamp
Skogsknipprot</t>
        </is>
      </c>
      <c r="S287">
        <f>HYPERLINK("https://klasma.github.io/Logging_0360/artfynd/A 9706-2023 artfynd.xlsx", "A 9706-2023")</f>
        <v/>
      </c>
      <c r="T287">
        <f>HYPERLINK("https://klasma.github.io/Logging_0360/kartor/A 9706-2023 karta.png", "A 9706-2023")</f>
        <v/>
      </c>
      <c r="V287">
        <f>HYPERLINK("https://klasma.github.io/Logging_0360/klagomål/A 9706-2023 FSC-klagomål.docx", "A 9706-2023")</f>
        <v/>
      </c>
      <c r="W287">
        <f>HYPERLINK("https://klasma.github.io/Logging_0360/klagomålsmail/A 9706-2023 FSC-klagomål mail.docx", "A 9706-2023")</f>
        <v/>
      </c>
      <c r="X287">
        <f>HYPERLINK("https://klasma.github.io/Logging_0360/tillsyn/A 9706-2023 tillsynsbegäran.docx", "A 9706-2023")</f>
        <v/>
      </c>
      <c r="Y287">
        <f>HYPERLINK("https://klasma.github.io/Logging_0360/tillsynsmail/A 9706-2023 tillsynsbegäran mail.docx", "A 9706-2023")</f>
        <v/>
      </c>
    </row>
    <row r="288" ht="15" customHeight="1">
      <c r="A288" t="inlineStr">
        <is>
          <t>A 9683-2023</t>
        </is>
      </c>
      <c r="B288" s="1" t="n">
        <v>44984</v>
      </c>
      <c r="C288" s="1" t="n">
        <v>45832</v>
      </c>
      <c r="D288" t="inlineStr">
        <is>
          <t>UPPSALA LÄN</t>
        </is>
      </c>
      <c r="E288" t="inlineStr">
        <is>
          <t>ÖSTHAMMAR</t>
        </is>
      </c>
      <c r="G288" t="n">
        <v>4</v>
      </c>
      <c r="H288" t="n">
        <v>3</v>
      </c>
      <c r="I288" t="n">
        <v>1</v>
      </c>
      <c r="J288" t="n">
        <v>0</v>
      </c>
      <c r="K288" t="n">
        <v>0</v>
      </c>
      <c r="L288" t="n">
        <v>0</v>
      </c>
      <c r="M288" t="n">
        <v>0</v>
      </c>
      <c r="N288" t="n">
        <v>0</v>
      </c>
      <c r="O288" t="n">
        <v>0</v>
      </c>
      <c r="P288" t="n">
        <v>0</v>
      </c>
      <c r="Q288" t="n">
        <v>3</v>
      </c>
      <c r="R288" s="2" t="inlineStr">
        <is>
          <t>Tvåblad
Blåsippa
Gullviva</t>
        </is>
      </c>
      <c r="S288">
        <f>HYPERLINK("https://klasma.github.io/Logging_0382/artfynd/A 9683-2023 artfynd.xlsx", "A 9683-2023")</f>
        <v/>
      </c>
      <c r="T288">
        <f>HYPERLINK("https://klasma.github.io/Logging_0382/kartor/A 9683-2023 karta.png", "A 9683-2023")</f>
        <v/>
      </c>
      <c r="V288">
        <f>HYPERLINK("https://klasma.github.io/Logging_0382/klagomål/A 9683-2023 FSC-klagomål.docx", "A 9683-2023")</f>
        <v/>
      </c>
      <c r="W288">
        <f>HYPERLINK("https://klasma.github.io/Logging_0382/klagomålsmail/A 9683-2023 FSC-klagomål mail.docx", "A 9683-2023")</f>
        <v/>
      </c>
      <c r="X288">
        <f>HYPERLINK("https://klasma.github.io/Logging_0382/tillsyn/A 9683-2023 tillsynsbegäran.docx", "A 9683-2023")</f>
        <v/>
      </c>
      <c r="Y288">
        <f>HYPERLINK("https://klasma.github.io/Logging_0382/tillsynsmail/A 9683-2023 tillsynsbegäran mail.docx", "A 9683-2023")</f>
        <v/>
      </c>
    </row>
    <row r="289" ht="15" customHeight="1">
      <c r="A289" t="inlineStr">
        <is>
          <t>A 12485-2023</t>
        </is>
      </c>
      <c r="B289" s="1" t="n">
        <v>44998</v>
      </c>
      <c r="C289" s="1" t="n">
        <v>45832</v>
      </c>
      <c r="D289" t="inlineStr">
        <is>
          <t>UPPSALA LÄN</t>
        </is>
      </c>
      <c r="E289" t="inlineStr">
        <is>
          <t>ÖSTHAMMAR</t>
        </is>
      </c>
      <c r="G289" t="n">
        <v>4.3</v>
      </c>
      <c r="H289" t="n">
        <v>0</v>
      </c>
      <c r="I289" t="n">
        <v>0</v>
      </c>
      <c r="J289" t="n">
        <v>3</v>
      </c>
      <c r="K289" t="n">
        <v>0</v>
      </c>
      <c r="L289" t="n">
        <v>0</v>
      </c>
      <c r="M289" t="n">
        <v>0</v>
      </c>
      <c r="N289" t="n">
        <v>0</v>
      </c>
      <c r="O289" t="n">
        <v>3</v>
      </c>
      <c r="P289" t="n">
        <v>0</v>
      </c>
      <c r="Q289" t="n">
        <v>3</v>
      </c>
      <c r="R289" s="2" t="inlineStr">
        <is>
          <t>Backklöver
Slåtterfibbla
Solvända</t>
        </is>
      </c>
      <c r="S289">
        <f>HYPERLINK("https://klasma.github.io/Logging_0382/artfynd/A 12485-2023 artfynd.xlsx", "A 12485-2023")</f>
        <v/>
      </c>
      <c r="T289">
        <f>HYPERLINK("https://klasma.github.io/Logging_0382/kartor/A 12485-2023 karta.png", "A 12485-2023")</f>
        <v/>
      </c>
      <c r="V289">
        <f>HYPERLINK("https://klasma.github.io/Logging_0382/klagomål/A 12485-2023 FSC-klagomål.docx", "A 12485-2023")</f>
        <v/>
      </c>
      <c r="W289">
        <f>HYPERLINK("https://klasma.github.io/Logging_0382/klagomålsmail/A 12485-2023 FSC-klagomål mail.docx", "A 12485-2023")</f>
        <v/>
      </c>
      <c r="X289">
        <f>HYPERLINK("https://klasma.github.io/Logging_0382/tillsyn/A 12485-2023 tillsynsbegäran.docx", "A 12485-2023")</f>
        <v/>
      </c>
      <c r="Y289">
        <f>HYPERLINK("https://klasma.github.io/Logging_0382/tillsynsmail/A 12485-2023 tillsynsbegäran mail.docx", "A 12485-2023")</f>
        <v/>
      </c>
    </row>
    <row r="290" ht="15" customHeight="1">
      <c r="A290" t="inlineStr">
        <is>
          <t>A 13120-2023</t>
        </is>
      </c>
      <c r="B290" s="1" t="n">
        <v>45002</v>
      </c>
      <c r="C290" s="1" t="n">
        <v>45832</v>
      </c>
      <c r="D290" t="inlineStr">
        <is>
          <t>UPPSALA LÄN</t>
        </is>
      </c>
      <c r="E290" t="inlineStr">
        <is>
          <t>ÖSTHAMMAR</t>
        </is>
      </c>
      <c r="G290" t="n">
        <v>5.8</v>
      </c>
      <c r="H290" t="n">
        <v>0</v>
      </c>
      <c r="I290" t="n">
        <v>3</v>
      </c>
      <c r="J290" t="n">
        <v>0</v>
      </c>
      <c r="K290" t="n">
        <v>0</v>
      </c>
      <c r="L290" t="n">
        <v>0</v>
      </c>
      <c r="M290" t="n">
        <v>0</v>
      </c>
      <c r="N290" t="n">
        <v>0</v>
      </c>
      <c r="O290" t="n">
        <v>0</v>
      </c>
      <c r="P290" t="n">
        <v>0</v>
      </c>
      <c r="Q290" t="n">
        <v>3</v>
      </c>
      <c r="R290" s="2" t="inlineStr">
        <is>
          <t>Anisspindling
Olivspindling
Rödgul trumpetsvamp</t>
        </is>
      </c>
      <c r="S290">
        <f>HYPERLINK("https://klasma.github.io/Logging_0382/artfynd/A 13120-2023 artfynd.xlsx", "A 13120-2023")</f>
        <v/>
      </c>
      <c r="T290">
        <f>HYPERLINK("https://klasma.github.io/Logging_0382/kartor/A 13120-2023 karta.png", "A 13120-2023")</f>
        <v/>
      </c>
      <c r="V290">
        <f>HYPERLINK("https://klasma.github.io/Logging_0382/klagomål/A 13120-2023 FSC-klagomål.docx", "A 13120-2023")</f>
        <v/>
      </c>
      <c r="W290">
        <f>HYPERLINK("https://klasma.github.io/Logging_0382/klagomålsmail/A 13120-2023 FSC-klagomål mail.docx", "A 13120-2023")</f>
        <v/>
      </c>
      <c r="X290">
        <f>HYPERLINK("https://klasma.github.io/Logging_0382/tillsyn/A 13120-2023 tillsynsbegäran.docx", "A 13120-2023")</f>
        <v/>
      </c>
      <c r="Y290">
        <f>HYPERLINK("https://klasma.github.io/Logging_0382/tillsynsmail/A 13120-2023 tillsynsbegäran mail.docx", "A 13120-2023")</f>
        <v/>
      </c>
    </row>
    <row r="291" ht="15" customHeight="1">
      <c r="A291" t="inlineStr">
        <is>
          <t>A 15179-2023</t>
        </is>
      </c>
      <c r="B291" s="1" t="n">
        <v>45016</v>
      </c>
      <c r="C291" s="1" t="n">
        <v>45832</v>
      </c>
      <c r="D291" t="inlineStr">
        <is>
          <t>UPPSALA LÄN</t>
        </is>
      </c>
      <c r="E291" t="inlineStr">
        <is>
          <t>ÖSTHAMMAR</t>
        </is>
      </c>
      <c r="G291" t="n">
        <v>6.1</v>
      </c>
      <c r="H291" t="n">
        <v>1</v>
      </c>
      <c r="I291" t="n">
        <v>3</v>
      </c>
      <c r="J291" t="n">
        <v>0</v>
      </c>
      <c r="K291" t="n">
        <v>0</v>
      </c>
      <c r="L291" t="n">
        <v>0</v>
      </c>
      <c r="M291" t="n">
        <v>0</v>
      </c>
      <c r="N291" t="n">
        <v>0</v>
      </c>
      <c r="O291" t="n">
        <v>0</v>
      </c>
      <c r="P291" t="n">
        <v>0</v>
      </c>
      <c r="Q291" t="n">
        <v>3</v>
      </c>
      <c r="R291" s="2" t="inlineStr">
        <is>
          <t>Skogsknipprot
Tibast
Vårärt</t>
        </is>
      </c>
      <c r="S291">
        <f>HYPERLINK("https://klasma.github.io/Logging_0382/artfynd/A 15179-2023 artfynd.xlsx", "A 15179-2023")</f>
        <v/>
      </c>
      <c r="T291">
        <f>HYPERLINK("https://klasma.github.io/Logging_0382/kartor/A 15179-2023 karta.png", "A 15179-2023")</f>
        <v/>
      </c>
      <c r="V291">
        <f>HYPERLINK("https://klasma.github.io/Logging_0382/klagomål/A 15179-2023 FSC-klagomål.docx", "A 15179-2023")</f>
        <v/>
      </c>
      <c r="W291">
        <f>HYPERLINK("https://klasma.github.io/Logging_0382/klagomålsmail/A 15179-2023 FSC-klagomål mail.docx", "A 15179-2023")</f>
        <v/>
      </c>
      <c r="X291">
        <f>HYPERLINK("https://klasma.github.io/Logging_0382/tillsyn/A 15179-2023 tillsynsbegäran.docx", "A 15179-2023")</f>
        <v/>
      </c>
      <c r="Y291">
        <f>HYPERLINK("https://klasma.github.io/Logging_0382/tillsynsmail/A 15179-2023 tillsynsbegäran mail.docx", "A 15179-2023")</f>
        <v/>
      </c>
    </row>
    <row r="292" ht="15" customHeight="1">
      <c r="A292" t="inlineStr">
        <is>
          <t>A 19884-2023</t>
        </is>
      </c>
      <c r="B292" s="1" t="n">
        <v>45054</v>
      </c>
      <c r="C292" s="1" t="n">
        <v>45832</v>
      </c>
      <c r="D292" t="inlineStr">
        <is>
          <t>UPPSALA LÄN</t>
        </is>
      </c>
      <c r="E292" t="inlineStr">
        <is>
          <t>ÖSTHAMMAR</t>
        </is>
      </c>
      <c r="G292" t="n">
        <v>2.5</v>
      </c>
      <c r="H292" t="n">
        <v>3</v>
      </c>
      <c r="I292" t="n">
        <v>0</v>
      </c>
      <c r="J292" t="n">
        <v>2</v>
      </c>
      <c r="K292" t="n">
        <v>0</v>
      </c>
      <c r="L292" t="n">
        <v>1</v>
      </c>
      <c r="M292" t="n">
        <v>0</v>
      </c>
      <c r="N292" t="n">
        <v>0</v>
      </c>
      <c r="O292" t="n">
        <v>3</v>
      </c>
      <c r="P292" t="n">
        <v>1</v>
      </c>
      <c r="Q292" t="n">
        <v>3</v>
      </c>
      <c r="R292" s="2" t="inlineStr">
        <is>
          <t>Grönfink
Grönsångare
Rödvingetrast</t>
        </is>
      </c>
      <c r="S292">
        <f>HYPERLINK("https://klasma.github.io/Logging_0382/artfynd/A 19884-2023 artfynd.xlsx", "A 19884-2023")</f>
        <v/>
      </c>
      <c r="T292">
        <f>HYPERLINK("https://klasma.github.io/Logging_0382/kartor/A 19884-2023 karta.png", "A 19884-2023")</f>
        <v/>
      </c>
      <c r="V292">
        <f>HYPERLINK("https://klasma.github.io/Logging_0382/klagomål/A 19884-2023 FSC-klagomål.docx", "A 19884-2023")</f>
        <v/>
      </c>
      <c r="W292">
        <f>HYPERLINK("https://klasma.github.io/Logging_0382/klagomålsmail/A 19884-2023 FSC-klagomål mail.docx", "A 19884-2023")</f>
        <v/>
      </c>
      <c r="X292">
        <f>HYPERLINK("https://klasma.github.io/Logging_0382/tillsyn/A 19884-2023 tillsynsbegäran.docx", "A 19884-2023")</f>
        <v/>
      </c>
      <c r="Y292">
        <f>HYPERLINK("https://klasma.github.io/Logging_0382/tillsynsmail/A 19884-2023 tillsynsbegäran mail.docx", "A 19884-2023")</f>
        <v/>
      </c>
      <c r="Z292">
        <f>HYPERLINK("https://klasma.github.io/Logging_0382/fåglar/A 19884-2023 prioriterade fågelarter.docx", "A 19884-2023")</f>
        <v/>
      </c>
    </row>
    <row r="293" ht="15" customHeight="1">
      <c r="A293" t="inlineStr">
        <is>
          <t>A 20115-2023</t>
        </is>
      </c>
      <c r="B293" s="1" t="n">
        <v>45055</v>
      </c>
      <c r="C293" s="1" t="n">
        <v>45832</v>
      </c>
      <c r="D293" t="inlineStr">
        <is>
          <t>UPPSALA LÄN</t>
        </is>
      </c>
      <c r="E293" t="inlineStr">
        <is>
          <t>ÖSTHAMMAR</t>
        </is>
      </c>
      <c r="G293" t="n">
        <v>13.4</v>
      </c>
      <c r="H293" t="n">
        <v>0</v>
      </c>
      <c r="I293" t="n">
        <v>0</v>
      </c>
      <c r="J293" t="n">
        <v>3</v>
      </c>
      <c r="K293" t="n">
        <v>0</v>
      </c>
      <c r="L293" t="n">
        <v>0</v>
      </c>
      <c r="M293" t="n">
        <v>0</v>
      </c>
      <c r="N293" t="n">
        <v>0</v>
      </c>
      <c r="O293" t="n">
        <v>3</v>
      </c>
      <c r="P293" t="n">
        <v>0</v>
      </c>
      <c r="Q293" t="n">
        <v>3</v>
      </c>
      <c r="R293" s="2" t="inlineStr">
        <is>
          <t>Grantaggsvamp
Leopardsköldbagge
Orange taggsvamp</t>
        </is>
      </c>
      <c r="S293">
        <f>HYPERLINK("https://klasma.github.io/Logging_0382/artfynd/A 20115-2023 artfynd.xlsx", "A 20115-2023")</f>
        <v/>
      </c>
      <c r="T293">
        <f>HYPERLINK("https://klasma.github.io/Logging_0382/kartor/A 20115-2023 karta.png", "A 20115-2023")</f>
        <v/>
      </c>
      <c r="U293">
        <f>HYPERLINK("https://klasma.github.io/Logging_0382/knärot/A 20115-2023 karta knärot.png", "A 20115-2023")</f>
        <v/>
      </c>
      <c r="V293">
        <f>HYPERLINK("https://klasma.github.io/Logging_0382/klagomål/A 20115-2023 FSC-klagomål.docx", "A 20115-2023")</f>
        <v/>
      </c>
      <c r="W293">
        <f>HYPERLINK("https://klasma.github.io/Logging_0382/klagomålsmail/A 20115-2023 FSC-klagomål mail.docx", "A 20115-2023")</f>
        <v/>
      </c>
      <c r="X293">
        <f>HYPERLINK("https://klasma.github.io/Logging_0382/tillsyn/A 20115-2023 tillsynsbegäran.docx", "A 20115-2023")</f>
        <v/>
      </c>
      <c r="Y293">
        <f>HYPERLINK("https://klasma.github.io/Logging_0382/tillsynsmail/A 20115-2023 tillsynsbegäran mail.docx", "A 20115-2023")</f>
        <v/>
      </c>
    </row>
    <row r="294" ht="15" customHeight="1">
      <c r="A294" t="inlineStr">
        <is>
          <t>A 25724-2023</t>
        </is>
      </c>
      <c r="B294" s="1" t="n">
        <v>45090</v>
      </c>
      <c r="C294" s="1" t="n">
        <v>45832</v>
      </c>
      <c r="D294" t="inlineStr">
        <is>
          <t>UPPSALA LÄN</t>
        </is>
      </c>
      <c r="E294" t="inlineStr">
        <is>
          <t>ÄLVKARLEBY</t>
        </is>
      </c>
      <c r="F294" t="inlineStr">
        <is>
          <t>Bergvik skog väst AB</t>
        </is>
      </c>
      <c r="G294" t="n">
        <v>18.6</v>
      </c>
      <c r="H294" t="n">
        <v>1</v>
      </c>
      <c r="I294" t="n">
        <v>2</v>
      </c>
      <c r="J294" t="n">
        <v>0</v>
      </c>
      <c r="K294" t="n">
        <v>1</v>
      </c>
      <c r="L294" t="n">
        <v>0</v>
      </c>
      <c r="M294" t="n">
        <v>0</v>
      </c>
      <c r="N294" t="n">
        <v>0</v>
      </c>
      <c r="O294" t="n">
        <v>1</v>
      </c>
      <c r="P294" t="n">
        <v>1</v>
      </c>
      <c r="Q294" t="n">
        <v>3</v>
      </c>
      <c r="R294" s="2" t="inlineStr">
        <is>
          <t>Väddnätfjäril
Anisspindling
Tibast</t>
        </is>
      </c>
      <c r="S294">
        <f>HYPERLINK("https://klasma.github.io/Logging_0319/artfynd/A 25724-2023 artfynd.xlsx", "A 25724-2023")</f>
        <v/>
      </c>
      <c r="T294">
        <f>HYPERLINK("https://klasma.github.io/Logging_0319/kartor/A 25724-2023 karta.png", "A 25724-2023")</f>
        <v/>
      </c>
      <c r="V294">
        <f>HYPERLINK("https://klasma.github.io/Logging_0319/klagomål/A 25724-2023 FSC-klagomål.docx", "A 25724-2023")</f>
        <v/>
      </c>
      <c r="W294">
        <f>HYPERLINK("https://klasma.github.io/Logging_0319/klagomålsmail/A 25724-2023 FSC-klagomål mail.docx", "A 25724-2023")</f>
        <v/>
      </c>
      <c r="X294">
        <f>HYPERLINK("https://klasma.github.io/Logging_0319/tillsyn/A 25724-2023 tillsynsbegäran.docx", "A 25724-2023")</f>
        <v/>
      </c>
      <c r="Y294">
        <f>HYPERLINK("https://klasma.github.io/Logging_0319/tillsynsmail/A 25724-2023 tillsynsbegäran mail.docx", "A 25724-2023")</f>
        <v/>
      </c>
    </row>
    <row r="295" ht="15" customHeight="1">
      <c r="A295" t="inlineStr">
        <is>
          <t>A 25943-2023</t>
        </is>
      </c>
      <c r="B295" s="1" t="n">
        <v>45090</v>
      </c>
      <c r="C295" s="1" t="n">
        <v>45832</v>
      </c>
      <c r="D295" t="inlineStr">
        <is>
          <t>UPPSALA LÄN</t>
        </is>
      </c>
      <c r="E295" t="inlineStr">
        <is>
          <t>UPPSALA</t>
        </is>
      </c>
      <c r="F295" t="inlineStr">
        <is>
          <t>Holmen skog AB</t>
        </is>
      </c>
      <c r="G295" t="n">
        <v>2.7</v>
      </c>
      <c r="H295" t="n">
        <v>1</v>
      </c>
      <c r="I295" t="n">
        <v>1</v>
      </c>
      <c r="J295" t="n">
        <v>2</v>
      </c>
      <c r="K295" t="n">
        <v>0</v>
      </c>
      <c r="L295" t="n">
        <v>0</v>
      </c>
      <c r="M295" t="n">
        <v>0</v>
      </c>
      <c r="N295" t="n">
        <v>0</v>
      </c>
      <c r="O295" t="n">
        <v>2</v>
      </c>
      <c r="P295" t="n">
        <v>0</v>
      </c>
      <c r="Q295" t="n">
        <v>3</v>
      </c>
      <c r="R295" s="2" t="inlineStr">
        <is>
          <t>Mindre hackspett
Vedtrappmossa
Vedticka</t>
        </is>
      </c>
      <c r="S295">
        <f>HYPERLINK("https://klasma.github.io/Logging_0380/artfynd/A 25943-2023 artfynd.xlsx", "A 25943-2023")</f>
        <v/>
      </c>
      <c r="T295">
        <f>HYPERLINK("https://klasma.github.io/Logging_0380/kartor/A 25943-2023 karta.png", "A 25943-2023")</f>
        <v/>
      </c>
      <c r="V295">
        <f>HYPERLINK("https://klasma.github.io/Logging_0380/klagomål/A 25943-2023 FSC-klagomål.docx", "A 25943-2023")</f>
        <v/>
      </c>
      <c r="W295">
        <f>HYPERLINK("https://klasma.github.io/Logging_0380/klagomålsmail/A 25943-2023 FSC-klagomål mail.docx", "A 25943-2023")</f>
        <v/>
      </c>
      <c r="X295">
        <f>HYPERLINK("https://klasma.github.io/Logging_0380/tillsyn/A 25943-2023 tillsynsbegäran.docx", "A 25943-2023")</f>
        <v/>
      </c>
      <c r="Y295">
        <f>HYPERLINK("https://klasma.github.io/Logging_0380/tillsynsmail/A 25943-2023 tillsynsbegäran mail.docx", "A 25943-2023")</f>
        <v/>
      </c>
      <c r="Z295">
        <f>HYPERLINK("https://klasma.github.io/Logging_0380/fåglar/A 25943-2023 prioriterade fågelarter.docx", "A 25943-2023")</f>
        <v/>
      </c>
    </row>
    <row r="296" ht="15" customHeight="1">
      <c r="A296" t="inlineStr">
        <is>
          <t>A 31552-2023</t>
        </is>
      </c>
      <c r="B296" s="1" t="n">
        <v>45104</v>
      </c>
      <c r="C296" s="1" t="n">
        <v>45832</v>
      </c>
      <c r="D296" t="inlineStr">
        <is>
          <t>UPPSALA LÄN</t>
        </is>
      </c>
      <c r="E296" t="inlineStr">
        <is>
          <t>ENKÖPING</t>
        </is>
      </c>
      <c r="G296" t="n">
        <v>2.6</v>
      </c>
      <c r="H296" t="n">
        <v>1</v>
      </c>
      <c r="I296" t="n">
        <v>1</v>
      </c>
      <c r="J296" t="n">
        <v>1</v>
      </c>
      <c r="K296" t="n">
        <v>1</v>
      </c>
      <c r="L296" t="n">
        <v>0</v>
      </c>
      <c r="M296" t="n">
        <v>0</v>
      </c>
      <c r="N296" t="n">
        <v>0</v>
      </c>
      <c r="O296" t="n">
        <v>2</v>
      </c>
      <c r="P296" t="n">
        <v>1</v>
      </c>
      <c r="Q296" t="n">
        <v>3</v>
      </c>
      <c r="R296" s="2" t="inlineStr">
        <is>
          <t>Bombmurkla
Fyrflikig jordstjärna
Grönpyrola</t>
        </is>
      </c>
      <c r="S296">
        <f>HYPERLINK("https://klasma.github.io/Logging_0381/artfynd/A 31552-2023 artfynd.xlsx", "A 31552-2023")</f>
        <v/>
      </c>
      <c r="T296">
        <f>HYPERLINK("https://klasma.github.io/Logging_0381/kartor/A 31552-2023 karta.png", "A 31552-2023")</f>
        <v/>
      </c>
      <c r="V296">
        <f>HYPERLINK("https://klasma.github.io/Logging_0381/klagomål/A 31552-2023 FSC-klagomål.docx", "A 31552-2023")</f>
        <v/>
      </c>
      <c r="W296">
        <f>HYPERLINK("https://klasma.github.io/Logging_0381/klagomålsmail/A 31552-2023 FSC-klagomål mail.docx", "A 31552-2023")</f>
        <v/>
      </c>
      <c r="X296">
        <f>HYPERLINK("https://klasma.github.io/Logging_0381/tillsyn/A 31552-2023 tillsynsbegäran.docx", "A 31552-2023")</f>
        <v/>
      </c>
      <c r="Y296">
        <f>HYPERLINK("https://klasma.github.io/Logging_0381/tillsynsmail/A 31552-2023 tillsynsbegäran mail.docx", "A 31552-2023")</f>
        <v/>
      </c>
    </row>
    <row r="297" ht="15" customHeight="1">
      <c r="A297" t="inlineStr">
        <is>
          <t>A 36531-2023</t>
        </is>
      </c>
      <c r="B297" s="1" t="n">
        <v>45153</v>
      </c>
      <c r="C297" s="1" t="n">
        <v>45832</v>
      </c>
      <c r="D297" t="inlineStr">
        <is>
          <t>UPPSALA LÄN</t>
        </is>
      </c>
      <c r="E297" t="inlineStr">
        <is>
          <t>HEBY</t>
        </is>
      </c>
      <c r="G297" t="n">
        <v>4.8</v>
      </c>
      <c r="H297" t="n">
        <v>0</v>
      </c>
      <c r="I297" t="n">
        <v>0</v>
      </c>
      <c r="J297" t="n">
        <v>2</v>
      </c>
      <c r="K297" t="n">
        <v>1</v>
      </c>
      <c r="L297" t="n">
        <v>0</v>
      </c>
      <c r="M297" t="n">
        <v>0</v>
      </c>
      <c r="N297" t="n">
        <v>0</v>
      </c>
      <c r="O297" t="n">
        <v>3</v>
      </c>
      <c r="P297" t="n">
        <v>1</v>
      </c>
      <c r="Q297" t="n">
        <v>3</v>
      </c>
      <c r="R297" s="2" t="inlineStr">
        <is>
          <t>Lammticka
Motaggsvamp
Skrovlig taggsvamp</t>
        </is>
      </c>
      <c r="S297">
        <f>HYPERLINK("https://klasma.github.io/Logging_0331/artfynd/A 36531-2023 artfynd.xlsx", "A 36531-2023")</f>
        <v/>
      </c>
      <c r="T297">
        <f>HYPERLINK("https://klasma.github.io/Logging_0331/kartor/A 36531-2023 karta.png", "A 36531-2023")</f>
        <v/>
      </c>
      <c r="V297">
        <f>HYPERLINK("https://klasma.github.io/Logging_0331/klagomål/A 36531-2023 FSC-klagomål.docx", "A 36531-2023")</f>
        <v/>
      </c>
      <c r="W297">
        <f>HYPERLINK("https://klasma.github.io/Logging_0331/klagomålsmail/A 36531-2023 FSC-klagomål mail.docx", "A 36531-2023")</f>
        <v/>
      </c>
      <c r="X297">
        <f>HYPERLINK("https://klasma.github.io/Logging_0331/tillsyn/A 36531-2023 tillsynsbegäran.docx", "A 36531-2023")</f>
        <v/>
      </c>
      <c r="Y297">
        <f>HYPERLINK("https://klasma.github.io/Logging_0331/tillsynsmail/A 36531-2023 tillsynsbegäran mail.docx", "A 36531-2023")</f>
        <v/>
      </c>
    </row>
    <row r="298" ht="15" customHeight="1">
      <c r="A298" t="inlineStr">
        <is>
          <t>A 37417-2023</t>
        </is>
      </c>
      <c r="B298" s="1" t="n">
        <v>45155</v>
      </c>
      <c r="C298" s="1" t="n">
        <v>45832</v>
      </c>
      <c r="D298" t="inlineStr">
        <is>
          <t>UPPSALA LÄN</t>
        </is>
      </c>
      <c r="E298" t="inlineStr">
        <is>
          <t>HÅBO</t>
        </is>
      </c>
      <c r="G298" t="n">
        <v>12.9</v>
      </c>
      <c r="H298" t="n">
        <v>2</v>
      </c>
      <c r="I298" t="n">
        <v>0</v>
      </c>
      <c r="J298" t="n">
        <v>1</v>
      </c>
      <c r="K298" t="n">
        <v>1</v>
      </c>
      <c r="L298" t="n">
        <v>0</v>
      </c>
      <c r="M298" t="n">
        <v>0</v>
      </c>
      <c r="N298" t="n">
        <v>0</v>
      </c>
      <c r="O298" t="n">
        <v>2</v>
      </c>
      <c r="P298" t="n">
        <v>1</v>
      </c>
      <c r="Q298" t="n">
        <v>3</v>
      </c>
      <c r="R298" s="2" t="inlineStr">
        <is>
          <t>Knärot
Ullticka
Blåsippa</t>
        </is>
      </c>
      <c r="S298">
        <f>HYPERLINK("https://klasma.github.io/Logging_0305/artfynd/A 37417-2023 artfynd.xlsx", "A 37417-2023")</f>
        <v/>
      </c>
      <c r="T298">
        <f>HYPERLINK("https://klasma.github.io/Logging_0305/kartor/A 37417-2023 karta.png", "A 37417-2023")</f>
        <v/>
      </c>
      <c r="U298">
        <f>HYPERLINK("https://klasma.github.io/Logging_0305/knärot/A 37417-2023 karta knärot.png", "A 37417-2023")</f>
        <v/>
      </c>
      <c r="V298">
        <f>HYPERLINK("https://klasma.github.io/Logging_0305/klagomål/A 37417-2023 FSC-klagomål.docx", "A 37417-2023")</f>
        <v/>
      </c>
      <c r="W298">
        <f>HYPERLINK("https://klasma.github.io/Logging_0305/klagomålsmail/A 37417-2023 FSC-klagomål mail.docx", "A 37417-2023")</f>
        <v/>
      </c>
      <c r="X298">
        <f>HYPERLINK("https://klasma.github.io/Logging_0305/tillsyn/A 37417-2023 tillsynsbegäran.docx", "A 37417-2023")</f>
        <v/>
      </c>
      <c r="Y298">
        <f>HYPERLINK("https://klasma.github.io/Logging_0305/tillsynsmail/A 37417-2023 tillsynsbegäran mail.docx", "A 37417-2023")</f>
        <v/>
      </c>
    </row>
    <row r="299" ht="15" customHeight="1">
      <c r="A299" t="inlineStr">
        <is>
          <t>A 39917-2023</t>
        </is>
      </c>
      <c r="B299" s="1" t="n">
        <v>45166</v>
      </c>
      <c r="C299" s="1" t="n">
        <v>45832</v>
      </c>
      <c r="D299" t="inlineStr">
        <is>
          <t>UPPSALA LÄN</t>
        </is>
      </c>
      <c r="E299" t="inlineStr">
        <is>
          <t>HÅBO</t>
        </is>
      </c>
      <c r="G299" t="n">
        <v>3.6</v>
      </c>
      <c r="H299" t="n">
        <v>0</v>
      </c>
      <c r="I299" t="n">
        <v>2</v>
      </c>
      <c r="J299" t="n">
        <v>1</v>
      </c>
      <c r="K299" t="n">
        <v>0</v>
      </c>
      <c r="L299" t="n">
        <v>0</v>
      </c>
      <c r="M299" t="n">
        <v>0</v>
      </c>
      <c r="N299" t="n">
        <v>0</v>
      </c>
      <c r="O299" t="n">
        <v>1</v>
      </c>
      <c r="P299" t="n">
        <v>0</v>
      </c>
      <c r="Q299" t="n">
        <v>3</v>
      </c>
      <c r="R299" s="2" t="inlineStr">
        <is>
          <t>Oxtungssvamp
Kryddspindling
Strimspindling</t>
        </is>
      </c>
      <c r="S299">
        <f>HYPERLINK("https://klasma.github.io/Logging_0305/artfynd/A 39917-2023 artfynd.xlsx", "A 39917-2023")</f>
        <v/>
      </c>
      <c r="T299">
        <f>HYPERLINK("https://klasma.github.io/Logging_0305/kartor/A 39917-2023 karta.png", "A 39917-2023")</f>
        <v/>
      </c>
      <c r="V299">
        <f>HYPERLINK("https://klasma.github.io/Logging_0305/klagomål/A 39917-2023 FSC-klagomål.docx", "A 39917-2023")</f>
        <v/>
      </c>
      <c r="W299">
        <f>HYPERLINK("https://klasma.github.io/Logging_0305/klagomålsmail/A 39917-2023 FSC-klagomål mail.docx", "A 39917-2023")</f>
        <v/>
      </c>
      <c r="X299">
        <f>HYPERLINK("https://klasma.github.io/Logging_0305/tillsyn/A 39917-2023 tillsynsbegäran.docx", "A 39917-2023")</f>
        <v/>
      </c>
      <c r="Y299">
        <f>HYPERLINK("https://klasma.github.io/Logging_0305/tillsynsmail/A 39917-2023 tillsynsbegäran mail.docx", "A 39917-2023")</f>
        <v/>
      </c>
    </row>
    <row r="300" ht="15" customHeight="1">
      <c r="A300" t="inlineStr">
        <is>
          <t>A 40637-2023</t>
        </is>
      </c>
      <c r="B300" s="1" t="n">
        <v>45170</v>
      </c>
      <c r="C300" s="1" t="n">
        <v>45832</v>
      </c>
      <c r="D300" t="inlineStr">
        <is>
          <t>UPPSALA LÄN</t>
        </is>
      </c>
      <c r="E300" t="inlineStr">
        <is>
          <t>HEBY</t>
        </is>
      </c>
      <c r="F300" t="inlineStr">
        <is>
          <t>Övriga Aktiebolag</t>
        </is>
      </c>
      <c r="G300" t="n">
        <v>3.4</v>
      </c>
      <c r="H300" t="n">
        <v>0</v>
      </c>
      <c r="I300" t="n">
        <v>1</v>
      </c>
      <c r="J300" t="n">
        <v>2</v>
      </c>
      <c r="K300" t="n">
        <v>0</v>
      </c>
      <c r="L300" t="n">
        <v>0</v>
      </c>
      <c r="M300" t="n">
        <v>0</v>
      </c>
      <c r="N300" t="n">
        <v>0</v>
      </c>
      <c r="O300" t="n">
        <v>2</v>
      </c>
      <c r="P300" t="n">
        <v>0</v>
      </c>
      <c r="Q300" t="n">
        <v>3</v>
      </c>
      <c r="R300" s="2" t="inlineStr">
        <is>
          <t>Garnlav
Tallticka
Vedticka</t>
        </is>
      </c>
      <c r="S300">
        <f>HYPERLINK("https://klasma.github.io/Logging_0331/artfynd/A 40637-2023 artfynd.xlsx", "A 40637-2023")</f>
        <v/>
      </c>
      <c r="T300">
        <f>HYPERLINK("https://klasma.github.io/Logging_0331/kartor/A 40637-2023 karta.png", "A 40637-2023")</f>
        <v/>
      </c>
      <c r="V300">
        <f>HYPERLINK("https://klasma.github.io/Logging_0331/klagomål/A 40637-2023 FSC-klagomål.docx", "A 40637-2023")</f>
        <v/>
      </c>
      <c r="W300">
        <f>HYPERLINK("https://klasma.github.io/Logging_0331/klagomålsmail/A 40637-2023 FSC-klagomål mail.docx", "A 40637-2023")</f>
        <v/>
      </c>
      <c r="X300">
        <f>HYPERLINK("https://klasma.github.io/Logging_0331/tillsyn/A 40637-2023 tillsynsbegäran.docx", "A 40637-2023")</f>
        <v/>
      </c>
      <c r="Y300">
        <f>HYPERLINK("https://klasma.github.io/Logging_0331/tillsynsmail/A 40637-2023 tillsynsbegäran mail.docx", "A 40637-2023")</f>
        <v/>
      </c>
    </row>
    <row r="301" ht="15" customHeight="1">
      <c r="A301" t="inlineStr">
        <is>
          <t>A 43942-2023</t>
        </is>
      </c>
      <c r="B301" s="1" t="n">
        <v>45187</v>
      </c>
      <c r="C301" s="1" t="n">
        <v>45832</v>
      </c>
      <c r="D301" t="inlineStr">
        <is>
          <t>UPPSALA LÄN</t>
        </is>
      </c>
      <c r="E301" t="inlineStr">
        <is>
          <t>UPPSALA</t>
        </is>
      </c>
      <c r="F301" t="inlineStr">
        <is>
          <t>Allmännings- och besparingsskogar</t>
        </is>
      </c>
      <c r="G301" t="n">
        <v>31.6</v>
      </c>
      <c r="H301" t="n">
        <v>3</v>
      </c>
      <c r="I301" t="n">
        <v>1</v>
      </c>
      <c r="J301" t="n">
        <v>1</v>
      </c>
      <c r="K301" t="n">
        <v>0</v>
      </c>
      <c r="L301" t="n">
        <v>0</v>
      </c>
      <c r="M301" t="n">
        <v>1</v>
      </c>
      <c r="N301" t="n">
        <v>0</v>
      </c>
      <c r="O301" t="n">
        <v>2</v>
      </c>
      <c r="P301" t="n">
        <v>1</v>
      </c>
      <c r="Q301" t="n">
        <v>3</v>
      </c>
      <c r="R301" s="2" t="inlineStr">
        <is>
          <t>Vedtrådmossa
Slaguggla
Grön sköldmossa</t>
        </is>
      </c>
      <c r="S301">
        <f>HYPERLINK("https://klasma.github.io/Logging_0380/artfynd/A 43942-2023 artfynd.xlsx", "A 43942-2023")</f>
        <v/>
      </c>
      <c r="T301">
        <f>HYPERLINK("https://klasma.github.io/Logging_0380/kartor/A 43942-2023 karta.png", "A 43942-2023")</f>
        <v/>
      </c>
      <c r="V301">
        <f>HYPERLINK("https://klasma.github.io/Logging_0380/klagomål/A 43942-2023 FSC-klagomål.docx", "A 43942-2023")</f>
        <v/>
      </c>
      <c r="W301">
        <f>HYPERLINK("https://klasma.github.io/Logging_0380/klagomålsmail/A 43942-2023 FSC-klagomål mail.docx", "A 43942-2023")</f>
        <v/>
      </c>
      <c r="X301">
        <f>HYPERLINK("https://klasma.github.io/Logging_0380/tillsyn/A 43942-2023 tillsynsbegäran.docx", "A 43942-2023")</f>
        <v/>
      </c>
      <c r="Y301">
        <f>HYPERLINK("https://klasma.github.io/Logging_0380/tillsynsmail/A 43942-2023 tillsynsbegäran mail.docx", "A 43942-2023")</f>
        <v/>
      </c>
      <c r="Z301">
        <f>HYPERLINK("https://klasma.github.io/Logging_0380/fåglar/A 43942-2023 prioriterade fågelarter.docx", "A 43942-2023")</f>
        <v/>
      </c>
    </row>
    <row r="302" ht="15" customHeight="1">
      <c r="A302" t="inlineStr">
        <is>
          <t>A 46204-2023</t>
        </is>
      </c>
      <c r="B302" s="1" t="n">
        <v>45190</v>
      </c>
      <c r="C302" s="1" t="n">
        <v>45832</v>
      </c>
      <c r="D302" t="inlineStr">
        <is>
          <t>UPPSALA LÄN</t>
        </is>
      </c>
      <c r="E302" t="inlineStr">
        <is>
          <t>ÖSTHAMMAR</t>
        </is>
      </c>
      <c r="F302" t="inlineStr">
        <is>
          <t>Övriga statliga verk och myndigheter</t>
        </is>
      </c>
      <c r="G302" t="n">
        <v>3.5</v>
      </c>
      <c r="H302" t="n">
        <v>3</v>
      </c>
      <c r="I302" t="n">
        <v>0</v>
      </c>
      <c r="J302" t="n">
        <v>3</v>
      </c>
      <c r="K302" t="n">
        <v>0</v>
      </c>
      <c r="L302" t="n">
        <v>0</v>
      </c>
      <c r="M302" t="n">
        <v>0</v>
      </c>
      <c r="N302" t="n">
        <v>0</v>
      </c>
      <c r="O302" t="n">
        <v>3</v>
      </c>
      <c r="P302" t="n">
        <v>0</v>
      </c>
      <c r="Q302" t="n">
        <v>3</v>
      </c>
      <c r="R302" s="2" t="inlineStr">
        <is>
          <t>Grönsångare
Gulsparv
Ärtsångare</t>
        </is>
      </c>
      <c r="S302">
        <f>HYPERLINK("https://klasma.github.io/Logging_0382/artfynd/A 46204-2023 artfynd.xlsx", "A 46204-2023")</f>
        <v/>
      </c>
      <c r="T302">
        <f>HYPERLINK("https://klasma.github.io/Logging_0382/kartor/A 46204-2023 karta.png", "A 46204-2023")</f>
        <v/>
      </c>
      <c r="V302">
        <f>HYPERLINK("https://klasma.github.io/Logging_0382/klagomål/A 46204-2023 FSC-klagomål.docx", "A 46204-2023")</f>
        <v/>
      </c>
      <c r="W302">
        <f>HYPERLINK("https://klasma.github.io/Logging_0382/klagomålsmail/A 46204-2023 FSC-klagomål mail.docx", "A 46204-2023")</f>
        <v/>
      </c>
      <c r="X302">
        <f>HYPERLINK("https://klasma.github.io/Logging_0382/tillsyn/A 46204-2023 tillsynsbegäran.docx", "A 46204-2023")</f>
        <v/>
      </c>
      <c r="Y302">
        <f>HYPERLINK("https://klasma.github.io/Logging_0382/tillsynsmail/A 46204-2023 tillsynsbegäran mail.docx", "A 46204-2023")</f>
        <v/>
      </c>
      <c r="Z302">
        <f>HYPERLINK("https://klasma.github.io/Logging_0382/fåglar/A 46204-2023 prioriterade fågelarter.docx", "A 46204-2023")</f>
        <v/>
      </c>
    </row>
    <row r="303" ht="15" customHeight="1">
      <c r="A303" t="inlineStr">
        <is>
          <t>A 45895-2023</t>
        </is>
      </c>
      <c r="B303" s="1" t="n">
        <v>45195</v>
      </c>
      <c r="C303" s="1" t="n">
        <v>45832</v>
      </c>
      <c r="D303" t="inlineStr">
        <is>
          <t>UPPSALA LÄN</t>
        </is>
      </c>
      <c r="E303" t="inlineStr">
        <is>
          <t>ÄLVKARLEBY</t>
        </is>
      </c>
      <c r="G303" t="n">
        <v>6.7</v>
      </c>
      <c r="H303" t="n">
        <v>0</v>
      </c>
      <c r="I303" t="n">
        <v>2</v>
      </c>
      <c r="J303" t="n">
        <v>1</v>
      </c>
      <c r="K303" t="n">
        <v>0</v>
      </c>
      <c r="L303" t="n">
        <v>0</v>
      </c>
      <c r="M303" t="n">
        <v>0</v>
      </c>
      <c r="N303" t="n">
        <v>0</v>
      </c>
      <c r="O303" t="n">
        <v>1</v>
      </c>
      <c r="P303" t="n">
        <v>0</v>
      </c>
      <c r="Q303" t="n">
        <v>3</v>
      </c>
      <c r="R303" s="2" t="inlineStr">
        <is>
          <t>Flattoppad klubbsvamp
Sårläka
Trådfräken</t>
        </is>
      </c>
      <c r="S303">
        <f>HYPERLINK("https://klasma.github.io/Logging_0319/artfynd/A 45895-2023 artfynd.xlsx", "A 45895-2023")</f>
        <v/>
      </c>
      <c r="T303">
        <f>HYPERLINK("https://klasma.github.io/Logging_0319/kartor/A 45895-2023 karta.png", "A 45895-2023")</f>
        <v/>
      </c>
      <c r="V303">
        <f>HYPERLINK("https://klasma.github.io/Logging_0319/klagomål/A 45895-2023 FSC-klagomål.docx", "A 45895-2023")</f>
        <v/>
      </c>
      <c r="W303">
        <f>HYPERLINK("https://klasma.github.io/Logging_0319/klagomålsmail/A 45895-2023 FSC-klagomål mail.docx", "A 45895-2023")</f>
        <v/>
      </c>
      <c r="X303">
        <f>HYPERLINK("https://klasma.github.io/Logging_0319/tillsyn/A 45895-2023 tillsynsbegäran.docx", "A 45895-2023")</f>
        <v/>
      </c>
      <c r="Y303">
        <f>HYPERLINK("https://klasma.github.io/Logging_0319/tillsynsmail/A 45895-2023 tillsynsbegäran mail.docx", "A 45895-2023")</f>
        <v/>
      </c>
    </row>
    <row r="304" ht="15" customHeight="1">
      <c r="A304" t="inlineStr">
        <is>
          <t>A 49990-2023</t>
        </is>
      </c>
      <c r="B304" s="1" t="n">
        <v>45215</v>
      </c>
      <c r="C304" s="1" t="n">
        <v>45832</v>
      </c>
      <c r="D304" t="inlineStr">
        <is>
          <t>UPPSALA LÄN</t>
        </is>
      </c>
      <c r="E304" t="inlineStr">
        <is>
          <t>UPPSALA</t>
        </is>
      </c>
      <c r="G304" t="n">
        <v>2</v>
      </c>
      <c r="H304" t="n">
        <v>3</v>
      </c>
      <c r="I304" t="n">
        <v>0</v>
      </c>
      <c r="J304" t="n">
        <v>1</v>
      </c>
      <c r="K304" t="n">
        <v>0</v>
      </c>
      <c r="L304" t="n">
        <v>0</v>
      </c>
      <c r="M304" t="n">
        <v>0</v>
      </c>
      <c r="N304" t="n">
        <v>0</v>
      </c>
      <c r="O304" t="n">
        <v>1</v>
      </c>
      <c r="P304" t="n">
        <v>0</v>
      </c>
      <c r="Q304" t="n">
        <v>3</v>
      </c>
      <c r="R304" s="2" t="inlineStr">
        <is>
          <t>Nordfladdermus
Järnsparv
Större brunfladdermus</t>
        </is>
      </c>
      <c r="S304">
        <f>HYPERLINK("https://klasma.github.io/Logging_0380/artfynd/A 49990-2023 artfynd.xlsx", "A 49990-2023")</f>
        <v/>
      </c>
      <c r="T304">
        <f>HYPERLINK("https://klasma.github.io/Logging_0380/kartor/A 49990-2023 karta.png", "A 49990-2023")</f>
        <v/>
      </c>
      <c r="V304">
        <f>HYPERLINK("https://klasma.github.io/Logging_0380/klagomål/A 49990-2023 FSC-klagomål.docx", "A 49990-2023")</f>
        <v/>
      </c>
      <c r="W304">
        <f>HYPERLINK("https://klasma.github.io/Logging_0380/klagomålsmail/A 49990-2023 FSC-klagomål mail.docx", "A 49990-2023")</f>
        <v/>
      </c>
      <c r="X304">
        <f>HYPERLINK("https://klasma.github.io/Logging_0380/tillsyn/A 49990-2023 tillsynsbegäran.docx", "A 49990-2023")</f>
        <v/>
      </c>
      <c r="Y304">
        <f>HYPERLINK("https://klasma.github.io/Logging_0380/tillsynsmail/A 49990-2023 tillsynsbegäran mail.docx", "A 49990-2023")</f>
        <v/>
      </c>
      <c r="Z304">
        <f>HYPERLINK("https://klasma.github.io/Logging_0380/fåglar/A 49990-2023 prioriterade fågelarter.docx", "A 49990-2023")</f>
        <v/>
      </c>
    </row>
    <row r="305" ht="15" customHeight="1">
      <c r="A305" t="inlineStr">
        <is>
          <t>A 51733-2023</t>
        </is>
      </c>
      <c r="B305" s="1" t="n">
        <v>45222</v>
      </c>
      <c r="C305" s="1" t="n">
        <v>45832</v>
      </c>
      <c r="D305" t="inlineStr">
        <is>
          <t>UPPSALA LÄN</t>
        </is>
      </c>
      <c r="E305" t="inlineStr">
        <is>
          <t>HEBY</t>
        </is>
      </c>
      <c r="F305" t="inlineStr">
        <is>
          <t>Allmännings- och besparingsskogar</t>
        </is>
      </c>
      <c r="G305" t="n">
        <v>17.7</v>
      </c>
      <c r="H305" t="n">
        <v>3</v>
      </c>
      <c r="I305" t="n">
        <v>0</v>
      </c>
      <c r="J305" t="n">
        <v>0</v>
      </c>
      <c r="K305" t="n">
        <v>1</v>
      </c>
      <c r="L305" t="n">
        <v>0</v>
      </c>
      <c r="M305" t="n">
        <v>0</v>
      </c>
      <c r="N305" t="n">
        <v>0</v>
      </c>
      <c r="O305" t="n">
        <v>1</v>
      </c>
      <c r="P305" t="n">
        <v>1</v>
      </c>
      <c r="Q305" t="n">
        <v>3</v>
      </c>
      <c r="R305" s="2" t="inlineStr">
        <is>
          <t>Knärot
Blåsippa
Revlummer</t>
        </is>
      </c>
      <c r="S305">
        <f>HYPERLINK("https://klasma.github.io/Logging_0331/artfynd/A 51733-2023 artfynd.xlsx", "A 51733-2023")</f>
        <v/>
      </c>
      <c r="T305">
        <f>HYPERLINK("https://klasma.github.io/Logging_0331/kartor/A 51733-2023 karta.png", "A 51733-2023")</f>
        <v/>
      </c>
      <c r="U305">
        <f>HYPERLINK("https://klasma.github.io/Logging_0331/knärot/A 51733-2023 karta knärot.png", "A 51733-2023")</f>
        <v/>
      </c>
      <c r="V305">
        <f>HYPERLINK("https://klasma.github.io/Logging_0331/klagomål/A 51733-2023 FSC-klagomål.docx", "A 51733-2023")</f>
        <v/>
      </c>
      <c r="W305">
        <f>HYPERLINK("https://klasma.github.io/Logging_0331/klagomålsmail/A 51733-2023 FSC-klagomål mail.docx", "A 51733-2023")</f>
        <v/>
      </c>
      <c r="X305">
        <f>HYPERLINK("https://klasma.github.io/Logging_0331/tillsyn/A 51733-2023 tillsynsbegäran.docx", "A 51733-2023")</f>
        <v/>
      </c>
      <c r="Y305">
        <f>HYPERLINK("https://klasma.github.io/Logging_0331/tillsynsmail/A 51733-2023 tillsynsbegäran mail.docx", "A 51733-2023")</f>
        <v/>
      </c>
    </row>
    <row r="306" ht="15" customHeight="1">
      <c r="A306" t="inlineStr">
        <is>
          <t>A 53731-2023</t>
        </is>
      </c>
      <c r="B306" s="1" t="n">
        <v>45230</v>
      </c>
      <c r="C306" s="1" t="n">
        <v>45832</v>
      </c>
      <c r="D306" t="inlineStr">
        <is>
          <t>UPPSALA LÄN</t>
        </is>
      </c>
      <c r="E306" t="inlineStr">
        <is>
          <t>ÖSTHAMMAR</t>
        </is>
      </c>
      <c r="G306" t="n">
        <v>3.2</v>
      </c>
      <c r="H306" t="n">
        <v>0</v>
      </c>
      <c r="I306" t="n">
        <v>1</v>
      </c>
      <c r="J306" t="n">
        <v>1</v>
      </c>
      <c r="K306" t="n">
        <v>1</v>
      </c>
      <c r="L306" t="n">
        <v>0</v>
      </c>
      <c r="M306" t="n">
        <v>0</v>
      </c>
      <c r="N306" t="n">
        <v>0</v>
      </c>
      <c r="O306" t="n">
        <v>2</v>
      </c>
      <c r="P306" t="n">
        <v>1</v>
      </c>
      <c r="Q306" t="n">
        <v>3</v>
      </c>
      <c r="R306" s="2" t="inlineStr">
        <is>
          <t>Taggfingersvamp
Äggspindling
Sårläka</t>
        </is>
      </c>
      <c r="S306">
        <f>HYPERLINK("https://klasma.github.io/Logging_0382/artfynd/A 53731-2023 artfynd.xlsx", "A 53731-2023")</f>
        <v/>
      </c>
      <c r="T306">
        <f>HYPERLINK("https://klasma.github.io/Logging_0382/kartor/A 53731-2023 karta.png", "A 53731-2023")</f>
        <v/>
      </c>
      <c r="V306">
        <f>HYPERLINK("https://klasma.github.io/Logging_0382/klagomål/A 53731-2023 FSC-klagomål.docx", "A 53731-2023")</f>
        <v/>
      </c>
      <c r="W306">
        <f>HYPERLINK("https://klasma.github.io/Logging_0382/klagomålsmail/A 53731-2023 FSC-klagomål mail.docx", "A 53731-2023")</f>
        <v/>
      </c>
      <c r="X306">
        <f>HYPERLINK("https://klasma.github.io/Logging_0382/tillsyn/A 53731-2023 tillsynsbegäran.docx", "A 53731-2023")</f>
        <v/>
      </c>
      <c r="Y306">
        <f>HYPERLINK("https://klasma.github.io/Logging_0382/tillsynsmail/A 53731-2023 tillsynsbegäran mail.docx", "A 53731-2023")</f>
        <v/>
      </c>
    </row>
    <row r="307" ht="15" customHeight="1">
      <c r="A307" t="inlineStr">
        <is>
          <t>A 55535-2023</t>
        </is>
      </c>
      <c r="B307" s="1" t="n">
        <v>45238</v>
      </c>
      <c r="C307" s="1" t="n">
        <v>45832</v>
      </c>
      <c r="D307" t="inlineStr">
        <is>
          <t>UPPSALA LÄN</t>
        </is>
      </c>
      <c r="E307" t="inlineStr">
        <is>
          <t>KNIVSTA</t>
        </is>
      </c>
      <c r="G307" t="n">
        <v>5.7</v>
      </c>
      <c r="H307" t="n">
        <v>1</v>
      </c>
      <c r="I307" t="n">
        <v>1</v>
      </c>
      <c r="J307" t="n">
        <v>1</v>
      </c>
      <c r="K307" t="n">
        <v>0</v>
      </c>
      <c r="L307" t="n">
        <v>0</v>
      </c>
      <c r="M307" t="n">
        <v>0</v>
      </c>
      <c r="N307" t="n">
        <v>0</v>
      </c>
      <c r="O307" t="n">
        <v>1</v>
      </c>
      <c r="P307" t="n">
        <v>0</v>
      </c>
      <c r="Q307" t="n">
        <v>3</v>
      </c>
      <c r="R307" s="2" t="inlineStr">
        <is>
          <t>Fyrflikig jordstjärna
Svavelriska
Blåsippa</t>
        </is>
      </c>
      <c r="S307">
        <f>HYPERLINK("https://klasma.github.io/Logging_0330/artfynd/A 55535-2023 artfynd.xlsx", "A 55535-2023")</f>
        <v/>
      </c>
      <c r="T307">
        <f>HYPERLINK("https://klasma.github.io/Logging_0330/kartor/A 55535-2023 karta.png", "A 55535-2023")</f>
        <v/>
      </c>
      <c r="V307">
        <f>HYPERLINK("https://klasma.github.io/Logging_0330/klagomål/A 55535-2023 FSC-klagomål.docx", "A 55535-2023")</f>
        <v/>
      </c>
      <c r="W307">
        <f>HYPERLINK("https://klasma.github.io/Logging_0330/klagomålsmail/A 55535-2023 FSC-klagomål mail.docx", "A 55535-2023")</f>
        <v/>
      </c>
      <c r="X307">
        <f>HYPERLINK("https://klasma.github.io/Logging_0330/tillsyn/A 55535-2023 tillsynsbegäran.docx", "A 55535-2023")</f>
        <v/>
      </c>
      <c r="Y307">
        <f>HYPERLINK("https://klasma.github.io/Logging_0330/tillsynsmail/A 55535-2023 tillsynsbegäran mail.docx", "A 55535-2023")</f>
        <v/>
      </c>
    </row>
    <row r="308" ht="15" customHeight="1">
      <c r="A308" t="inlineStr">
        <is>
          <t>A 57633-2023</t>
        </is>
      </c>
      <c r="B308" s="1" t="n">
        <v>45246</v>
      </c>
      <c r="C308" s="1" t="n">
        <v>45832</v>
      </c>
      <c r="D308" t="inlineStr">
        <is>
          <t>UPPSALA LÄN</t>
        </is>
      </c>
      <c r="E308" t="inlineStr">
        <is>
          <t>ÖSTHAMMAR</t>
        </is>
      </c>
      <c r="F308" t="inlineStr">
        <is>
          <t>Bergvik skog öst AB</t>
        </is>
      </c>
      <c r="G308" t="n">
        <v>1</v>
      </c>
      <c r="H308" t="n">
        <v>1</v>
      </c>
      <c r="I308" t="n">
        <v>3</v>
      </c>
      <c r="J308" t="n">
        <v>0</v>
      </c>
      <c r="K308" t="n">
        <v>0</v>
      </c>
      <c r="L308" t="n">
        <v>0</v>
      </c>
      <c r="M308" t="n">
        <v>0</v>
      </c>
      <c r="N308" t="n">
        <v>0</v>
      </c>
      <c r="O308" t="n">
        <v>0</v>
      </c>
      <c r="P308" t="n">
        <v>0</v>
      </c>
      <c r="Q308" t="n">
        <v>3</v>
      </c>
      <c r="R308" s="2" t="inlineStr">
        <is>
          <t>Skogsknipprot
Svart trolldruva
Svavelriska</t>
        </is>
      </c>
      <c r="S308">
        <f>HYPERLINK("https://klasma.github.io/Logging_0382/artfynd/A 57633-2023 artfynd.xlsx", "A 57633-2023")</f>
        <v/>
      </c>
      <c r="T308">
        <f>HYPERLINK("https://klasma.github.io/Logging_0382/kartor/A 57633-2023 karta.png", "A 57633-2023")</f>
        <v/>
      </c>
      <c r="V308">
        <f>HYPERLINK("https://klasma.github.io/Logging_0382/klagomål/A 57633-2023 FSC-klagomål.docx", "A 57633-2023")</f>
        <v/>
      </c>
      <c r="W308">
        <f>HYPERLINK("https://klasma.github.io/Logging_0382/klagomålsmail/A 57633-2023 FSC-klagomål mail.docx", "A 57633-2023")</f>
        <v/>
      </c>
      <c r="X308">
        <f>HYPERLINK("https://klasma.github.io/Logging_0382/tillsyn/A 57633-2023 tillsynsbegäran.docx", "A 57633-2023")</f>
        <v/>
      </c>
      <c r="Y308">
        <f>HYPERLINK("https://klasma.github.io/Logging_0382/tillsynsmail/A 57633-2023 tillsynsbegäran mail.docx", "A 57633-2023")</f>
        <v/>
      </c>
    </row>
    <row r="309" ht="15" customHeight="1">
      <c r="A309" t="inlineStr">
        <is>
          <t>A 57636-2023</t>
        </is>
      </c>
      <c r="B309" s="1" t="n">
        <v>45246</v>
      </c>
      <c r="C309" s="1" t="n">
        <v>45832</v>
      </c>
      <c r="D309" t="inlineStr">
        <is>
          <t>UPPSALA LÄN</t>
        </is>
      </c>
      <c r="E309" t="inlineStr">
        <is>
          <t>ÖSTHAMMAR</t>
        </is>
      </c>
      <c r="F309" t="inlineStr">
        <is>
          <t>Bergvik skog öst AB</t>
        </is>
      </c>
      <c r="G309" t="n">
        <v>9.800000000000001</v>
      </c>
      <c r="H309" t="n">
        <v>1</v>
      </c>
      <c r="I309" t="n">
        <v>3</v>
      </c>
      <c r="J309" t="n">
        <v>0</v>
      </c>
      <c r="K309" t="n">
        <v>0</v>
      </c>
      <c r="L309" t="n">
        <v>0</v>
      </c>
      <c r="M309" t="n">
        <v>0</v>
      </c>
      <c r="N309" t="n">
        <v>0</v>
      </c>
      <c r="O309" t="n">
        <v>0</v>
      </c>
      <c r="P309" t="n">
        <v>0</v>
      </c>
      <c r="Q309" t="n">
        <v>3</v>
      </c>
      <c r="R309" s="2" t="inlineStr">
        <is>
          <t>Skogsknipprot
Svavelriska
Tibast</t>
        </is>
      </c>
      <c r="S309">
        <f>HYPERLINK("https://klasma.github.io/Logging_0382/artfynd/A 57636-2023 artfynd.xlsx", "A 57636-2023")</f>
        <v/>
      </c>
      <c r="T309">
        <f>HYPERLINK("https://klasma.github.io/Logging_0382/kartor/A 57636-2023 karta.png", "A 57636-2023")</f>
        <v/>
      </c>
      <c r="V309">
        <f>HYPERLINK("https://klasma.github.io/Logging_0382/klagomål/A 57636-2023 FSC-klagomål.docx", "A 57636-2023")</f>
        <v/>
      </c>
      <c r="W309">
        <f>HYPERLINK("https://klasma.github.io/Logging_0382/klagomålsmail/A 57636-2023 FSC-klagomål mail.docx", "A 57636-2023")</f>
        <v/>
      </c>
      <c r="X309">
        <f>HYPERLINK("https://klasma.github.io/Logging_0382/tillsyn/A 57636-2023 tillsynsbegäran.docx", "A 57636-2023")</f>
        <v/>
      </c>
      <c r="Y309">
        <f>HYPERLINK("https://klasma.github.io/Logging_0382/tillsynsmail/A 57636-2023 tillsynsbegäran mail.docx", "A 57636-2023")</f>
        <v/>
      </c>
    </row>
    <row r="310" ht="15" customHeight="1">
      <c r="A310" t="inlineStr">
        <is>
          <t>A 9715-2024</t>
        </is>
      </c>
      <c r="B310" s="1" t="n">
        <v>45362</v>
      </c>
      <c r="C310" s="1" t="n">
        <v>45832</v>
      </c>
      <c r="D310" t="inlineStr">
        <is>
          <t>UPPSALA LÄN</t>
        </is>
      </c>
      <c r="E310" t="inlineStr">
        <is>
          <t>ÖSTHAMMAR</t>
        </is>
      </c>
      <c r="G310" t="n">
        <v>4.7</v>
      </c>
      <c r="H310" t="n">
        <v>2</v>
      </c>
      <c r="I310" t="n">
        <v>2</v>
      </c>
      <c r="J310" t="n">
        <v>0</v>
      </c>
      <c r="K310" t="n">
        <v>1</v>
      </c>
      <c r="L310" t="n">
        <v>0</v>
      </c>
      <c r="M310" t="n">
        <v>0</v>
      </c>
      <c r="N310" t="n">
        <v>0</v>
      </c>
      <c r="O310" t="n">
        <v>1</v>
      </c>
      <c r="P310" t="n">
        <v>1</v>
      </c>
      <c r="Q310" t="n">
        <v>3</v>
      </c>
      <c r="R310" s="2" t="inlineStr">
        <is>
          <t>Knärot
Skogsknipprot
Vedticka</t>
        </is>
      </c>
      <c r="S310">
        <f>HYPERLINK("https://klasma.github.io/Logging_0382/artfynd/A 9715-2024 artfynd.xlsx", "A 9715-2024")</f>
        <v/>
      </c>
      <c r="T310">
        <f>HYPERLINK("https://klasma.github.io/Logging_0382/kartor/A 9715-2024 karta.png", "A 9715-2024")</f>
        <v/>
      </c>
      <c r="U310">
        <f>HYPERLINK("https://klasma.github.io/Logging_0382/knärot/A 9715-2024 karta knärot.png", "A 9715-2024")</f>
        <v/>
      </c>
      <c r="V310">
        <f>HYPERLINK("https://klasma.github.io/Logging_0382/klagomål/A 9715-2024 FSC-klagomål.docx", "A 9715-2024")</f>
        <v/>
      </c>
      <c r="W310">
        <f>HYPERLINK("https://klasma.github.io/Logging_0382/klagomålsmail/A 9715-2024 FSC-klagomål mail.docx", "A 9715-2024")</f>
        <v/>
      </c>
      <c r="X310">
        <f>HYPERLINK("https://klasma.github.io/Logging_0382/tillsyn/A 9715-2024 tillsynsbegäran.docx", "A 9715-2024")</f>
        <v/>
      </c>
      <c r="Y310">
        <f>HYPERLINK("https://klasma.github.io/Logging_0382/tillsynsmail/A 9715-2024 tillsynsbegäran mail.docx", "A 9715-2024")</f>
        <v/>
      </c>
    </row>
    <row r="311" ht="15" customHeight="1">
      <c r="A311" t="inlineStr">
        <is>
          <t>A 17004-2024</t>
        </is>
      </c>
      <c r="B311" s="1" t="n">
        <v>45412</v>
      </c>
      <c r="C311" s="1" t="n">
        <v>45832</v>
      </c>
      <c r="D311" t="inlineStr">
        <is>
          <t>UPPSALA LÄN</t>
        </is>
      </c>
      <c r="E311" t="inlineStr">
        <is>
          <t>ÖSTHAMMAR</t>
        </is>
      </c>
      <c r="F311" t="inlineStr">
        <is>
          <t>Bergvik skog öst AB</t>
        </is>
      </c>
      <c r="G311" t="n">
        <v>24.4</v>
      </c>
      <c r="H311" t="n">
        <v>0</v>
      </c>
      <c r="I311" t="n">
        <v>2</v>
      </c>
      <c r="J311" t="n">
        <v>0</v>
      </c>
      <c r="K311" t="n">
        <v>0</v>
      </c>
      <c r="L311" t="n">
        <v>0</v>
      </c>
      <c r="M311" t="n">
        <v>1</v>
      </c>
      <c r="N311" t="n">
        <v>0</v>
      </c>
      <c r="O311" t="n">
        <v>1</v>
      </c>
      <c r="P311" t="n">
        <v>1</v>
      </c>
      <c r="Q311" t="n">
        <v>3</v>
      </c>
      <c r="R311" s="2" t="inlineStr">
        <is>
          <t>Skogsalm
Myskmadra
Underviol</t>
        </is>
      </c>
      <c r="S311">
        <f>HYPERLINK("https://klasma.github.io/Logging_0382/artfynd/A 17004-2024 artfynd.xlsx", "A 17004-2024")</f>
        <v/>
      </c>
      <c r="T311">
        <f>HYPERLINK("https://klasma.github.io/Logging_0382/kartor/A 17004-2024 karta.png", "A 17004-2024")</f>
        <v/>
      </c>
      <c r="V311">
        <f>HYPERLINK("https://klasma.github.io/Logging_0382/klagomål/A 17004-2024 FSC-klagomål.docx", "A 17004-2024")</f>
        <v/>
      </c>
      <c r="W311">
        <f>HYPERLINK("https://klasma.github.io/Logging_0382/klagomålsmail/A 17004-2024 FSC-klagomål mail.docx", "A 17004-2024")</f>
        <v/>
      </c>
      <c r="X311">
        <f>HYPERLINK("https://klasma.github.io/Logging_0382/tillsyn/A 17004-2024 tillsynsbegäran.docx", "A 17004-2024")</f>
        <v/>
      </c>
      <c r="Y311">
        <f>HYPERLINK("https://klasma.github.io/Logging_0382/tillsynsmail/A 17004-2024 tillsynsbegäran mail.docx", "A 17004-2024")</f>
        <v/>
      </c>
    </row>
    <row r="312" ht="15" customHeight="1">
      <c r="A312" t="inlineStr">
        <is>
          <t>A 22185-2024</t>
        </is>
      </c>
      <c r="B312" s="1" t="n">
        <v>45446</v>
      </c>
      <c r="C312" s="1" t="n">
        <v>45832</v>
      </c>
      <c r="D312" t="inlineStr">
        <is>
          <t>UPPSALA LÄN</t>
        </is>
      </c>
      <c r="E312" t="inlineStr">
        <is>
          <t>HEBY</t>
        </is>
      </c>
      <c r="F312" t="inlineStr">
        <is>
          <t>Bergvik skog väst AB</t>
        </is>
      </c>
      <c r="G312" t="n">
        <v>17.3</v>
      </c>
      <c r="H312" t="n">
        <v>0</v>
      </c>
      <c r="I312" t="n">
        <v>2</v>
      </c>
      <c r="J312" t="n">
        <v>0</v>
      </c>
      <c r="K312" t="n">
        <v>1</v>
      </c>
      <c r="L312" t="n">
        <v>0</v>
      </c>
      <c r="M312" t="n">
        <v>0</v>
      </c>
      <c r="N312" t="n">
        <v>0</v>
      </c>
      <c r="O312" t="n">
        <v>1</v>
      </c>
      <c r="P312" t="n">
        <v>1</v>
      </c>
      <c r="Q312" t="n">
        <v>3</v>
      </c>
      <c r="R312" s="2" t="inlineStr">
        <is>
          <t>Aspsplintbock
Aspvedgnagare
Myskbock</t>
        </is>
      </c>
      <c r="S312">
        <f>HYPERLINK("https://klasma.github.io/Logging_0331/artfynd/A 22185-2024 artfynd.xlsx", "A 22185-2024")</f>
        <v/>
      </c>
      <c r="T312">
        <f>HYPERLINK("https://klasma.github.io/Logging_0331/kartor/A 22185-2024 karta.png", "A 22185-2024")</f>
        <v/>
      </c>
      <c r="V312">
        <f>HYPERLINK("https://klasma.github.io/Logging_0331/klagomål/A 22185-2024 FSC-klagomål.docx", "A 22185-2024")</f>
        <v/>
      </c>
      <c r="W312">
        <f>HYPERLINK("https://klasma.github.io/Logging_0331/klagomålsmail/A 22185-2024 FSC-klagomål mail.docx", "A 22185-2024")</f>
        <v/>
      </c>
      <c r="X312">
        <f>HYPERLINK("https://klasma.github.io/Logging_0331/tillsyn/A 22185-2024 tillsynsbegäran.docx", "A 22185-2024")</f>
        <v/>
      </c>
      <c r="Y312">
        <f>HYPERLINK("https://klasma.github.io/Logging_0331/tillsynsmail/A 22185-2024 tillsynsbegäran mail.docx", "A 22185-2024")</f>
        <v/>
      </c>
    </row>
    <row r="313" ht="15" customHeight="1">
      <c r="A313" t="inlineStr">
        <is>
          <t>A 29322-2024</t>
        </is>
      </c>
      <c r="B313" s="1" t="n">
        <v>45483</v>
      </c>
      <c r="C313" s="1" t="n">
        <v>45832</v>
      </c>
      <c r="D313" t="inlineStr">
        <is>
          <t>UPPSALA LÄN</t>
        </is>
      </c>
      <c r="E313" t="inlineStr">
        <is>
          <t>ÖSTHAMMAR</t>
        </is>
      </c>
      <c r="G313" t="n">
        <v>11.9</v>
      </c>
      <c r="H313" t="n">
        <v>0</v>
      </c>
      <c r="I313" t="n">
        <v>2</v>
      </c>
      <c r="J313" t="n">
        <v>1</v>
      </c>
      <c r="K313" t="n">
        <v>0</v>
      </c>
      <c r="L313" t="n">
        <v>0</v>
      </c>
      <c r="M313" t="n">
        <v>0</v>
      </c>
      <c r="N313" t="n">
        <v>0</v>
      </c>
      <c r="O313" t="n">
        <v>1</v>
      </c>
      <c r="P313" t="n">
        <v>0</v>
      </c>
      <c r="Q313" t="n">
        <v>3</v>
      </c>
      <c r="R313" s="2" t="inlineStr">
        <is>
          <t>Äggspindling
Anisspindling
Guldkremla</t>
        </is>
      </c>
      <c r="S313">
        <f>HYPERLINK("https://klasma.github.io/Logging_0382/artfynd/A 29322-2024 artfynd.xlsx", "A 29322-2024")</f>
        <v/>
      </c>
      <c r="T313">
        <f>HYPERLINK("https://klasma.github.io/Logging_0382/kartor/A 29322-2024 karta.png", "A 29322-2024")</f>
        <v/>
      </c>
      <c r="V313">
        <f>HYPERLINK("https://klasma.github.io/Logging_0382/klagomål/A 29322-2024 FSC-klagomål.docx", "A 29322-2024")</f>
        <v/>
      </c>
      <c r="W313">
        <f>HYPERLINK("https://klasma.github.io/Logging_0382/klagomålsmail/A 29322-2024 FSC-klagomål mail.docx", "A 29322-2024")</f>
        <v/>
      </c>
      <c r="X313">
        <f>HYPERLINK("https://klasma.github.io/Logging_0382/tillsyn/A 29322-2024 tillsynsbegäran.docx", "A 29322-2024")</f>
        <v/>
      </c>
      <c r="Y313">
        <f>HYPERLINK("https://klasma.github.io/Logging_0382/tillsynsmail/A 29322-2024 tillsynsbegäran mail.docx", "A 29322-2024")</f>
        <v/>
      </c>
    </row>
    <row r="314" ht="15" customHeight="1">
      <c r="A314" t="inlineStr">
        <is>
          <t>A 31174-2024</t>
        </is>
      </c>
      <c r="B314" s="1" t="n">
        <v>45503</v>
      </c>
      <c r="C314" s="1" t="n">
        <v>45832</v>
      </c>
      <c r="D314" t="inlineStr">
        <is>
          <t>UPPSALA LÄN</t>
        </is>
      </c>
      <c r="E314" t="inlineStr">
        <is>
          <t>HEBY</t>
        </is>
      </c>
      <c r="G314" t="n">
        <v>4.5</v>
      </c>
      <c r="H314" t="n">
        <v>1</v>
      </c>
      <c r="I314" t="n">
        <v>0</v>
      </c>
      <c r="J314" t="n">
        <v>1</v>
      </c>
      <c r="K314" t="n">
        <v>1</v>
      </c>
      <c r="L314" t="n">
        <v>0</v>
      </c>
      <c r="M314" t="n">
        <v>0</v>
      </c>
      <c r="N314" t="n">
        <v>0</v>
      </c>
      <c r="O314" t="n">
        <v>2</v>
      </c>
      <c r="P314" t="n">
        <v>1</v>
      </c>
      <c r="Q314" t="n">
        <v>3</v>
      </c>
      <c r="R314" s="2" t="inlineStr">
        <is>
          <t>Lammticka
Motaggsvamp
Vanlig snok</t>
        </is>
      </c>
      <c r="S314">
        <f>HYPERLINK("https://klasma.github.io/Logging_0331/artfynd/A 31174-2024 artfynd.xlsx", "A 31174-2024")</f>
        <v/>
      </c>
      <c r="T314">
        <f>HYPERLINK("https://klasma.github.io/Logging_0331/kartor/A 31174-2024 karta.png", "A 31174-2024")</f>
        <v/>
      </c>
      <c r="V314">
        <f>HYPERLINK("https://klasma.github.io/Logging_0331/klagomål/A 31174-2024 FSC-klagomål.docx", "A 31174-2024")</f>
        <v/>
      </c>
      <c r="W314">
        <f>HYPERLINK("https://klasma.github.io/Logging_0331/klagomålsmail/A 31174-2024 FSC-klagomål mail.docx", "A 31174-2024")</f>
        <v/>
      </c>
      <c r="X314">
        <f>HYPERLINK("https://klasma.github.io/Logging_0331/tillsyn/A 31174-2024 tillsynsbegäran.docx", "A 31174-2024")</f>
        <v/>
      </c>
      <c r="Y314">
        <f>HYPERLINK("https://klasma.github.io/Logging_0331/tillsynsmail/A 31174-2024 tillsynsbegäran mail.docx", "A 31174-2024")</f>
        <v/>
      </c>
    </row>
    <row r="315" ht="15" customHeight="1">
      <c r="A315" t="inlineStr">
        <is>
          <t>A 31758-2024</t>
        </is>
      </c>
      <c r="B315" s="1" t="n">
        <v>45509</v>
      </c>
      <c r="C315" s="1" t="n">
        <v>45832</v>
      </c>
      <c r="D315" t="inlineStr">
        <is>
          <t>UPPSALA LÄN</t>
        </is>
      </c>
      <c r="E315" t="inlineStr">
        <is>
          <t>HEBY</t>
        </is>
      </c>
      <c r="G315" t="n">
        <v>5</v>
      </c>
      <c r="H315" t="n">
        <v>0</v>
      </c>
      <c r="I315" t="n">
        <v>0</v>
      </c>
      <c r="J315" t="n">
        <v>2</v>
      </c>
      <c r="K315" t="n">
        <v>1</v>
      </c>
      <c r="L315" t="n">
        <v>0</v>
      </c>
      <c r="M315" t="n">
        <v>0</v>
      </c>
      <c r="N315" t="n">
        <v>0</v>
      </c>
      <c r="O315" t="n">
        <v>3</v>
      </c>
      <c r="P315" t="n">
        <v>1</v>
      </c>
      <c r="Q315" t="n">
        <v>3</v>
      </c>
      <c r="R315" s="2" t="inlineStr">
        <is>
          <t>Lammticka
Druvfingersvamp
Motaggsvamp</t>
        </is>
      </c>
      <c r="S315">
        <f>HYPERLINK("https://klasma.github.io/Logging_0331/artfynd/A 31758-2024 artfynd.xlsx", "A 31758-2024")</f>
        <v/>
      </c>
      <c r="T315">
        <f>HYPERLINK("https://klasma.github.io/Logging_0331/kartor/A 31758-2024 karta.png", "A 31758-2024")</f>
        <v/>
      </c>
      <c r="V315">
        <f>HYPERLINK("https://klasma.github.io/Logging_0331/klagomål/A 31758-2024 FSC-klagomål.docx", "A 31758-2024")</f>
        <v/>
      </c>
      <c r="W315">
        <f>HYPERLINK("https://klasma.github.io/Logging_0331/klagomålsmail/A 31758-2024 FSC-klagomål mail.docx", "A 31758-2024")</f>
        <v/>
      </c>
      <c r="X315">
        <f>HYPERLINK("https://klasma.github.io/Logging_0331/tillsyn/A 31758-2024 tillsynsbegäran.docx", "A 31758-2024")</f>
        <v/>
      </c>
      <c r="Y315">
        <f>HYPERLINK("https://klasma.github.io/Logging_0331/tillsynsmail/A 31758-2024 tillsynsbegäran mail.docx", "A 31758-2024")</f>
        <v/>
      </c>
    </row>
    <row r="316" ht="15" customHeight="1">
      <c r="A316" t="inlineStr">
        <is>
          <t>A 33803-2024</t>
        </is>
      </c>
      <c r="B316" s="1" t="n">
        <v>45520</v>
      </c>
      <c r="C316" s="1" t="n">
        <v>45832</v>
      </c>
      <c r="D316" t="inlineStr">
        <is>
          <t>UPPSALA LÄN</t>
        </is>
      </c>
      <c r="E316" t="inlineStr">
        <is>
          <t>ÄLVKARLEBY</t>
        </is>
      </c>
      <c r="F316" t="inlineStr">
        <is>
          <t>Bergvik skog väst AB</t>
        </is>
      </c>
      <c r="G316" t="n">
        <v>1.6</v>
      </c>
      <c r="H316" t="n">
        <v>0</v>
      </c>
      <c r="I316" t="n">
        <v>3</v>
      </c>
      <c r="J316" t="n">
        <v>0</v>
      </c>
      <c r="K316" t="n">
        <v>0</v>
      </c>
      <c r="L316" t="n">
        <v>0</v>
      </c>
      <c r="M316" t="n">
        <v>0</v>
      </c>
      <c r="N316" t="n">
        <v>0</v>
      </c>
      <c r="O316" t="n">
        <v>0</v>
      </c>
      <c r="P316" t="n">
        <v>0</v>
      </c>
      <c r="Q316" t="n">
        <v>3</v>
      </c>
      <c r="R316" s="2" t="inlineStr">
        <is>
          <t>Bronshjon
Thomsons trägnagare
Tibast</t>
        </is>
      </c>
      <c r="S316">
        <f>HYPERLINK("https://klasma.github.io/Logging_0319/artfynd/A 33803-2024 artfynd.xlsx", "A 33803-2024")</f>
        <v/>
      </c>
      <c r="T316">
        <f>HYPERLINK("https://klasma.github.io/Logging_0319/kartor/A 33803-2024 karta.png", "A 33803-2024")</f>
        <v/>
      </c>
      <c r="V316">
        <f>HYPERLINK("https://klasma.github.io/Logging_0319/klagomål/A 33803-2024 FSC-klagomål.docx", "A 33803-2024")</f>
        <v/>
      </c>
      <c r="W316">
        <f>HYPERLINK("https://klasma.github.io/Logging_0319/klagomålsmail/A 33803-2024 FSC-klagomål mail.docx", "A 33803-2024")</f>
        <v/>
      </c>
      <c r="X316">
        <f>HYPERLINK("https://klasma.github.io/Logging_0319/tillsyn/A 33803-2024 tillsynsbegäran.docx", "A 33803-2024")</f>
        <v/>
      </c>
      <c r="Y316">
        <f>HYPERLINK("https://klasma.github.io/Logging_0319/tillsynsmail/A 33803-2024 tillsynsbegäran mail.docx", "A 33803-2024")</f>
        <v/>
      </c>
    </row>
    <row r="317" ht="15" customHeight="1">
      <c r="A317" t="inlineStr">
        <is>
          <t>A 34798-2024</t>
        </is>
      </c>
      <c r="B317" s="1" t="n">
        <v>45526</v>
      </c>
      <c r="C317" s="1" t="n">
        <v>45832</v>
      </c>
      <c r="D317" t="inlineStr">
        <is>
          <t>UPPSALA LÄN</t>
        </is>
      </c>
      <c r="E317" t="inlineStr">
        <is>
          <t>ÄLVKARLEBY</t>
        </is>
      </c>
      <c r="F317" t="inlineStr">
        <is>
          <t>Bergvik skog väst AB</t>
        </is>
      </c>
      <c r="G317" t="n">
        <v>13.8</v>
      </c>
      <c r="H317" t="n">
        <v>0</v>
      </c>
      <c r="I317" t="n">
        <v>3</v>
      </c>
      <c r="J317" t="n">
        <v>0</v>
      </c>
      <c r="K317" t="n">
        <v>0</v>
      </c>
      <c r="L317" t="n">
        <v>0</v>
      </c>
      <c r="M317" t="n">
        <v>0</v>
      </c>
      <c r="N317" t="n">
        <v>0</v>
      </c>
      <c r="O317" t="n">
        <v>0</v>
      </c>
      <c r="P317" t="n">
        <v>0</v>
      </c>
      <c r="Q317" t="n">
        <v>3</v>
      </c>
      <c r="R317" s="2" t="inlineStr">
        <is>
          <t>Rödgul trumpetsvamp
Tibast
Vätteros</t>
        </is>
      </c>
      <c r="S317">
        <f>HYPERLINK("https://klasma.github.io/Logging_0319/artfynd/A 34798-2024 artfynd.xlsx", "A 34798-2024")</f>
        <v/>
      </c>
      <c r="T317">
        <f>HYPERLINK("https://klasma.github.io/Logging_0319/kartor/A 34798-2024 karta.png", "A 34798-2024")</f>
        <v/>
      </c>
      <c r="V317">
        <f>HYPERLINK("https://klasma.github.io/Logging_0319/klagomål/A 34798-2024 FSC-klagomål.docx", "A 34798-2024")</f>
        <v/>
      </c>
      <c r="W317">
        <f>HYPERLINK("https://klasma.github.io/Logging_0319/klagomålsmail/A 34798-2024 FSC-klagomål mail.docx", "A 34798-2024")</f>
        <v/>
      </c>
      <c r="X317">
        <f>HYPERLINK("https://klasma.github.io/Logging_0319/tillsyn/A 34798-2024 tillsynsbegäran.docx", "A 34798-2024")</f>
        <v/>
      </c>
      <c r="Y317">
        <f>HYPERLINK("https://klasma.github.io/Logging_0319/tillsynsmail/A 34798-2024 tillsynsbegäran mail.docx", "A 34798-2024")</f>
        <v/>
      </c>
    </row>
    <row r="318" ht="15" customHeight="1">
      <c r="A318" t="inlineStr">
        <is>
          <t>A 39228-2024</t>
        </is>
      </c>
      <c r="B318" s="1" t="n">
        <v>45550</v>
      </c>
      <c r="C318" s="1" t="n">
        <v>45832</v>
      </c>
      <c r="D318" t="inlineStr">
        <is>
          <t>UPPSALA LÄN</t>
        </is>
      </c>
      <c r="E318" t="inlineStr">
        <is>
          <t>UPPSALA</t>
        </is>
      </c>
      <c r="G318" t="n">
        <v>2</v>
      </c>
      <c r="H318" t="n">
        <v>2</v>
      </c>
      <c r="I318" t="n">
        <v>1</v>
      </c>
      <c r="J318" t="n">
        <v>0</v>
      </c>
      <c r="K318" t="n">
        <v>0</v>
      </c>
      <c r="L318" t="n">
        <v>0</v>
      </c>
      <c r="M318" t="n">
        <v>0</v>
      </c>
      <c r="N318" t="n">
        <v>0</v>
      </c>
      <c r="O318" t="n">
        <v>0</v>
      </c>
      <c r="P318" t="n">
        <v>0</v>
      </c>
      <c r="Q318" t="n">
        <v>3</v>
      </c>
      <c r="R318" s="2" t="inlineStr">
        <is>
          <t>Sotlav
Fläcknycklar
Blåsippa</t>
        </is>
      </c>
      <c r="S318">
        <f>HYPERLINK("https://klasma.github.io/Logging_0380/artfynd/A 39228-2024 artfynd.xlsx", "A 39228-2024")</f>
        <v/>
      </c>
      <c r="T318">
        <f>HYPERLINK("https://klasma.github.io/Logging_0380/kartor/A 39228-2024 karta.png", "A 39228-2024")</f>
        <v/>
      </c>
      <c r="V318">
        <f>HYPERLINK("https://klasma.github.io/Logging_0380/klagomål/A 39228-2024 FSC-klagomål.docx", "A 39228-2024")</f>
        <v/>
      </c>
      <c r="W318">
        <f>HYPERLINK("https://klasma.github.io/Logging_0380/klagomålsmail/A 39228-2024 FSC-klagomål mail.docx", "A 39228-2024")</f>
        <v/>
      </c>
      <c r="X318">
        <f>HYPERLINK("https://klasma.github.io/Logging_0380/tillsyn/A 39228-2024 tillsynsbegäran.docx", "A 39228-2024")</f>
        <v/>
      </c>
      <c r="Y318">
        <f>HYPERLINK("https://klasma.github.io/Logging_0380/tillsynsmail/A 39228-2024 tillsynsbegäran mail.docx", "A 39228-2024")</f>
        <v/>
      </c>
    </row>
    <row r="319" ht="15" customHeight="1">
      <c r="A319" t="inlineStr">
        <is>
          <t>A 41443-2024</t>
        </is>
      </c>
      <c r="B319" s="1" t="n">
        <v>45560</v>
      </c>
      <c r="C319" s="1" t="n">
        <v>45832</v>
      </c>
      <c r="D319" t="inlineStr">
        <is>
          <t>UPPSALA LÄN</t>
        </is>
      </c>
      <c r="E319" t="inlineStr">
        <is>
          <t>ÖSTHAMMAR</t>
        </is>
      </c>
      <c r="F319" t="inlineStr">
        <is>
          <t>Bergvik skog väst AB</t>
        </is>
      </c>
      <c r="G319" t="n">
        <v>10.7</v>
      </c>
      <c r="H319" t="n">
        <v>2</v>
      </c>
      <c r="I319" t="n">
        <v>1</v>
      </c>
      <c r="J319" t="n">
        <v>1</v>
      </c>
      <c r="K319" t="n">
        <v>0</v>
      </c>
      <c r="L319" t="n">
        <v>0</v>
      </c>
      <c r="M319" t="n">
        <v>0</v>
      </c>
      <c r="N319" t="n">
        <v>0</v>
      </c>
      <c r="O319" t="n">
        <v>1</v>
      </c>
      <c r="P319" t="n">
        <v>0</v>
      </c>
      <c r="Q319" t="n">
        <v>3</v>
      </c>
      <c r="R319" s="2" t="inlineStr">
        <is>
          <t>Spillkråka
Brandticka
Blåsippa</t>
        </is>
      </c>
      <c r="S319">
        <f>HYPERLINK("https://klasma.github.io/Logging_0382/artfynd/A 41443-2024 artfynd.xlsx", "A 41443-2024")</f>
        <v/>
      </c>
      <c r="T319">
        <f>HYPERLINK("https://klasma.github.io/Logging_0382/kartor/A 41443-2024 karta.png", "A 41443-2024")</f>
        <v/>
      </c>
      <c r="V319">
        <f>HYPERLINK("https://klasma.github.io/Logging_0382/klagomål/A 41443-2024 FSC-klagomål.docx", "A 41443-2024")</f>
        <v/>
      </c>
      <c r="W319">
        <f>HYPERLINK("https://klasma.github.io/Logging_0382/klagomålsmail/A 41443-2024 FSC-klagomål mail.docx", "A 41443-2024")</f>
        <v/>
      </c>
      <c r="X319">
        <f>HYPERLINK("https://klasma.github.io/Logging_0382/tillsyn/A 41443-2024 tillsynsbegäran.docx", "A 41443-2024")</f>
        <v/>
      </c>
      <c r="Y319">
        <f>HYPERLINK("https://klasma.github.io/Logging_0382/tillsynsmail/A 41443-2024 tillsynsbegäran mail.docx", "A 41443-2024")</f>
        <v/>
      </c>
      <c r="Z319">
        <f>HYPERLINK("https://klasma.github.io/Logging_0382/fåglar/A 41443-2024 prioriterade fågelarter.docx", "A 41443-2024")</f>
        <v/>
      </c>
    </row>
    <row r="320" ht="15" customHeight="1">
      <c r="A320" t="inlineStr">
        <is>
          <t>A 46735-2024</t>
        </is>
      </c>
      <c r="B320" s="1" t="n">
        <v>45583</v>
      </c>
      <c r="C320" s="1" t="n">
        <v>45832</v>
      </c>
      <c r="D320" t="inlineStr">
        <is>
          <t>UPPSALA LÄN</t>
        </is>
      </c>
      <c r="E320" t="inlineStr">
        <is>
          <t>UPPSALA</t>
        </is>
      </c>
      <c r="F320" t="inlineStr">
        <is>
          <t>Sveaskog</t>
        </is>
      </c>
      <c r="G320" t="n">
        <v>2.3</v>
      </c>
      <c r="H320" t="n">
        <v>1</v>
      </c>
      <c r="I320" t="n">
        <v>1</v>
      </c>
      <c r="J320" t="n">
        <v>1</v>
      </c>
      <c r="K320" t="n">
        <v>1</v>
      </c>
      <c r="L320" t="n">
        <v>0</v>
      </c>
      <c r="M320" t="n">
        <v>0</v>
      </c>
      <c r="N320" t="n">
        <v>0</v>
      </c>
      <c r="O320" t="n">
        <v>2</v>
      </c>
      <c r="P320" t="n">
        <v>1</v>
      </c>
      <c r="Q320" t="n">
        <v>3</v>
      </c>
      <c r="R320" s="2" t="inlineStr">
        <is>
          <t>Knärot
Vedtrappmossa
Mörk husmossa</t>
        </is>
      </c>
      <c r="S320">
        <f>HYPERLINK("https://klasma.github.io/Logging_0380/artfynd/A 46735-2024 artfynd.xlsx", "A 46735-2024")</f>
        <v/>
      </c>
      <c r="T320">
        <f>HYPERLINK("https://klasma.github.io/Logging_0380/kartor/A 46735-2024 karta.png", "A 46735-2024")</f>
        <v/>
      </c>
      <c r="U320">
        <f>HYPERLINK("https://klasma.github.io/Logging_0380/knärot/A 46735-2024 karta knärot.png", "A 46735-2024")</f>
        <v/>
      </c>
      <c r="V320">
        <f>HYPERLINK("https://klasma.github.io/Logging_0380/klagomål/A 46735-2024 FSC-klagomål.docx", "A 46735-2024")</f>
        <v/>
      </c>
      <c r="W320">
        <f>HYPERLINK("https://klasma.github.io/Logging_0380/klagomålsmail/A 46735-2024 FSC-klagomål mail.docx", "A 46735-2024")</f>
        <v/>
      </c>
      <c r="X320">
        <f>HYPERLINK("https://klasma.github.io/Logging_0380/tillsyn/A 46735-2024 tillsynsbegäran.docx", "A 46735-2024")</f>
        <v/>
      </c>
      <c r="Y320">
        <f>HYPERLINK("https://klasma.github.io/Logging_0380/tillsynsmail/A 46735-2024 tillsynsbegäran mail.docx", "A 46735-2024")</f>
        <v/>
      </c>
    </row>
    <row r="321" ht="15" customHeight="1">
      <c r="A321" t="inlineStr">
        <is>
          <t>A 47653-2024</t>
        </is>
      </c>
      <c r="B321" s="1" t="n">
        <v>45588</v>
      </c>
      <c r="C321" s="1" t="n">
        <v>45832</v>
      </c>
      <c r="D321" t="inlineStr">
        <is>
          <t>UPPSALA LÄN</t>
        </is>
      </c>
      <c r="E321" t="inlineStr">
        <is>
          <t>HÅBO</t>
        </is>
      </c>
      <c r="G321" t="n">
        <v>3</v>
      </c>
      <c r="H321" t="n">
        <v>2</v>
      </c>
      <c r="I321" t="n">
        <v>1</v>
      </c>
      <c r="J321" t="n">
        <v>1</v>
      </c>
      <c r="K321" t="n">
        <v>0</v>
      </c>
      <c r="L321" t="n">
        <v>0</v>
      </c>
      <c r="M321" t="n">
        <v>0</v>
      </c>
      <c r="N321" t="n">
        <v>0</v>
      </c>
      <c r="O321" t="n">
        <v>1</v>
      </c>
      <c r="P321" t="n">
        <v>0</v>
      </c>
      <c r="Q321" t="n">
        <v>3</v>
      </c>
      <c r="R321" s="2" t="inlineStr">
        <is>
          <t>Backklöver
Nästrot
Blåsippa</t>
        </is>
      </c>
      <c r="S321">
        <f>HYPERLINK("https://klasma.github.io/Logging_0305/artfynd/A 47653-2024 artfynd.xlsx", "A 47653-2024")</f>
        <v/>
      </c>
      <c r="T321">
        <f>HYPERLINK("https://klasma.github.io/Logging_0305/kartor/A 47653-2024 karta.png", "A 47653-2024")</f>
        <v/>
      </c>
      <c r="V321">
        <f>HYPERLINK("https://klasma.github.io/Logging_0305/klagomål/A 47653-2024 FSC-klagomål.docx", "A 47653-2024")</f>
        <v/>
      </c>
      <c r="W321">
        <f>HYPERLINK("https://klasma.github.io/Logging_0305/klagomålsmail/A 47653-2024 FSC-klagomål mail.docx", "A 47653-2024")</f>
        <v/>
      </c>
      <c r="X321">
        <f>HYPERLINK("https://klasma.github.io/Logging_0305/tillsyn/A 47653-2024 tillsynsbegäran.docx", "A 47653-2024")</f>
        <v/>
      </c>
      <c r="Y321">
        <f>HYPERLINK("https://klasma.github.io/Logging_0305/tillsynsmail/A 47653-2024 tillsynsbegäran mail.docx", "A 47653-2024")</f>
        <v/>
      </c>
    </row>
    <row r="322" ht="15" customHeight="1">
      <c r="A322" t="inlineStr">
        <is>
          <t>A 50466-2024</t>
        </is>
      </c>
      <c r="B322" s="1" t="n">
        <v>45601</v>
      </c>
      <c r="C322" s="1" t="n">
        <v>45832</v>
      </c>
      <c r="D322" t="inlineStr">
        <is>
          <t>UPPSALA LÄN</t>
        </is>
      </c>
      <c r="E322" t="inlineStr">
        <is>
          <t>HEBY</t>
        </is>
      </c>
      <c r="G322" t="n">
        <v>2.4</v>
      </c>
      <c r="H322" t="n">
        <v>3</v>
      </c>
      <c r="I322" t="n">
        <v>0</v>
      </c>
      <c r="J322" t="n">
        <v>0</v>
      </c>
      <c r="K322" t="n">
        <v>2</v>
      </c>
      <c r="L322" t="n">
        <v>0</v>
      </c>
      <c r="M322" t="n">
        <v>0</v>
      </c>
      <c r="N322" t="n">
        <v>0</v>
      </c>
      <c r="O322" t="n">
        <v>2</v>
      </c>
      <c r="P322" t="n">
        <v>2</v>
      </c>
      <c r="Q322" t="n">
        <v>3</v>
      </c>
      <c r="R322" s="2" t="inlineStr">
        <is>
          <t>Knärot
Väddnätfjäril
Tjäder</t>
        </is>
      </c>
      <c r="S322">
        <f>HYPERLINK("https://klasma.github.io/Logging_0331/artfynd/A 50466-2024 artfynd.xlsx", "A 50466-2024")</f>
        <v/>
      </c>
      <c r="T322">
        <f>HYPERLINK("https://klasma.github.io/Logging_0331/kartor/A 50466-2024 karta.png", "A 50466-2024")</f>
        <v/>
      </c>
      <c r="U322">
        <f>HYPERLINK("https://klasma.github.io/Logging_0331/knärot/A 50466-2024 karta knärot.png", "A 50466-2024")</f>
        <v/>
      </c>
      <c r="V322">
        <f>HYPERLINK("https://klasma.github.io/Logging_0331/klagomål/A 50466-2024 FSC-klagomål.docx", "A 50466-2024")</f>
        <v/>
      </c>
      <c r="W322">
        <f>HYPERLINK("https://klasma.github.io/Logging_0331/klagomålsmail/A 50466-2024 FSC-klagomål mail.docx", "A 50466-2024")</f>
        <v/>
      </c>
      <c r="X322">
        <f>HYPERLINK("https://klasma.github.io/Logging_0331/tillsyn/A 50466-2024 tillsynsbegäran.docx", "A 50466-2024")</f>
        <v/>
      </c>
      <c r="Y322">
        <f>HYPERLINK("https://klasma.github.io/Logging_0331/tillsynsmail/A 50466-2024 tillsynsbegäran mail.docx", "A 50466-2024")</f>
        <v/>
      </c>
      <c r="Z322">
        <f>HYPERLINK("https://klasma.github.io/Logging_0331/fåglar/A 50466-2024 prioriterade fågelarter.docx", "A 50466-2024")</f>
        <v/>
      </c>
    </row>
    <row r="323" ht="15" customHeight="1">
      <c r="A323" t="inlineStr">
        <is>
          <t>A 55186-2024</t>
        </is>
      </c>
      <c r="B323" s="1" t="n">
        <v>45621</v>
      </c>
      <c r="C323" s="1" t="n">
        <v>45832</v>
      </c>
      <c r="D323" t="inlineStr">
        <is>
          <t>UPPSALA LÄN</t>
        </is>
      </c>
      <c r="E323" t="inlineStr">
        <is>
          <t>ÖSTHAMMAR</t>
        </is>
      </c>
      <c r="G323" t="n">
        <v>1.8</v>
      </c>
      <c r="H323" t="n">
        <v>0</v>
      </c>
      <c r="I323" t="n">
        <v>2</v>
      </c>
      <c r="J323" t="n">
        <v>1</v>
      </c>
      <c r="K323" t="n">
        <v>0</v>
      </c>
      <c r="L323" t="n">
        <v>0</v>
      </c>
      <c r="M323" t="n">
        <v>0</v>
      </c>
      <c r="N323" t="n">
        <v>0</v>
      </c>
      <c r="O323" t="n">
        <v>1</v>
      </c>
      <c r="P323" t="n">
        <v>0</v>
      </c>
      <c r="Q323" t="n">
        <v>3</v>
      </c>
      <c r="R323" s="2" t="inlineStr">
        <is>
          <t>Äggspindling
Anisspindling
Granbarkgnagare</t>
        </is>
      </c>
      <c r="S323">
        <f>HYPERLINK("https://klasma.github.io/Logging_0382/artfynd/A 55186-2024 artfynd.xlsx", "A 55186-2024")</f>
        <v/>
      </c>
      <c r="T323">
        <f>HYPERLINK("https://klasma.github.io/Logging_0382/kartor/A 55186-2024 karta.png", "A 55186-2024")</f>
        <v/>
      </c>
      <c r="V323">
        <f>HYPERLINK("https://klasma.github.io/Logging_0382/klagomål/A 55186-2024 FSC-klagomål.docx", "A 55186-2024")</f>
        <v/>
      </c>
      <c r="W323">
        <f>HYPERLINK("https://klasma.github.io/Logging_0382/klagomålsmail/A 55186-2024 FSC-klagomål mail.docx", "A 55186-2024")</f>
        <v/>
      </c>
      <c r="X323">
        <f>HYPERLINK("https://klasma.github.io/Logging_0382/tillsyn/A 55186-2024 tillsynsbegäran.docx", "A 55186-2024")</f>
        <v/>
      </c>
      <c r="Y323">
        <f>HYPERLINK("https://klasma.github.io/Logging_0382/tillsynsmail/A 55186-2024 tillsynsbegäran mail.docx", "A 55186-2024")</f>
        <v/>
      </c>
    </row>
    <row r="324" ht="15" customHeight="1">
      <c r="A324" t="inlineStr">
        <is>
          <t>A 55547-2024</t>
        </is>
      </c>
      <c r="B324" s="1" t="n">
        <v>45622</v>
      </c>
      <c r="C324" s="1" t="n">
        <v>45832</v>
      </c>
      <c r="D324" t="inlineStr">
        <is>
          <t>UPPSALA LÄN</t>
        </is>
      </c>
      <c r="E324" t="inlineStr">
        <is>
          <t>ÄLVKARLEBY</t>
        </is>
      </c>
      <c r="F324" t="inlineStr">
        <is>
          <t>Bergvik skog väst AB</t>
        </is>
      </c>
      <c r="G324" t="n">
        <v>0.9</v>
      </c>
      <c r="H324" t="n">
        <v>2</v>
      </c>
      <c r="I324" t="n">
        <v>1</v>
      </c>
      <c r="J324" t="n">
        <v>0</v>
      </c>
      <c r="K324" t="n">
        <v>1</v>
      </c>
      <c r="L324" t="n">
        <v>0</v>
      </c>
      <c r="M324" t="n">
        <v>0</v>
      </c>
      <c r="N324" t="n">
        <v>0</v>
      </c>
      <c r="O324" t="n">
        <v>1</v>
      </c>
      <c r="P324" t="n">
        <v>1</v>
      </c>
      <c r="Q324" t="n">
        <v>3</v>
      </c>
      <c r="R324" s="2" t="inlineStr">
        <is>
          <t>Knärot
Vedticka
Sparvuggla</t>
        </is>
      </c>
      <c r="S324">
        <f>HYPERLINK("https://klasma.github.io/Logging_0319/artfynd/A 55547-2024 artfynd.xlsx", "A 55547-2024")</f>
        <v/>
      </c>
      <c r="T324">
        <f>HYPERLINK("https://klasma.github.io/Logging_0319/kartor/A 55547-2024 karta.png", "A 55547-2024")</f>
        <v/>
      </c>
      <c r="U324">
        <f>HYPERLINK("https://klasma.github.io/Logging_0319/knärot/A 55547-2024 karta knärot.png", "A 55547-2024")</f>
        <v/>
      </c>
      <c r="V324">
        <f>HYPERLINK("https://klasma.github.io/Logging_0319/klagomål/A 55547-2024 FSC-klagomål.docx", "A 55547-2024")</f>
        <v/>
      </c>
      <c r="W324">
        <f>HYPERLINK("https://klasma.github.io/Logging_0319/klagomålsmail/A 55547-2024 FSC-klagomål mail.docx", "A 55547-2024")</f>
        <v/>
      </c>
      <c r="X324">
        <f>HYPERLINK("https://klasma.github.io/Logging_0319/tillsyn/A 55547-2024 tillsynsbegäran.docx", "A 55547-2024")</f>
        <v/>
      </c>
      <c r="Y324">
        <f>HYPERLINK("https://klasma.github.io/Logging_0319/tillsynsmail/A 55547-2024 tillsynsbegäran mail.docx", "A 55547-2024")</f>
        <v/>
      </c>
      <c r="Z324">
        <f>HYPERLINK("https://klasma.github.io/Logging_0319/fåglar/A 55547-2024 prioriterade fågelarter.docx", "A 55547-2024")</f>
        <v/>
      </c>
    </row>
    <row r="325" ht="15" customHeight="1">
      <c r="A325" t="inlineStr">
        <is>
          <t>A 55555-2024</t>
        </is>
      </c>
      <c r="B325" s="1" t="n">
        <v>45622</v>
      </c>
      <c r="C325" s="1" t="n">
        <v>45832</v>
      </c>
      <c r="D325" t="inlineStr">
        <is>
          <t>UPPSALA LÄN</t>
        </is>
      </c>
      <c r="E325" t="inlineStr">
        <is>
          <t>ÄLVKARLEBY</t>
        </is>
      </c>
      <c r="F325" t="inlineStr">
        <is>
          <t>Bergvik skog väst AB</t>
        </is>
      </c>
      <c r="G325" t="n">
        <v>0.7</v>
      </c>
      <c r="H325" t="n">
        <v>1</v>
      </c>
      <c r="I325" t="n">
        <v>0</v>
      </c>
      <c r="J325" t="n">
        <v>1</v>
      </c>
      <c r="K325" t="n">
        <v>1</v>
      </c>
      <c r="L325" t="n">
        <v>1</v>
      </c>
      <c r="M325" t="n">
        <v>0</v>
      </c>
      <c r="N325" t="n">
        <v>0</v>
      </c>
      <c r="O325" t="n">
        <v>3</v>
      </c>
      <c r="P325" t="n">
        <v>2</v>
      </c>
      <c r="Q325" t="n">
        <v>3</v>
      </c>
      <c r="R325" s="2" t="inlineStr">
        <is>
          <t>Skeletocutis jelicii
Knärot
Vedtrappmossa</t>
        </is>
      </c>
      <c r="S325">
        <f>HYPERLINK("https://klasma.github.io/Logging_0319/artfynd/A 55555-2024 artfynd.xlsx", "A 55555-2024")</f>
        <v/>
      </c>
      <c r="T325">
        <f>HYPERLINK("https://klasma.github.io/Logging_0319/kartor/A 55555-2024 karta.png", "A 55555-2024")</f>
        <v/>
      </c>
      <c r="U325">
        <f>HYPERLINK("https://klasma.github.io/Logging_0319/knärot/A 55555-2024 karta knärot.png", "A 55555-2024")</f>
        <v/>
      </c>
      <c r="V325">
        <f>HYPERLINK("https://klasma.github.io/Logging_0319/klagomål/A 55555-2024 FSC-klagomål.docx", "A 55555-2024")</f>
        <v/>
      </c>
      <c r="W325">
        <f>HYPERLINK("https://klasma.github.io/Logging_0319/klagomålsmail/A 55555-2024 FSC-klagomål mail.docx", "A 55555-2024")</f>
        <v/>
      </c>
      <c r="X325">
        <f>HYPERLINK("https://klasma.github.io/Logging_0319/tillsyn/A 55555-2024 tillsynsbegäran.docx", "A 55555-2024")</f>
        <v/>
      </c>
      <c r="Y325">
        <f>HYPERLINK("https://klasma.github.io/Logging_0319/tillsynsmail/A 55555-2024 tillsynsbegäran mail.docx", "A 55555-2024")</f>
        <v/>
      </c>
    </row>
    <row r="326" ht="15" customHeight="1">
      <c r="A326" t="inlineStr">
        <is>
          <t>A 3932-2025</t>
        </is>
      </c>
      <c r="B326" s="1" t="n">
        <v>45684</v>
      </c>
      <c r="C326" s="1" t="n">
        <v>45832</v>
      </c>
      <c r="D326" t="inlineStr">
        <is>
          <t>UPPSALA LÄN</t>
        </is>
      </c>
      <c r="E326" t="inlineStr">
        <is>
          <t>UPPSALA</t>
        </is>
      </c>
      <c r="G326" t="n">
        <v>8.9</v>
      </c>
      <c r="H326" t="n">
        <v>1</v>
      </c>
      <c r="I326" t="n">
        <v>1</v>
      </c>
      <c r="J326" t="n">
        <v>1</v>
      </c>
      <c r="K326" t="n">
        <v>0</v>
      </c>
      <c r="L326" t="n">
        <v>0</v>
      </c>
      <c r="M326" t="n">
        <v>0</v>
      </c>
      <c r="N326" t="n">
        <v>0</v>
      </c>
      <c r="O326" t="n">
        <v>1</v>
      </c>
      <c r="P326" t="n">
        <v>0</v>
      </c>
      <c r="Q326" t="n">
        <v>3</v>
      </c>
      <c r="R326" s="2" t="inlineStr">
        <is>
          <t>Vedtrappmossa
Rostfläck
Revlummer</t>
        </is>
      </c>
      <c r="S326">
        <f>HYPERLINK("https://klasma.github.io/Logging_0380/artfynd/A 3932-2025 artfynd.xlsx", "A 3932-2025")</f>
        <v/>
      </c>
      <c r="T326">
        <f>HYPERLINK("https://klasma.github.io/Logging_0380/kartor/A 3932-2025 karta.png", "A 3932-2025")</f>
        <v/>
      </c>
      <c r="U326">
        <f>HYPERLINK("https://klasma.github.io/Logging_0380/knärot/A 3932-2025 karta knärot.png", "A 3932-2025")</f>
        <v/>
      </c>
      <c r="V326">
        <f>HYPERLINK("https://klasma.github.io/Logging_0380/klagomål/A 3932-2025 FSC-klagomål.docx", "A 3932-2025")</f>
        <v/>
      </c>
      <c r="W326">
        <f>HYPERLINK("https://klasma.github.io/Logging_0380/klagomålsmail/A 3932-2025 FSC-klagomål mail.docx", "A 3932-2025")</f>
        <v/>
      </c>
      <c r="X326">
        <f>HYPERLINK("https://klasma.github.io/Logging_0380/tillsyn/A 3932-2025 tillsynsbegäran.docx", "A 3932-2025")</f>
        <v/>
      </c>
      <c r="Y326">
        <f>HYPERLINK("https://klasma.github.io/Logging_0380/tillsynsmail/A 3932-2025 tillsynsbegäran mail.docx", "A 3932-2025")</f>
        <v/>
      </c>
    </row>
    <row r="327" ht="15" customHeight="1">
      <c r="A327" t="inlineStr">
        <is>
          <t>A 4610-2025</t>
        </is>
      </c>
      <c r="B327" s="1" t="n">
        <v>45687</v>
      </c>
      <c r="C327" s="1" t="n">
        <v>45832</v>
      </c>
      <c r="D327" t="inlineStr">
        <is>
          <t>UPPSALA LÄN</t>
        </is>
      </c>
      <c r="E327" t="inlineStr">
        <is>
          <t>HEBY</t>
        </is>
      </c>
      <c r="G327" t="n">
        <v>25.1</v>
      </c>
      <c r="H327" t="n">
        <v>0</v>
      </c>
      <c r="I327" t="n">
        <v>2</v>
      </c>
      <c r="J327" t="n">
        <v>1</v>
      </c>
      <c r="K327" t="n">
        <v>0</v>
      </c>
      <c r="L327" t="n">
        <v>0</v>
      </c>
      <c r="M327" t="n">
        <v>0</v>
      </c>
      <c r="N327" t="n">
        <v>0</v>
      </c>
      <c r="O327" t="n">
        <v>1</v>
      </c>
      <c r="P327" t="n">
        <v>0</v>
      </c>
      <c r="Q327" t="n">
        <v>3</v>
      </c>
      <c r="R327" s="2" t="inlineStr">
        <is>
          <t>Större flatbagge
Granbräken
Jättesvampmal</t>
        </is>
      </c>
      <c r="S327">
        <f>HYPERLINK("https://klasma.github.io/Logging_0331/artfynd/A 4610-2025 artfynd.xlsx", "A 4610-2025")</f>
        <v/>
      </c>
      <c r="T327">
        <f>HYPERLINK("https://klasma.github.io/Logging_0331/kartor/A 4610-2025 karta.png", "A 4610-2025")</f>
        <v/>
      </c>
      <c r="V327">
        <f>HYPERLINK("https://klasma.github.io/Logging_0331/klagomål/A 4610-2025 FSC-klagomål.docx", "A 4610-2025")</f>
        <v/>
      </c>
      <c r="W327">
        <f>HYPERLINK("https://klasma.github.io/Logging_0331/klagomålsmail/A 4610-2025 FSC-klagomål mail.docx", "A 4610-2025")</f>
        <v/>
      </c>
      <c r="X327">
        <f>HYPERLINK("https://klasma.github.io/Logging_0331/tillsyn/A 4610-2025 tillsynsbegäran.docx", "A 4610-2025")</f>
        <v/>
      </c>
      <c r="Y327">
        <f>HYPERLINK("https://klasma.github.io/Logging_0331/tillsynsmail/A 4610-2025 tillsynsbegäran mail.docx", "A 4610-2025")</f>
        <v/>
      </c>
    </row>
    <row r="328" ht="15" customHeight="1">
      <c r="A328" t="inlineStr">
        <is>
          <t>A 7399-2025</t>
        </is>
      </c>
      <c r="B328" s="1" t="n">
        <v>45702</v>
      </c>
      <c r="C328" s="1" t="n">
        <v>45832</v>
      </c>
      <c r="D328" t="inlineStr">
        <is>
          <t>UPPSALA LÄN</t>
        </is>
      </c>
      <c r="E328" t="inlineStr">
        <is>
          <t>ENKÖPING</t>
        </is>
      </c>
      <c r="G328" t="n">
        <v>5.9</v>
      </c>
      <c r="H328" t="n">
        <v>0</v>
      </c>
      <c r="I328" t="n">
        <v>3</v>
      </c>
      <c r="J328" t="n">
        <v>0</v>
      </c>
      <c r="K328" t="n">
        <v>0</v>
      </c>
      <c r="L328" t="n">
        <v>0</v>
      </c>
      <c r="M328" t="n">
        <v>0</v>
      </c>
      <c r="N328" t="n">
        <v>0</v>
      </c>
      <c r="O328" t="n">
        <v>0</v>
      </c>
      <c r="P328" t="n">
        <v>0</v>
      </c>
      <c r="Q328" t="n">
        <v>3</v>
      </c>
      <c r="R328" s="2" t="inlineStr">
        <is>
          <t>Dvärgkällmossa
Guldlockmossa
Trädporella</t>
        </is>
      </c>
      <c r="S328">
        <f>HYPERLINK("https://klasma.github.io/Logging_0381/artfynd/A 7399-2025 artfynd.xlsx", "A 7399-2025")</f>
        <v/>
      </c>
      <c r="T328">
        <f>HYPERLINK("https://klasma.github.io/Logging_0381/kartor/A 7399-2025 karta.png", "A 7399-2025")</f>
        <v/>
      </c>
      <c r="V328">
        <f>HYPERLINK("https://klasma.github.io/Logging_0381/klagomål/A 7399-2025 FSC-klagomål.docx", "A 7399-2025")</f>
        <v/>
      </c>
      <c r="W328">
        <f>HYPERLINK("https://klasma.github.io/Logging_0381/klagomålsmail/A 7399-2025 FSC-klagomål mail.docx", "A 7399-2025")</f>
        <v/>
      </c>
      <c r="X328">
        <f>HYPERLINK("https://klasma.github.io/Logging_0381/tillsyn/A 7399-2025 tillsynsbegäran.docx", "A 7399-2025")</f>
        <v/>
      </c>
      <c r="Y328">
        <f>HYPERLINK("https://klasma.github.io/Logging_0381/tillsynsmail/A 7399-2025 tillsynsbegäran mail.docx", "A 7399-2025")</f>
        <v/>
      </c>
    </row>
    <row r="329" ht="15" customHeight="1">
      <c r="A329" t="inlineStr">
        <is>
          <t>A 8224-2025</t>
        </is>
      </c>
      <c r="B329" s="1" t="n">
        <v>45708</v>
      </c>
      <c r="C329" s="1" t="n">
        <v>45832</v>
      </c>
      <c r="D329" t="inlineStr">
        <is>
          <t>UPPSALA LÄN</t>
        </is>
      </c>
      <c r="E329" t="inlineStr">
        <is>
          <t>TIERP</t>
        </is>
      </c>
      <c r="F329" t="inlineStr">
        <is>
          <t>Bergvik skog öst AB</t>
        </is>
      </c>
      <c r="G329" t="n">
        <v>2.1</v>
      </c>
      <c r="H329" t="n">
        <v>2</v>
      </c>
      <c r="I329" t="n">
        <v>1</v>
      </c>
      <c r="J329" t="n">
        <v>0</v>
      </c>
      <c r="K329" t="n">
        <v>1</v>
      </c>
      <c r="L329" t="n">
        <v>0</v>
      </c>
      <c r="M329" t="n">
        <v>0</v>
      </c>
      <c r="N329" t="n">
        <v>0</v>
      </c>
      <c r="O329" t="n">
        <v>1</v>
      </c>
      <c r="P329" t="n">
        <v>1</v>
      </c>
      <c r="Q329" t="n">
        <v>3</v>
      </c>
      <c r="R329" s="2" t="inlineStr">
        <is>
          <t>Stor låsbräken
Sårläka
Blåsippa</t>
        </is>
      </c>
      <c r="S329">
        <f>HYPERLINK("https://klasma.github.io/Logging_0360/artfynd/A 8224-2025 artfynd.xlsx", "A 8224-2025")</f>
        <v/>
      </c>
      <c r="T329">
        <f>HYPERLINK("https://klasma.github.io/Logging_0360/kartor/A 8224-2025 karta.png", "A 8224-2025")</f>
        <v/>
      </c>
      <c r="V329">
        <f>HYPERLINK("https://klasma.github.io/Logging_0360/klagomål/A 8224-2025 FSC-klagomål.docx", "A 8224-2025")</f>
        <v/>
      </c>
      <c r="W329">
        <f>HYPERLINK("https://klasma.github.io/Logging_0360/klagomålsmail/A 8224-2025 FSC-klagomål mail.docx", "A 8224-2025")</f>
        <v/>
      </c>
      <c r="X329">
        <f>HYPERLINK("https://klasma.github.io/Logging_0360/tillsyn/A 8224-2025 tillsynsbegäran.docx", "A 8224-2025")</f>
        <v/>
      </c>
      <c r="Y329">
        <f>HYPERLINK("https://klasma.github.io/Logging_0360/tillsynsmail/A 8224-2025 tillsynsbegäran mail.docx", "A 8224-2025")</f>
        <v/>
      </c>
    </row>
    <row r="330" ht="15" customHeight="1">
      <c r="A330" t="inlineStr">
        <is>
          <t>A 10846-2025</t>
        </is>
      </c>
      <c r="B330" s="1" t="n">
        <v>45722</v>
      </c>
      <c r="C330" s="1" t="n">
        <v>45832</v>
      </c>
      <c r="D330" t="inlineStr">
        <is>
          <t>UPPSALA LÄN</t>
        </is>
      </c>
      <c r="E330" t="inlineStr">
        <is>
          <t>TIERP</t>
        </is>
      </c>
      <c r="F330" t="inlineStr">
        <is>
          <t>Bergvik skog öst AB</t>
        </is>
      </c>
      <c r="G330" t="n">
        <v>1.8</v>
      </c>
      <c r="H330" t="n">
        <v>1</v>
      </c>
      <c r="I330" t="n">
        <v>2</v>
      </c>
      <c r="J330" t="n">
        <v>0</v>
      </c>
      <c r="K330" t="n">
        <v>0</v>
      </c>
      <c r="L330" t="n">
        <v>0</v>
      </c>
      <c r="M330" t="n">
        <v>0</v>
      </c>
      <c r="N330" t="n">
        <v>0</v>
      </c>
      <c r="O330" t="n">
        <v>0</v>
      </c>
      <c r="P330" t="n">
        <v>0</v>
      </c>
      <c r="Q330" t="n">
        <v>3</v>
      </c>
      <c r="R330" s="2" t="inlineStr">
        <is>
          <t>Rödgul trumpetsvamp
Tibast
Blåsippa</t>
        </is>
      </c>
      <c r="S330">
        <f>HYPERLINK("https://klasma.github.io/Logging_030360/artfynd/A 10846-2025 artfynd.xlsx", "A 10846-2025")</f>
        <v/>
      </c>
      <c r="T330">
        <f>HYPERLINK("https://klasma.github.io/Logging_030360/kartor/A 10846-2025 karta.png", "A 10846-2025")</f>
        <v/>
      </c>
      <c r="V330">
        <f>HYPERLINK("https://klasma.github.io/Logging_030360/klagomål/A 10846-2025 FSC-klagomål.docx", "A 10846-2025")</f>
        <v/>
      </c>
      <c r="W330">
        <f>HYPERLINK("https://klasma.github.io/Logging_030360/klagomålsmail/A 10846-2025 FSC-klagomål mail.docx", "A 10846-2025")</f>
        <v/>
      </c>
      <c r="X330">
        <f>HYPERLINK("https://klasma.github.io/Logging_030360/tillsyn/A 10846-2025 tillsynsbegäran.docx", "A 10846-2025")</f>
        <v/>
      </c>
      <c r="Y330">
        <f>HYPERLINK("https://klasma.github.io/Logging_030360/tillsynsmail/A 10846-2025 tillsynsbegäran mail.docx", "A 10846-2025")</f>
        <v/>
      </c>
    </row>
    <row r="331" ht="15" customHeight="1">
      <c r="A331" t="inlineStr">
        <is>
          <t>A 16146-2025</t>
        </is>
      </c>
      <c r="B331" s="1" t="n">
        <v>45750</v>
      </c>
      <c r="C331" s="1" t="n">
        <v>45832</v>
      </c>
      <c r="D331" t="inlineStr">
        <is>
          <t>UPPSALA LÄN</t>
        </is>
      </c>
      <c r="E331" t="inlineStr">
        <is>
          <t>ÖSTHAMMAR</t>
        </is>
      </c>
      <c r="F331" t="inlineStr">
        <is>
          <t>Övriga Aktiebolag</t>
        </is>
      </c>
      <c r="G331" t="n">
        <v>8.1</v>
      </c>
      <c r="H331" t="n">
        <v>0</v>
      </c>
      <c r="I331" t="n">
        <v>0</v>
      </c>
      <c r="J331" t="n">
        <v>3</v>
      </c>
      <c r="K331" t="n">
        <v>0</v>
      </c>
      <c r="L331" t="n">
        <v>0</v>
      </c>
      <c r="M331" t="n">
        <v>0</v>
      </c>
      <c r="N331" t="n">
        <v>0</v>
      </c>
      <c r="O331" t="n">
        <v>3</v>
      </c>
      <c r="P331" t="n">
        <v>0</v>
      </c>
      <c r="Q331" t="n">
        <v>3</v>
      </c>
      <c r="R331" s="2" t="inlineStr">
        <is>
          <t>Majviva
Silversmygare
Smalsprötad bastardsvärmare</t>
        </is>
      </c>
      <c r="S331">
        <f>HYPERLINK("https://klasma.github.io/Logging_030382/artfynd/A 16146-2025 artfynd.xlsx", "A 16146-2025")</f>
        <v/>
      </c>
      <c r="T331">
        <f>HYPERLINK("https://klasma.github.io/Logging_030382/kartor/A 16146-2025 karta.png", "A 16146-2025")</f>
        <v/>
      </c>
      <c r="V331">
        <f>HYPERLINK("https://klasma.github.io/Logging_030382/klagomål/A 16146-2025 FSC-klagomål.docx", "A 16146-2025")</f>
        <v/>
      </c>
      <c r="W331">
        <f>HYPERLINK("https://klasma.github.io/Logging_030382/klagomålsmail/A 16146-2025 FSC-klagomål mail.docx", "A 16146-2025")</f>
        <v/>
      </c>
      <c r="X331">
        <f>HYPERLINK("https://klasma.github.io/Logging_030382/tillsyn/A 16146-2025 tillsynsbegäran.docx", "A 16146-2025")</f>
        <v/>
      </c>
      <c r="Y331">
        <f>HYPERLINK("https://klasma.github.io/Logging_030382/tillsynsmail/A 16146-2025 tillsynsbegäran mail.docx", "A 16146-2025")</f>
        <v/>
      </c>
    </row>
    <row r="332" ht="15" customHeight="1">
      <c r="A332" t="inlineStr">
        <is>
          <t>A 25044-2025</t>
        </is>
      </c>
      <c r="B332" s="1" t="n">
        <v>45799</v>
      </c>
      <c r="C332" s="1" t="n">
        <v>45832</v>
      </c>
      <c r="D332" t="inlineStr">
        <is>
          <t>UPPSALA LÄN</t>
        </is>
      </c>
      <c r="E332" t="inlineStr">
        <is>
          <t>ÖSTHAMMAR</t>
        </is>
      </c>
      <c r="F332" t="inlineStr">
        <is>
          <t>Bergvik skog öst AB</t>
        </is>
      </c>
      <c r="G332" t="n">
        <v>8.199999999999999</v>
      </c>
      <c r="H332" t="n">
        <v>2</v>
      </c>
      <c r="I332" t="n">
        <v>2</v>
      </c>
      <c r="J332" t="n">
        <v>0</v>
      </c>
      <c r="K332" t="n">
        <v>0</v>
      </c>
      <c r="L332" t="n">
        <v>0</v>
      </c>
      <c r="M332" t="n">
        <v>0</v>
      </c>
      <c r="N332" t="n">
        <v>0</v>
      </c>
      <c r="O332" t="n">
        <v>0</v>
      </c>
      <c r="P332" t="n">
        <v>0</v>
      </c>
      <c r="Q332" t="n">
        <v>3</v>
      </c>
      <c r="R332" s="2" t="inlineStr">
        <is>
          <t>Tvåblad
Vårärt
Blåsippa</t>
        </is>
      </c>
      <c r="S332">
        <f>HYPERLINK("https://klasma.github.io/Logging_030382/artfynd/A 25044-2025 artfynd.xlsx", "A 25044-2025")</f>
        <v/>
      </c>
      <c r="T332">
        <f>HYPERLINK("https://klasma.github.io/Logging_030382/kartor/A 25044-2025 karta.png", "A 25044-2025")</f>
        <v/>
      </c>
      <c r="V332">
        <f>HYPERLINK("https://klasma.github.io/Logging_030382/klagomål/A 25044-2025 FSC-klagomål.docx", "A 25044-2025")</f>
        <v/>
      </c>
      <c r="W332">
        <f>HYPERLINK("https://klasma.github.io/Logging_030382/klagomålsmail/A 25044-2025 FSC-klagomål mail.docx", "A 25044-2025")</f>
        <v/>
      </c>
      <c r="X332">
        <f>HYPERLINK("https://klasma.github.io/Logging_030382/tillsyn/A 25044-2025 tillsynsbegäran.docx", "A 25044-2025")</f>
        <v/>
      </c>
      <c r="Y332">
        <f>HYPERLINK("https://klasma.github.io/Logging_030382/tillsynsmail/A 25044-2025 tillsynsbegäran mail.docx", "A 25044-2025")</f>
        <v/>
      </c>
    </row>
    <row r="333" ht="15" customHeight="1">
      <c r="A333" t="inlineStr">
        <is>
          <t>A 25651-2025</t>
        </is>
      </c>
      <c r="B333" s="1" t="n">
        <v>45803</v>
      </c>
      <c r="C333" s="1" t="n">
        <v>45832</v>
      </c>
      <c r="D333" t="inlineStr">
        <is>
          <t>UPPSALA LÄN</t>
        </is>
      </c>
      <c r="E333" t="inlineStr">
        <is>
          <t>UPPSALA</t>
        </is>
      </c>
      <c r="F333" t="inlineStr">
        <is>
          <t>Holmen skog AB</t>
        </is>
      </c>
      <c r="G333" t="n">
        <v>3.6</v>
      </c>
      <c r="H333" t="n">
        <v>2</v>
      </c>
      <c r="I333" t="n">
        <v>0</v>
      </c>
      <c r="J333" t="n">
        <v>1</v>
      </c>
      <c r="K333" t="n">
        <v>1</v>
      </c>
      <c r="L333" t="n">
        <v>0</v>
      </c>
      <c r="M333" t="n">
        <v>0</v>
      </c>
      <c r="N333" t="n">
        <v>0</v>
      </c>
      <c r="O333" t="n">
        <v>2</v>
      </c>
      <c r="P333" t="n">
        <v>1</v>
      </c>
      <c r="Q333" t="n">
        <v>3</v>
      </c>
      <c r="R333" s="2" t="inlineStr">
        <is>
          <t>Knärot
Vedtrappmossa
Revlummer</t>
        </is>
      </c>
      <c r="S333">
        <f>HYPERLINK("https://klasma.github.io/Logging_030380/artfynd/A 25651-2025 artfynd.xlsx", "A 25651-2025")</f>
        <v/>
      </c>
      <c r="T333">
        <f>HYPERLINK("https://klasma.github.io/Logging_030380/kartor/A 25651-2025 karta.png", "A 25651-2025")</f>
        <v/>
      </c>
      <c r="U333">
        <f>HYPERLINK("https://klasma.github.io/Logging_030380/knärot/A 25651-2025 karta knärot.png", "A 25651-2025")</f>
        <v/>
      </c>
      <c r="V333">
        <f>HYPERLINK("https://klasma.github.io/Logging_030380/klagomål/A 25651-2025 FSC-klagomål.docx", "A 25651-2025")</f>
        <v/>
      </c>
      <c r="W333">
        <f>HYPERLINK("https://klasma.github.io/Logging_030380/klagomålsmail/A 25651-2025 FSC-klagomål mail.docx", "A 25651-2025")</f>
        <v/>
      </c>
      <c r="X333">
        <f>HYPERLINK("https://klasma.github.io/Logging_030380/tillsyn/A 25651-2025 tillsynsbegäran.docx", "A 25651-2025")</f>
        <v/>
      </c>
      <c r="Y333">
        <f>HYPERLINK("https://klasma.github.io/Logging_030380/tillsynsmail/A 25651-2025 tillsynsbegäran mail.docx", "A 25651-2025")</f>
        <v/>
      </c>
    </row>
    <row r="334" ht="15" customHeight="1">
      <c r="A334" t="inlineStr">
        <is>
          <t>A 26043-2025</t>
        </is>
      </c>
      <c r="B334" s="1" t="n">
        <v>45804</v>
      </c>
      <c r="C334" s="1" t="n">
        <v>45832</v>
      </c>
      <c r="D334" t="inlineStr">
        <is>
          <t>UPPSALA LÄN</t>
        </is>
      </c>
      <c r="E334" t="inlineStr">
        <is>
          <t>ENKÖPING</t>
        </is>
      </c>
      <c r="G334" t="n">
        <v>1.7</v>
      </c>
      <c r="H334" t="n">
        <v>2</v>
      </c>
      <c r="I334" t="n">
        <v>1</v>
      </c>
      <c r="J334" t="n">
        <v>2</v>
      </c>
      <c r="K334" t="n">
        <v>0</v>
      </c>
      <c r="L334" t="n">
        <v>0</v>
      </c>
      <c r="M334" t="n">
        <v>0</v>
      </c>
      <c r="N334" t="n">
        <v>0</v>
      </c>
      <c r="O334" t="n">
        <v>2</v>
      </c>
      <c r="P334" t="n">
        <v>0</v>
      </c>
      <c r="Q334" t="n">
        <v>3</v>
      </c>
      <c r="R334" s="2" t="inlineStr">
        <is>
          <t>Spillkråka
Talltita
Bårdlav</t>
        </is>
      </c>
      <c r="S334">
        <f>HYPERLINK("https://klasma.github.io/Logging_030381/artfynd/A 26043-2025 artfynd.xlsx", "A 26043-2025")</f>
        <v/>
      </c>
      <c r="T334">
        <f>HYPERLINK("https://klasma.github.io/Logging_030381/kartor/A 26043-2025 karta.png", "A 26043-2025")</f>
        <v/>
      </c>
      <c r="V334">
        <f>HYPERLINK("https://klasma.github.io/Logging_030381/klagomål/A 26043-2025 FSC-klagomål.docx", "A 26043-2025")</f>
        <v/>
      </c>
      <c r="W334">
        <f>HYPERLINK("https://klasma.github.io/Logging_030381/klagomålsmail/A 26043-2025 FSC-klagomål mail.docx", "A 26043-2025")</f>
        <v/>
      </c>
      <c r="X334">
        <f>HYPERLINK("https://klasma.github.io/Logging_030381/tillsyn/A 26043-2025 tillsynsbegäran.docx", "A 26043-2025")</f>
        <v/>
      </c>
      <c r="Y334">
        <f>HYPERLINK("https://klasma.github.io/Logging_030381/tillsynsmail/A 26043-2025 tillsynsbegäran mail.docx", "A 26043-2025")</f>
        <v/>
      </c>
      <c r="Z334">
        <f>HYPERLINK("https://klasma.github.io/Logging_030381/fåglar/A 26043-2025 prioriterade fågelarter.docx", "A 26043-2025")</f>
        <v/>
      </c>
    </row>
    <row r="335" ht="15" customHeight="1">
      <c r="A335" t="inlineStr">
        <is>
          <t>A 30484-2025</t>
        </is>
      </c>
      <c r="B335" s="1" t="n">
        <v>45828</v>
      </c>
      <c r="C335" s="1" t="n">
        <v>45832</v>
      </c>
      <c r="D335" t="inlineStr">
        <is>
          <t>UPPSALA LÄN</t>
        </is>
      </c>
      <c r="E335" t="inlineStr">
        <is>
          <t>ÄLVKARLEBY</t>
        </is>
      </c>
      <c r="F335" t="inlineStr">
        <is>
          <t>Bergvik skog väst AB</t>
        </is>
      </c>
      <c r="G335" t="n">
        <v>1.6</v>
      </c>
      <c r="H335" t="n">
        <v>1</v>
      </c>
      <c r="I335" t="n">
        <v>1</v>
      </c>
      <c r="J335" t="n">
        <v>1</v>
      </c>
      <c r="K335" t="n">
        <v>0</v>
      </c>
      <c r="L335" t="n">
        <v>0</v>
      </c>
      <c r="M335" t="n">
        <v>0</v>
      </c>
      <c r="N335" t="n">
        <v>0</v>
      </c>
      <c r="O335" t="n">
        <v>1</v>
      </c>
      <c r="P335" t="n">
        <v>0</v>
      </c>
      <c r="Q335" t="n">
        <v>3</v>
      </c>
      <c r="R335" s="2" t="inlineStr">
        <is>
          <t>Slåtterfibbla
Svart trolldruva
Gullviva</t>
        </is>
      </c>
      <c r="S335">
        <f>HYPERLINK("https://klasma.github.io/Logging_030319/artfynd/A 30484-2025 artfynd.xlsx", "A 30484-2025")</f>
        <v/>
      </c>
      <c r="T335">
        <f>HYPERLINK("https://klasma.github.io/Logging_030319/kartor/A 30484-2025 karta.png", "A 30484-2025")</f>
        <v/>
      </c>
      <c r="V335">
        <f>HYPERLINK("https://klasma.github.io/Logging_030319/klagomål/A 30484-2025 FSC-klagomål.docx", "A 30484-2025")</f>
        <v/>
      </c>
      <c r="W335">
        <f>HYPERLINK("https://klasma.github.io/Logging_030319/klagomålsmail/A 30484-2025 FSC-klagomål mail.docx", "A 30484-2025")</f>
        <v/>
      </c>
      <c r="X335">
        <f>HYPERLINK("https://klasma.github.io/Logging_030319/tillsyn/A 30484-2025 tillsynsbegäran.docx", "A 30484-2025")</f>
        <v/>
      </c>
      <c r="Y335">
        <f>HYPERLINK("https://klasma.github.io/Logging_030319/tillsynsmail/A 30484-2025 tillsynsbegäran mail.docx", "A 30484-2025")</f>
        <v/>
      </c>
    </row>
    <row r="336" ht="15" customHeight="1">
      <c r="A336" t="inlineStr">
        <is>
          <t>A 30716-2025</t>
        </is>
      </c>
      <c r="B336" s="1" t="n">
        <v>45831</v>
      </c>
      <c r="C336" s="1" t="n">
        <v>45832</v>
      </c>
      <c r="D336" t="inlineStr">
        <is>
          <t>UPPSALA LÄN</t>
        </is>
      </c>
      <c r="E336" t="inlineStr">
        <is>
          <t>UPPSALA</t>
        </is>
      </c>
      <c r="G336" t="n">
        <v>2.3</v>
      </c>
      <c r="H336" t="n">
        <v>2</v>
      </c>
      <c r="I336" t="n">
        <v>1</v>
      </c>
      <c r="J336" t="n">
        <v>1</v>
      </c>
      <c r="K336" t="n">
        <v>1</v>
      </c>
      <c r="L336" t="n">
        <v>0</v>
      </c>
      <c r="M336" t="n">
        <v>0</v>
      </c>
      <c r="N336" t="n">
        <v>0</v>
      </c>
      <c r="O336" t="n">
        <v>2</v>
      </c>
      <c r="P336" t="n">
        <v>1</v>
      </c>
      <c r="Q336" t="n">
        <v>3</v>
      </c>
      <c r="R336" s="2" t="inlineStr">
        <is>
          <t>Knärot
Talltita
Skinnlav</t>
        </is>
      </c>
      <c r="S336">
        <f>HYPERLINK("https://klasma.github.io/Logging_030380/artfynd/A 30716-2025 artfynd.xlsx", "A 30716-2025")</f>
        <v/>
      </c>
      <c r="T336">
        <f>HYPERLINK("https://klasma.github.io/Logging_030380/kartor/A 30716-2025 karta.png", "A 30716-2025")</f>
        <v/>
      </c>
      <c r="U336">
        <f>HYPERLINK("https://klasma.github.io/Logging_030380/knärot/A 30716-2025 karta knärot.png", "A 30716-2025")</f>
        <v/>
      </c>
      <c r="V336">
        <f>HYPERLINK("https://klasma.github.io/Logging_030380/klagomål/A 30716-2025 FSC-klagomål.docx", "A 30716-2025")</f>
        <v/>
      </c>
      <c r="W336">
        <f>HYPERLINK("https://klasma.github.io/Logging_030380/klagomålsmail/A 30716-2025 FSC-klagomål mail.docx", "A 30716-2025")</f>
        <v/>
      </c>
      <c r="X336">
        <f>HYPERLINK("https://klasma.github.io/Logging_030380/tillsyn/A 30716-2025 tillsynsbegäran.docx", "A 30716-2025")</f>
        <v/>
      </c>
      <c r="Y336">
        <f>HYPERLINK("https://klasma.github.io/Logging_030380/tillsynsmail/A 30716-2025 tillsynsbegäran mail.docx", "A 30716-2025")</f>
        <v/>
      </c>
      <c r="Z336">
        <f>HYPERLINK("https://klasma.github.io/Logging_030380/fåglar/A 30716-2025 prioriterade fågelarter.docx", "A 30716-2025")</f>
        <v/>
      </c>
    </row>
    <row r="337" ht="15" customHeight="1">
      <c r="A337" t="inlineStr">
        <is>
          <t>A 20671-2019</t>
        </is>
      </c>
      <c r="B337" s="1" t="n">
        <v>43572</v>
      </c>
      <c r="C337" s="1" t="n">
        <v>45832</v>
      </c>
      <c r="D337" t="inlineStr">
        <is>
          <t>UPPSALA LÄN</t>
        </is>
      </c>
      <c r="E337" t="inlineStr">
        <is>
          <t>UPPSALA</t>
        </is>
      </c>
      <c r="G337" t="n">
        <v>14.8</v>
      </c>
      <c r="H337" t="n">
        <v>1</v>
      </c>
      <c r="I337" t="n">
        <v>0</v>
      </c>
      <c r="J337" t="n">
        <v>2</v>
      </c>
      <c r="K337" t="n">
        <v>0</v>
      </c>
      <c r="L337" t="n">
        <v>0</v>
      </c>
      <c r="M337" t="n">
        <v>0</v>
      </c>
      <c r="N337" t="n">
        <v>0</v>
      </c>
      <c r="O337" t="n">
        <v>2</v>
      </c>
      <c r="P337" t="n">
        <v>0</v>
      </c>
      <c r="Q337" t="n">
        <v>2</v>
      </c>
      <c r="R337" s="2" t="inlineStr">
        <is>
          <t>Gulsparv
Svartöra</t>
        </is>
      </c>
      <c r="S337">
        <f>HYPERLINK("https://klasma.github.io/Logging_0380/artfynd/A 20671-2019 artfynd.xlsx", "A 20671-2019")</f>
        <v/>
      </c>
      <c r="T337">
        <f>HYPERLINK("https://klasma.github.io/Logging_0380/kartor/A 20671-2019 karta.png", "A 20671-2019")</f>
        <v/>
      </c>
      <c r="V337">
        <f>HYPERLINK("https://klasma.github.io/Logging_0380/klagomål/A 20671-2019 FSC-klagomål.docx", "A 20671-2019")</f>
        <v/>
      </c>
      <c r="W337">
        <f>HYPERLINK("https://klasma.github.io/Logging_0380/klagomålsmail/A 20671-2019 FSC-klagomål mail.docx", "A 20671-2019")</f>
        <v/>
      </c>
      <c r="X337">
        <f>HYPERLINK("https://klasma.github.io/Logging_0380/tillsyn/A 20671-2019 tillsynsbegäran.docx", "A 20671-2019")</f>
        <v/>
      </c>
      <c r="Y337">
        <f>HYPERLINK("https://klasma.github.io/Logging_0380/tillsynsmail/A 20671-2019 tillsynsbegäran mail.docx", "A 20671-2019")</f>
        <v/>
      </c>
      <c r="Z337">
        <f>HYPERLINK("https://klasma.github.io/Logging_0380/fåglar/A 20671-2019 prioriterade fågelarter.docx", "A 20671-2019")</f>
        <v/>
      </c>
    </row>
    <row r="338" ht="15" customHeight="1">
      <c r="A338" t="inlineStr">
        <is>
          <t>A 25607-2019</t>
        </is>
      </c>
      <c r="B338" s="1" t="n">
        <v>43607</v>
      </c>
      <c r="C338" s="1" t="n">
        <v>45832</v>
      </c>
      <c r="D338" t="inlineStr">
        <is>
          <t>UPPSALA LÄN</t>
        </is>
      </c>
      <c r="E338" t="inlineStr">
        <is>
          <t>UPPSALA</t>
        </is>
      </c>
      <c r="G338" t="n">
        <v>1.1</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HYPERLINK("https://klasma.github.io/Logging_0380/artfynd/A 25607-2019 artfynd.xlsx", "A 25607-2019")</f>
        <v/>
      </c>
      <c r="T338">
        <f>HYPERLINK("https://klasma.github.io/Logging_0380/kartor/A 25607-2019 karta.png", "A 25607-2019")</f>
        <v/>
      </c>
      <c r="V338">
        <f>HYPERLINK("https://klasma.github.io/Logging_0380/klagomål/A 25607-2019 FSC-klagomål.docx", "A 25607-2019")</f>
        <v/>
      </c>
      <c r="W338">
        <f>HYPERLINK("https://klasma.github.io/Logging_0380/klagomålsmail/A 25607-2019 FSC-klagomål mail.docx", "A 25607-2019")</f>
        <v/>
      </c>
      <c r="X338">
        <f>HYPERLINK("https://klasma.github.io/Logging_0380/tillsyn/A 25607-2019 tillsynsbegäran.docx", "A 25607-2019")</f>
        <v/>
      </c>
      <c r="Y338">
        <f>HYPERLINK("https://klasma.github.io/Logging_0380/tillsynsmail/A 25607-2019 tillsynsbegäran mail.docx", "A 25607-2019")</f>
        <v/>
      </c>
    </row>
    <row r="339" ht="15" customHeight="1">
      <c r="A339" t="inlineStr">
        <is>
          <t>A 34066-2019</t>
        </is>
      </c>
      <c r="B339" s="1" t="n">
        <v>43654</v>
      </c>
      <c r="C339" s="1" t="n">
        <v>45832</v>
      </c>
      <c r="D339" t="inlineStr">
        <is>
          <t>UPPSALA LÄN</t>
        </is>
      </c>
      <c r="E339" t="inlineStr">
        <is>
          <t>UPPSALA</t>
        </is>
      </c>
      <c r="G339" t="n">
        <v>1.3</v>
      </c>
      <c r="H339" t="n">
        <v>0</v>
      </c>
      <c r="I339" t="n">
        <v>0</v>
      </c>
      <c r="J339" t="n">
        <v>2</v>
      </c>
      <c r="K339" t="n">
        <v>0</v>
      </c>
      <c r="L339" t="n">
        <v>0</v>
      </c>
      <c r="M339" t="n">
        <v>0</v>
      </c>
      <c r="N339" t="n">
        <v>0</v>
      </c>
      <c r="O339" t="n">
        <v>2</v>
      </c>
      <c r="P339" t="n">
        <v>0</v>
      </c>
      <c r="Q339" t="n">
        <v>2</v>
      </c>
      <c r="R339" s="2" t="inlineStr">
        <is>
          <t>Asppraktbagge
Grön aspvedbock</t>
        </is>
      </c>
      <c r="S339">
        <f>HYPERLINK("https://klasma.github.io/Logging_0380/artfynd/A 34066-2019 artfynd.xlsx", "A 34066-2019")</f>
        <v/>
      </c>
      <c r="T339">
        <f>HYPERLINK("https://klasma.github.io/Logging_0380/kartor/A 34066-2019 karta.png", "A 34066-2019")</f>
        <v/>
      </c>
      <c r="V339">
        <f>HYPERLINK("https://klasma.github.io/Logging_0380/klagomål/A 34066-2019 FSC-klagomål.docx", "A 34066-2019")</f>
        <v/>
      </c>
      <c r="W339">
        <f>HYPERLINK("https://klasma.github.io/Logging_0380/klagomålsmail/A 34066-2019 FSC-klagomål mail.docx", "A 34066-2019")</f>
        <v/>
      </c>
      <c r="X339">
        <f>HYPERLINK("https://klasma.github.io/Logging_0380/tillsyn/A 34066-2019 tillsynsbegäran.docx", "A 34066-2019")</f>
        <v/>
      </c>
      <c r="Y339">
        <f>HYPERLINK("https://klasma.github.io/Logging_0380/tillsynsmail/A 34066-2019 tillsynsbegäran mail.docx", "A 34066-2019")</f>
        <v/>
      </c>
    </row>
    <row r="340" ht="15" customHeight="1">
      <c r="A340" t="inlineStr">
        <is>
          <t>A 35563-2019</t>
        </is>
      </c>
      <c r="B340" s="1" t="n">
        <v>43664</v>
      </c>
      <c r="C340" s="1" t="n">
        <v>45832</v>
      </c>
      <c r="D340" t="inlineStr">
        <is>
          <t>UPPSALA LÄN</t>
        </is>
      </c>
      <c r="E340" t="inlineStr">
        <is>
          <t>TIERP</t>
        </is>
      </c>
      <c r="F340" t="inlineStr">
        <is>
          <t>Bergvik skog öst AB</t>
        </is>
      </c>
      <c r="G340" t="n">
        <v>4.6</v>
      </c>
      <c r="H340" t="n">
        <v>1</v>
      </c>
      <c r="I340" t="n">
        <v>2</v>
      </c>
      <c r="J340" t="n">
        <v>0</v>
      </c>
      <c r="K340" t="n">
        <v>0</v>
      </c>
      <c r="L340" t="n">
        <v>0</v>
      </c>
      <c r="M340" t="n">
        <v>0</v>
      </c>
      <c r="N340" t="n">
        <v>0</v>
      </c>
      <c r="O340" t="n">
        <v>0</v>
      </c>
      <c r="P340" t="n">
        <v>0</v>
      </c>
      <c r="Q340" t="n">
        <v>2</v>
      </c>
      <c r="R340" s="2" t="inlineStr">
        <is>
          <t>Nästrot
Tibast</t>
        </is>
      </c>
      <c r="S340">
        <f>HYPERLINK("https://klasma.github.io/Logging_0360/artfynd/A 35563-2019 artfynd.xlsx", "A 35563-2019")</f>
        <v/>
      </c>
      <c r="T340">
        <f>HYPERLINK("https://klasma.github.io/Logging_0360/kartor/A 35563-2019 karta.png", "A 35563-2019")</f>
        <v/>
      </c>
      <c r="V340">
        <f>HYPERLINK("https://klasma.github.io/Logging_0360/klagomål/A 35563-2019 FSC-klagomål.docx", "A 35563-2019")</f>
        <v/>
      </c>
      <c r="W340">
        <f>HYPERLINK("https://klasma.github.io/Logging_0360/klagomålsmail/A 35563-2019 FSC-klagomål mail.docx", "A 35563-2019")</f>
        <v/>
      </c>
      <c r="X340">
        <f>HYPERLINK("https://klasma.github.io/Logging_0360/tillsyn/A 35563-2019 tillsynsbegäran.docx", "A 35563-2019")</f>
        <v/>
      </c>
      <c r="Y340">
        <f>HYPERLINK("https://klasma.github.io/Logging_0360/tillsynsmail/A 35563-2019 tillsynsbegäran mail.docx", "A 35563-2019")</f>
        <v/>
      </c>
    </row>
    <row r="341" ht="15" customHeight="1">
      <c r="A341" t="inlineStr">
        <is>
          <t>A 52165-2019</t>
        </is>
      </c>
      <c r="B341" s="1" t="n">
        <v>43742</v>
      </c>
      <c r="C341" s="1" t="n">
        <v>45832</v>
      </c>
      <c r="D341" t="inlineStr">
        <is>
          <t>UPPSALA LÄN</t>
        </is>
      </c>
      <c r="E341" t="inlineStr">
        <is>
          <t>UPPSALA</t>
        </is>
      </c>
      <c r="F341" t="inlineStr">
        <is>
          <t>Allmännings- och besparingsskogar</t>
        </is>
      </c>
      <c r="G341" t="n">
        <v>28.7</v>
      </c>
      <c r="H341" t="n">
        <v>2</v>
      </c>
      <c r="I341" t="n">
        <v>2</v>
      </c>
      <c r="J341" t="n">
        <v>0</v>
      </c>
      <c r="K341" t="n">
        <v>0</v>
      </c>
      <c r="L341" t="n">
        <v>0</v>
      </c>
      <c r="M341" t="n">
        <v>0</v>
      </c>
      <c r="N341" t="n">
        <v>0</v>
      </c>
      <c r="O341" t="n">
        <v>0</v>
      </c>
      <c r="P341" t="n">
        <v>0</v>
      </c>
      <c r="Q341" t="n">
        <v>2</v>
      </c>
      <c r="R341" s="2" t="inlineStr">
        <is>
          <t>Korallrot
Spindelblomster</t>
        </is>
      </c>
      <c r="S341">
        <f>HYPERLINK("https://klasma.github.io/Logging_0380/artfynd/A 52165-2019 artfynd.xlsx", "A 52165-2019")</f>
        <v/>
      </c>
      <c r="T341">
        <f>HYPERLINK("https://klasma.github.io/Logging_0380/kartor/A 52165-2019 karta.png", "A 52165-2019")</f>
        <v/>
      </c>
      <c r="V341">
        <f>HYPERLINK("https://klasma.github.io/Logging_0380/klagomål/A 52165-2019 FSC-klagomål.docx", "A 52165-2019")</f>
        <v/>
      </c>
      <c r="W341">
        <f>HYPERLINK("https://klasma.github.io/Logging_0380/klagomålsmail/A 52165-2019 FSC-klagomål mail.docx", "A 52165-2019")</f>
        <v/>
      </c>
      <c r="X341">
        <f>HYPERLINK("https://klasma.github.io/Logging_0380/tillsyn/A 52165-2019 tillsynsbegäran.docx", "A 52165-2019")</f>
        <v/>
      </c>
      <c r="Y341">
        <f>HYPERLINK("https://klasma.github.io/Logging_0380/tillsynsmail/A 52165-2019 tillsynsbegäran mail.docx", "A 52165-2019")</f>
        <v/>
      </c>
    </row>
    <row r="342" ht="15" customHeight="1">
      <c r="A342" t="inlineStr">
        <is>
          <t>A 60083-2019</t>
        </is>
      </c>
      <c r="B342" s="1" t="n">
        <v>43777</v>
      </c>
      <c r="C342" s="1" t="n">
        <v>45832</v>
      </c>
      <c r="D342" t="inlineStr">
        <is>
          <t>UPPSALA LÄN</t>
        </is>
      </c>
      <c r="E342" t="inlineStr">
        <is>
          <t>TIERP</t>
        </is>
      </c>
      <c r="G342" t="n">
        <v>2.7</v>
      </c>
      <c r="H342" t="n">
        <v>0</v>
      </c>
      <c r="I342" t="n">
        <v>2</v>
      </c>
      <c r="J342" t="n">
        <v>0</v>
      </c>
      <c r="K342" t="n">
        <v>0</v>
      </c>
      <c r="L342" t="n">
        <v>0</v>
      </c>
      <c r="M342" t="n">
        <v>0</v>
      </c>
      <c r="N342" t="n">
        <v>0</v>
      </c>
      <c r="O342" t="n">
        <v>0</v>
      </c>
      <c r="P342" t="n">
        <v>0</v>
      </c>
      <c r="Q342" t="n">
        <v>2</v>
      </c>
      <c r="R342" s="2" t="inlineStr">
        <is>
          <t>Granbarkgnagare
Skarp dropptaggsvamp</t>
        </is>
      </c>
      <c r="S342">
        <f>HYPERLINK("https://klasma.github.io/Logging_0360/artfynd/A 60083-2019 artfynd.xlsx", "A 60083-2019")</f>
        <v/>
      </c>
      <c r="T342">
        <f>HYPERLINK("https://klasma.github.io/Logging_0360/kartor/A 60083-2019 karta.png", "A 60083-2019")</f>
        <v/>
      </c>
      <c r="V342">
        <f>HYPERLINK("https://klasma.github.io/Logging_0360/klagomål/A 60083-2019 FSC-klagomål.docx", "A 60083-2019")</f>
        <v/>
      </c>
      <c r="W342">
        <f>HYPERLINK("https://klasma.github.io/Logging_0360/klagomålsmail/A 60083-2019 FSC-klagomål mail.docx", "A 60083-2019")</f>
        <v/>
      </c>
      <c r="X342">
        <f>HYPERLINK("https://klasma.github.io/Logging_0360/tillsyn/A 60083-2019 tillsynsbegäran.docx", "A 60083-2019")</f>
        <v/>
      </c>
      <c r="Y342">
        <f>HYPERLINK("https://klasma.github.io/Logging_0360/tillsynsmail/A 60083-2019 tillsynsbegäran mail.docx", "A 60083-2019")</f>
        <v/>
      </c>
    </row>
    <row r="343" ht="15" customHeight="1">
      <c r="A343" t="inlineStr">
        <is>
          <t>A 2172-2020</t>
        </is>
      </c>
      <c r="B343" s="1" t="n">
        <v>43846</v>
      </c>
      <c r="C343" s="1" t="n">
        <v>45832</v>
      </c>
      <c r="D343" t="inlineStr">
        <is>
          <t>UPPSALA LÄN</t>
        </is>
      </c>
      <c r="E343" t="inlineStr">
        <is>
          <t>ÖSTHAMMAR</t>
        </is>
      </c>
      <c r="G343" t="n">
        <v>3.8</v>
      </c>
      <c r="H343" t="n">
        <v>0</v>
      </c>
      <c r="I343" t="n">
        <v>1</v>
      </c>
      <c r="J343" t="n">
        <v>1</v>
      </c>
      <c r="K343" t="n">
        <v>0</v>
      </c>
      <c r="L343" t="n">
        <v>0</v>
      </c>
      <c r="M343" t="n">
        <v>0</v>
      </c>
      <c r="N343" t="n">
        <v>0</v>
      </c>
      <c r="O343" t="n">
        <v>1</v>
      </c>
      <c r="P343" t="n">
        <v>0</v>
      </c>
      <c r="Q343" t="n">
        <v>2</v>
      </c>
      <c r="R343" s="2" t="inlineStr">
        <is>
          <t>Flattoppad klubbsvamp
Zontaggsvamp</t>
        </is>
      </c>
      <c r="S343">
        <f>HYPERLINK("https://klasma.github.io/Logging_0382/artfynd/A 2172-2020 artfynd.xlsx", "A 2172-2020")</f>
        <v/>
      </c>
      <c r="T343">
        <f>HYPERLINK("https://klasma.github.io/Logging_0382/kartor/A 2172-2020 karta.png", "A 2172-2020")</f>
        <v/>
      </c>
      <c r="V343">
        <f>HYPERLINK("https://klasma.github.io/Logging_0382/klagomål/A 2172-2020 FSC-klagomål.docx", "A 2172-2020")</f>
        <v/>
      </c>
      <c r="W343">
        <f>HYPERLINK("https://klasma.github.io/Logging_0382/klagomålsmail/A 2172-2020 FSC-klagomål mail.docx", "A 2172-2020")</f>
        <v/>
      </c>
      <c r="X343">
        <f>HYPERLINK("https://klasma.github.io/Logging_0382/tillsyn/A 2172-2020 tillsynsbegäran.docx", "A 2172-2020")</f>
        <v/>
      </c>
      <c r="Y343">
        <f>HYPERLINK("https://klasma.github.io/Logging_0382/tillsynsmail/A 2172-2020 tillsynsbegäran mail.docx", "A 2172-2020")</f>
        <v/>
      </c>
    </row>
    <row r="344" ht="15" customHeight="1">
      <c r="A344" t="inlineStr">
        <is>
          <t>A 9867-2020</t>
        </is>
      </c>
      <c r="B344" s="1" t="n">
        <v>43882</v>
      </c>
      <c r="C344" s="1" t="n">
        <v>45832</v>
      </c>
      <c r="D344" t="inlineStr">
        <is>
          <t>UPPSALA LÄN</t>
        </is>
      </c>
      <c r="E344" t="inlineStr">
        <is>
          <t>ÖSTHAMMAR</t>
        </is>
      </c>
      <c r="F344" t="inlineStr">
        <is>
          <t>Bergvik skog öst AB</t>
        </is>
      </c>
      <c r="G344" t="n">
        <v>11.1</v>
      </c>
      <c r="H344" t="n">
        <v>1</v>
      </c>
      <c r="I344" t="n">
        <v>1</v>
      </c>
      <c r="J344" t="n">
        <v>0</v>
      </c>
      <c r="K344" t="n">
        <v>0</v>
      </c>
      <c r="L344" t="n">
        <v>0</v>
      </c>
      <c r="M344" t="n">
        <v>0</v>
      </c>
      <c r="N344" t="n">
        <v>0</v>
      </c>
      <c r="O344" t="n">
        <v>0</v>
      </c>
      <c r="P344" t="n">
        <v>0</v>
      </c>
      <c r="Q344" t="n">
        <v>2</v>
      </c>
      <c r="R344" s="2" t="inlineStr">
        <is>
          <t>Gräsull
Revlummer</t>
        </is>
      </c>
      <c r="S344">
        <f>HYPERLINK("https://klasma.github.io/Logging_0382/artfynd/A 9867-2020 artfynd.xlsx", "A 9867-2020")</f>
        <v/>
      </c>
      <c r="T344">
        <f>HYPERLINK("https://klasma.github.io/Logging_0382/kartor/A 9867-2020 karta.png", "A 9867-2020")</f>
        <v/>
      </c>
      <c r="V344">
        <f>HYPERLINK("https://klasma.github.io/Logging_0382/klagomål/A 9867-2020 FSC-klagomål.docx", "A 9867-2020")</f>
        <v/>
      </c>
      <c r="W344">
        <f>HYPERLINK("https://klasma.github.io/Logging_0382/klagomålsmail/A 9867-2020 FSC-klagomål mail.docx", "A 9867-2020")</f>
        <v/>
      </c>
      <c r="X344">
        <f>HYPERLINK("https://klasma.github.io/Logging_0382/tillsyn/A 9867-2020 tillsynsbegäran.docx", "A 9867-2020")</f>
        <v/>
      </c>
      <c r="Y344">
        <f>HYPERLINK("https://klasma.github.io/Logging_0382/tillsynsmail/A 9867-2020 tillsynsbegäran mail.docx", "A 9867-2020")</f>
        <v/>
      </c>
    </row>
    <row r="345" ht="15" customHeight="1">
      <c r="A345" t="inlineStr">
        <is>
          <t>A 14181-2020</t>
        </is>
      </c>
      <c r="B345" s="1" t="n">
        <v>43907</v>
      </c>
      <c r="C345" s="1" t="n">
        <v>45832</v>
      </c>
      <c r="D345" t="inlineStr">
        <is>
          <t>UPPSALA LÄN</t>
        </is>
      </c>
      <c r="E345" t="inlineStr">
        <is>
          <t>ENKÖPING</t>
        </is>
      </c>
      <c r="F345" t="inlineStr">
        <is>
          <t>Kyrkan</t>
        </is>
      </c>
      <c r="G345" t="n">
        <v>2.5</v>
      </c>
      <c r="H345" t="n">
        <v>0</v>
      </c>
      <c r="I345" t="n">
        <v>1</v>
      </c>
      <c r="J345" t="n">
        <v>1</v>
      </c>
      <c r="K345" t="n">
        <v>0</v>
      </c>
      <c r="L345" t="n">
        <v>0</v>
      </c>
      <c r="M345" t="n">
        <v>0</v>
      </c>
      <c r="N345" t="n">
        <v>0</v>
      </c>
      <c r="O345" t="n">
        <v>1</v>
      </c>
      <c r="P345" t="n">
        <v>0</v>
      </c>
      <c r="Q345" t="n">
        <v>2</v>
      </c>
      <c r="R345" s="2" t="inlineStr">
        <is>
          <t>Flentimotej
Svart trolldruva</t>
        </is>
      </c>
      <c r="S345">
        <f>HYPERLINK("https://klasma.github.io/Logging_0381/artfynd/A 14181-2020 artfynd.xlsx", "A 14181-2020")</f>
        <v/>
      </c>
      <c r="T345">
        <f>HYPERLINK("https://klasma.github.io/Logging_0381/kartor/A 14181-2020 karta.png", "A 14181-2020")</f>
        <v/>
      </c>
      <c r="V345">
        <f>HYPERLINK("https://klasma.github.io/Logging_0381/klagomål/A 14181-2020 FSC-klagomål.docx", "A 14181-2020")</f>
        <v/>
      </c>
      <c r="W345">
        <f>HYPERLINK("https://klasma.github.io/Logging_0381/klagomålsmail/A 14181-2020 FSC-klagomål mail.docx", "A 14181-2020")</f>
        <v/>
      </c>
      <c r="X345">
        <f>HYPERLINK("https://klasma.github.io/Logging_0381/tillsyn/A 14181-2020 tillsynsbegäran.docx", "A 14181-2020")</f>
        <v/>
      </c>
      <c r="Y345">
        <f>HYPERLINK("https://klasma.github.io/Logging_0381/tillsynsmail/A 14181-2020 tillsynsbegäran mail.docx", "A 14181-2020")</f>
        <v/>
      </c>
    </row>
    <row r="346" ht="15" customHeight="1">
      <c r="A346" t="inlineStr">
        <is>
          <t>A 18468-2020</t>
        </is>
      </c>
      <c r="B346" s="1" t="n">
        <v>43929</v>
      </c>
      <c r="C346" s="1" t="n">
        <v>45832</v>
      </c>
      <c r="D346" t="inlineStr">
        <is>
          <t>UPPSALA LÄN</t>
        </is>
      </c>
      <c r="E346" t="inlineStr">
        <is>
          <t>UPPSALA</t>
        </is>
      </c>
      <c r="G346" t="n">
        <v>0.5</v>
      </c>
      <c r="H346" t="n">
        <v>1</v>
      </c>
      <c r="I346" t="n">
        <v>1</v>
      </c>
      <c r="J346" t="n">
        <v>0</v>
      </c>
      <c r="K346" t="n">
        <v>0</v>
      </c>
      <c r="L346" t="n">
        <v>0</v>
      </c>
      <c r="M346" t="n">
        <v>0</v>
      </c>
      <c r="N346" t="n">
        <v>0</v>
      </c>
      <c r="O346" t="n">
        <v>0</v>
      </c>
      <c r="P346" t="n">
        <v>0</v>
      </c>
      <c r="Q346" t="n">
        <v>2</v>
      </c>
      <c r="R346" s="2" t="inlineStr">
        <is>
          <t>Mindre märgborre
Gullviva</t>
        </is>
      </c>
      <c r="S346">
        <f>HYPERLINK("https://klasma.github.io/Logging_0380/artfynd/A 18468-2020 artfynd.xlsx", "A 18468-2020")</f>
        <v/>
      </c>
      <c r="T346">
        <f>HYPERLINK("https://klasma.github.io/Logging_0380/kartor/A 18468-2020 karta.png", "A 18468-2020")</f>
        <v/>
      </c>
      <c r="V346">
        <f>HYPERLINK("https://klasma.github.io/Logging_0380/klagomål/A 18468-2020 FSC-klagomål.docx", "A 18468-2020")</f>
        <v/>
      </c>
      <c r="W346">
        <f>HYPERLINK("https://klasma.github.io/Logging_0380/klagomålsmail/A 18468-2020 FSC-klagomål mail.docx", "A 18468-2020")</f>
        <v/>
      </c>
      <c r="X346">
        <f>HYPERLINK("https://klasma.github.io/Logging_0380/tillsyn/A 18468-2020 tillsynsbegäran.docx", "A 18468-2020")</f>
        <v/>
      </c>
      <c r="Y346">
        <f>HYPERLINK("https://klasma.github.io/Logging_0380/tillsynsmail/A 18468-2020 tillsynsbegäran mail.docx", "A 18468-2020")</f>
        <v/>
      </c>
    </row>
    <row r="347" ht="15" customHeight="1">
      <c r="A347" t="inlineStr">
        <is>
          <t>A 18788-2020</t>
        </is>
      </c>
      <c r="B347" s="1" t="n">
        <v>43931</v>
      </c>
      <c r="C347" s="1" t="n">
        <v>45832</v>
      </c>
      <c r="D347" t="inlineStr">
        <is>
          <t>UPPSALA LÄN</t>
        </is>
      </c>
      <c r="E347" t="inlineStr">
        <is>
          <t>TIERP</t>
        </is>
      </c>
      <c r="F347" t="inlineStr">
        <is>
          <t>Bergvik skog väst AB</t>
        </is>
      </c>
      <c r="G347" t="n">
        <v>2.4</v>
      </c>
      <c r="H347" t="n">
        <v>0</v>
      </c>
      <c r="I347" t="n">
        <v>0</v>
      </c>
      <c r="J347" t="n">
        <v>2</v>
      </c>
      <c r="K347" t="n">
        <v>0</v>
      </c>
      <c r="L347" t="n">
        <v>0</v>
      </c>
      <c r="M347" t="n">
        <v>0</v>
      </c>
      <c r="N347" t="n">
        <v>0</v>
      </c>
      <c r="O347" t="n">
        <v>2</v>
      </c>
      <c r="P347" t="n">
        <v>0</v>
      </c>
      <c r="Q347" t="n">
        <v>2</v>
      </c>
      <c r="R347" s="2" t="inlineStr">
        <is>
          <t>Gullklöver
Rödbrun blekspik</t>
        </is>
      </c>
      <c r="S347">
        <f>HYPERLINK("https://klasma.github.io/Logging_0360/artfynd/A 18788-2020 artfynd.xlsx", "A 18788-2020")</f>
        <v/>
      </c>
      <c r="T347">
        <f>HYPERLINK("https://klasma.github.io/Logging_0360/kartor/A 18788-2020 karta.png", "A 18788-2020")</f>
        <v/>
      </c>
      <c r="V347">
        <f>HYPERLINK("https://klasma.github.io/Logging_0360/klagomål/A 18788-2020 FSC-klagomål.docx", "A 18788-2020")</f>
        <v/>
      </c>
      <c r="W347">
        <f>HYPERLINK("https://klasma.github.io/Logging_0360/klagomålsmail/A 18788-2020 FSC-klagomål mail.docx", "A 18788-2020")</f>
        <v/>
      </c>
      <c r="X347">
        <f>HYPERLINK("https://klasma.github.io/Logging_0360/tillsyn/A 18788-2020 tillsynsbegäran.docx", "A 18788-2020")</f>
        <v/>
      </c>
      <c r="Y347">
        <f>HYPERLINK("https://klasma.github.io/Logging_0360/tillsynsmail/A 18788-2020 tillsynsbegäran mail.docx", "A 18788-2020")</f>
        <v/>
      </c>
    </row>
    <row r="348" ht="15" customHeight="1">
      <c r="A348" t="inlineStr">
        <is>
          <t>A 20778-2020</t>
        </is>
      </c>
      <c r="B348" s="1" t="n">
        <v>43949</v>
      </c>
      <c r="C348" s="1" t="n">
        <v>45832</v>
      </c>
      <c r="D348" t="inlineStr">
        <is>
          <t>UPPSALA LÄN</t>
        </is>
      </c>
      <c r="E348" t="inlineStr">
        <is>
          <t>KNIVSTA</t>
        </is>
      </c>
      <c r="G348" t="n">
        <v>2.9</v>
      </c>
      <c r="H348" t="n">
        <v>0</v>
      </c>
      <c r="I348" t="n">
        <v>1</v>
      </c>
      <c r="J348" t="n">
        <v>1</v>
      </c>
      <c r="K348" t="n">
        <v>0</v>
      </c>
      <c r="L348" t="n">
        <v>0</v>
      </c>
      <c r="M348" t="n">
        <v>0</v>
      </c>
      <c r="N348" t="n">
        <v>0</v>
      </c>
      <c r="O348" t="n">
        <v>1</v>
      </c>
      <c r="P348" t="n">
        <v>0</v>
      </c>
      <c r="Q348" t="n">
        <v>2</v>
      </c>
      <c r="R348" s="2" t="inlineStr">
        <is>
          <t>Gultoppig fingersvamp
Trådticka</t>
        </is>
      </c>
      <c r="S348">
        <f>HYPERLINK("https://klasma.github.io/Logging_0330/artfynd/A 20778-2020 artfynd.xlsx", "A 20778-2020")</f>
        <v/>
      </c>
      <c r="T348">
        <f>HYPERLINK("https://klasma.github.io/Logging_0330/kartor/A 20778-2020 karta.png", "A 20778-2020")</f>
        <v/>
      </c>
      <c r="V348">
        <f>HYPERLINK("https://klasma.github.io/Logging_0330/klagomål/A 20778-2020 FSC-klagomål.docx", "A 20778-2020")</f>
        <v/>
      </c>
      <c r="W348">
        <f>HYPERLINK("https://klasma.github.io/Logging_0330/klagomålsmail/A 20778-2020 FSC-klagomål mail.docx", "A 20778-2020")</f>
        <v/>
      </c>
      <c r="X348">
        <f>HYPERLINK("https://klasma.github.io/Logging_0330/tillsyn/A 20778-2020 tillsynsbegäran.docx", "A 20778-2020")</f>
        <v/>
      </c>
      <c r="Y348">
        <f>HYPERLINK("https://klasma.github.io/Logging_0330/tillsynsmail/A 20778-2020 tillsynsbegäran mail.docx", "A 20778-2020")</f>
        <v/>
      </c>
    </row>
    <row r="349" ht="15" customHeight="1">
      <c r="A349" t="inlineStr">
        <is>
          <t>A 24031-2020</t>
        </is>
      </c>
      <c r="B349" s="1" t="n">
        <v>43971</v>
      </c>
      <c r="C349" s="1" t="n">
        <v>45832</v>
      </c>
      <c r="D349" t="inlineStr">
        <is>
          <t>UPPSALA LÄN</t>
        </is>
      </c>
      <c r="E349" t="inlineStr">
        <is>
          <t>KNIVSTA</t>
        </is>
      </c>
      <c r="F349" t="inlineStr">
        <is>
          <t>Övriga statliga verk och myndigheter</t>
        </is>
      </c>
      <c r="G349" t="n">
        <v>2.4</v>
      </c>
      <c r="H349" t="n">
        <v>2</v>
      </c>
      <c r="I349" t="n">
        <v>0</v>
      </c>
      <c r="J349" t="n">
        <v>1</v>
      </c>
      <c r="K349" t="n">
        <v>0</v>
      </c>
      <c r="L349" t="n">
        <v>0</v>
      </c>
      <c r="M349" t="n">
        <v>0</v>
      </c>
      <c r="N349" t="n">
        <v>0</v>
      </c>
      <c r="O349" t="n">
        <v>1</v>
      </c>
      <c r="P349" t="n">
        <v>0</v>
      </c>
      <c r="Q349" t="n">
        <v>2</v>
      </c>
      <c r="R349" s="2" t="inlineStr">
        <is>
          <t>Grönsångare
Vanlig snok</t>
        </is>
      </c>
      <c r="S349">
        <f>HYPERLINK("https://klasma.github.io/Logging_0330/artfynd/A 24031-2020 artfynd.xlsx", "A 24031-2020")</f>
        <v/>
      </c>
      <c r="T349">
        <f>HYPERLINK("https://klasma.github.io/Logging_0330/kartor/A 24031-2020 karta.png", "A 24031-2020")</f>
        <v/>
      </c>
      <c r="V349">
        <f>HYPERLINK("https://klasma.github.io/Logging_0330/klagomål/A 24031-2020 FSC-klagomål.docx", "A 24031-2020")</f>
        <v/>
      </c>
      <c r="W349">
        <f>HYPERLINK("https://klasma.github.io/Logging_0330/klagomålsmail/A 24031-2020 FSC-klagomål mail.docx", "A 24031-2020")</f>
        <v/>
      </c>
      <c r="X349">
        <f>HYPERLINK("https://klasma.github.io/Logging_0330/tillsyn/A 24031-2020 tillsynsbegäran.docx", "A 24031-2020")</f>
        <v/>
      </c>
      <c r="Y349">
        <f>HYPERLINK("https://klasma.github.io/Logging_0330/tillsynsmail/A 24031-2020 tillsynsbegäran mail.docx", "A 24031-2020")</f>
        <v/>
      </c>
      <c r="Z349">
        <f>HYPERLINK("https://klasma.github.io/Logging_0330/fåglar/A 24031-2020 prioriterade fågelarter.docx", "A 24031-2020")</f>
        <v/>
      </c>
    </row>
    <row r="350" ht="15" customHeight="1">
      <c r="A350" t="inlineStr">
        <is>
          <t>A 29091-2020</t>
        </is>
      </c>
      <c r="B350" s="1" t="n">
        <v>44002</v>
      </c>
      <c r="C350" s="1" t="n">
        <v>45832</v>
      </c>
      <c r="D350" t="inlineStr">
        <is>
          <t>UPPSALA LÄN</t>
        </is>
      </c>
      <c r="E350" t="inlineStr">
        <is>
          <t>HEBY</t>
        </is>
      </c>
      <c r="G350" t="n">
        <v>2.6</v>
      </c>
      <c r="H350" t="n">
        <v>1</v>
      </c>
      <c r="I350" t="n">
        <v>1</v>
      </c>
      <c r="J350" t="n">
        <v>0</v>
      </c>
      <c r="K350" t="n">
        <v>1</v>
      </c>
      <c r="L350" t="n">
        <v>0</v>
      </c>
      <c r="M350" t="n">
        <v>0</v>
      </c>
      <c r="N350" t="n">
        <v>0</v>
      </c>
      <c r="O350" t="n">
        <v>1</v>
      </c>
      <c r="P350" t="n">
        <v>1</v>
      </c>
      <c r="Q350" t="n">
        <v>2</v>
      </c>
      <c r="R350" s="2" t="inlineStr">
        <is>
          <t>Knärot
Grönpyrola</t>
        </is>
      </c>
      <c r="S350">
        <f>HYPERLINK("https://klasma.github.io/Logging_0331/artfynd/A 29091-2020 artfynd.xlsx", "A 29091-2020")</f>
        <v/>
      </c>
      <c r="T350">
        <f>HYPERLINK("https://klasma.github.io/Logging_0331/kartor/A 29091-2020 karta.png", "A 29091-2020")</f>
        <v/>
      </c>
      <c r="U350">
        <f>HYPERLINK("https://klasma.github.io/Logging_0331/knärot/A 29091-2020 karta knärot.png", "A 29091-2020")</f>
        <v/>
      </c>
      <c r="V350">
        <f>HYPERLINK("https://klasma.github.io/Logging_0331/klagomål/A 29091-2020 FSC-klagomål.docx", "A 29091-2020")</f>
        <v/>
      </c>
      <c r="W350">
        <f>HYPERLINK("https://klasma.github.io/Logging_0331/klagomålsmail/A 29091-2020 FSC-klagomål mail.docx", "A 29091-2020")</f>
        <v/>
      </c>
      <c r="X350">
        <f>HYPERLINK("https://klasma.github.io/Logging_0331/tillsyn/A 29091-2020 tillsynsbegäran.docx", "A 29091-2020")</f>
        <v/>
      </c>
      <c r="Y350">
        <f>HYPERLINK("https://klasma.github.io/Logging_0331/tillsynsmail/A 29091-2020 tillsynsbegäran mail.docx", "A 29091-2020")</f>
        <v/>
      </c>
    </row>
    <row r="351" ht="15" customHeight="1">
      <c r="A351" t="inlineStr">
        <is>
          <t>A 36385-2020</t>
        </is>
      </c>
      <c r="B351" s="1" t="n">
        <v>44049</v>
      </c>
      <c r="C351" s="1" t="n">
        <v>45832</v>
      </c>
      <c r="D351" t="inlineStr">
        <is>
          <t>UPPSALA LÄN</t>
        </is>
      </c>
      <c r="E351" t="inlineStr">
        <is>
          <t>HEBY</t>
        </is>
      </c>
      <c r="F351" t="inlineStr">
        <is>
          <t>Bergvik skog väst AB</t>
        </is>
      </c>
      <c r="G351" t="n">
        <v>0.8</v>
      </c>
      <c r="H351" t="n">
        <v>1</v>
      </c>
      <c r="I351" t="n">
        <v>1</v>
      </c>
      <c r="J351" t="n">
        <v>0</v>
      </c>
      <c r="K351" t="n">
        <v>0</v>
      </c>
      <c r="L351" t="n">
        <v>0</v>
      </c>
      <c r="M351" t="n">
        <v>0</v>
      </c>
      <c r="N351" t="n">
        <v>0</v>
      </c>
      <c r="O351" t="n">
        <v>0</v>
      </c>
      <c r="P351" t="n">
        <v>0</v>
      </c>
      <c r="Q351" t="n">
        <v>2</v>
      </c>
      <c r="R351" s="2" t="inlineStr">
        <is>
          <t>Granbarkgnagare
Revlummer</t>
        </is>
      </c>
      <c r="S351">
        <f>HYPERLINK("https://klasma.github.io/Logging_0331/artfynd/A 36385-2020 artfynd.xlsx", "A 36385-2020")</f>
        <v/>
      </c>
      <c r="T351">
        <f>HYPERLINK("https://klasma.github.io/Logging_0331/kartor/A 36385-2020 karta.png", "A 36385-2020")</f>
        <v/>
      </c>
      <c r="V351">
        <f>HYPERLINK("https://klasma.github.io/Logging_0331/klagomål/A 36385-2020 FSC-klagomål.docx", "A 36385-2020")</f>
        <v/>
      </c>
      <c r="W351">
        <f>HYPERLINK("https://klasma.github.io/Logging_0331/klagomålsmail/A 36385-2020 FSC-klagomål mail.docx", "A 36385-2020")</f>
        <v/>
      </c>
      <c r="X351">
        <f>HYPERLINK("https://klasma.github.io/Logging_0331/tillsyn/A 36385-2020 tillsynsbegäran.docx", "A 36385-2020")</f>
        <v/>
      </c>
      <c r="Y351">
        <f>HYPERLINK("https://klasma.github.io/Logging_0331/tillsynsmail/A 36385-2020 tillsynsbegäran mail.docx", "A 36385-2020")</f>
        <v/>
      </c>
    </row>
    <row r="352" ht="15" customHeight="1">
      <c r="A352" t="inlineStr">
        <is>
          <t>A 37289-2020</t>
        </is>
      </c>
      <c r="B352" s="1" t="n">
        <v>44054</v>
      </c>
      <c r="C352" s="1" t="n">
        <v>45832</v>
      </c>
      <c r="D352" t="inlineStr">
        <is>
          <t>UPPSALA LÄN</t>
        </is>
      </c>
      <c r="E352" t="inlineStr">
        <is>
          <t>UPPSALA</t>
        </is>
      </c>
      <c r="F352" t="inlineStr">
        <is>
          <t>Allmännings- och besparingsskogar</t>
        </is>
      </c>
      <c r="G352" t="n">
        <v>13.5</v>
      </c>
      <c r="H352" t="n">
        <v>0</v>
      </c>
      <c r="I352" t="n">
        <v>1</v>
      </c>
      <c r="J352" t="n">
        <v>1</v>
      </c>
      <c r="K352" t="n">
        <v>0</v>
      </c>
      <c r="L352" t="n">
        <v>0</v>
      </c>
      <c r="M352" t="n">
        <v>0</v>
      </c>
      <c r="N352" t="n">
        <v>0</v>
      </c>
      <c r="O352" t="n">
        <v>1</v>
      </c>
      <c r="P352" t="n">
        <v>0</v>
      </c>
      <c r="Q352" t="n">
        <v>2</v>
      </c>
      <c r="R352" s="2" t="inlineStr">
        <is>
          <t>Vedtrappmossa
Granbarkgnagare</t>
        </is>
      </c>
      <c r="S352">
        <f>HYPERLINK("https://klasma.github.io/Logging_0380/artfynd/A 37289-2020 artfynd.xlsx", "A 37289-2020")</f>
        <v/>
      </c>
      <c r="T352">
        <f>HYPERLINK("https://klasma.github.io/Logging_0380/kartor/A 37289-2020 karta.png", "A 37289-2020")</f>
        <v/>
      </c>
      <c r="V352">
        <f>HYPERLINK("https://klasma.github.io/Logging_0380/klagomål/A 37289-2020 FSC-klagomål.docx", "A 37289-2020")</f>
        <v/>
      </c>
      <c r="W352">
        <f>HYPERLINK("https://klasma.github.io/Logging_0380/klagomålsmail/A 37289-2020 FSC-klagomål mail.docx", "A 37289-2020")</f>
        <v/>
      </c>
      <c r="X352">
        <f>HYPERLINK("https://klasma.github.io/Logging_0380/tillsyn/A 37289-2020 tillsynsbegäran.docx", "A 37289-2020")</f>
        <v/>
      </c>
      <c r="Y352">
        <f>HYPERLINK("https://klasma.github.io/Logging_0380/tillsynsmail/A 37289-2020 tillsynsbegäran mail.docx", "A 37289-2020")</f>
        <v/>
      </c>
    </row>
    <row r="353" ht="15" customHeight="1">
      <c r="A353" t="inlineStr">
        <is>
          <t>A 42520-2020</t>
        </is>
      </c>
      <c r="B353" s="1" t="n">
        <v>44077</v>
      </c>
      <c r="C353" s="1" t="n">
        <v>45832</v>
      </c>
      <c r="D353" t="inlineStr">
        <is>
          <t>UPPSALA LÄN</t>
        </is>
      </c>
      <c r="E353" t="inlineStr">
        <is>
          <t>ÖSTHAMMAR</t>
        </is>
      </c>
      <c r="G353" t="n">
        <v>2.8</v>
      </c>
      <c r="H353" t="n">
        <v>1</v>
      </c>
      <c r="I353" t="n">
        <v>2</v>
      </c>
      <c r="J353" t="n">
        <v>0</v>
      </c>
      <c r="K353" t="n">
        <v>0</v>
      </c>
      <c r="L353" t="n">
        <v>0</v>
      </c>
      <c r="M353" t="n">
        <v>0</v>
      </c>
      <c r="N353" t="n">
        <v>0</v>
      </c>
      <c r="O353" t="n">
        <v>0</v>
      </c>
      <c r="P353" t="n">
        <v>0</v>
      </c>
      <c r="Q353" t="n">
        <v>2</v>
      </c>
      <c r="R353" s="2" t="inlineStr">
        <is>
          <t>Hasselticka
Skogsknipprot</t>
        </is>
      </c>
      <c r="S353">
        <f>HYPERLINK("https://klasma.github.io/Logging_0382/artfynd/A 42520-2020 artfynd.xlsx", "A 42520-2020")</f>
        <v/>
      </c>
      <c r="T353">
        <f>HYPERLINK("https://klasma.github.io/Logging_0382/kartor/A 42520-2020 karta.png", "A 42520-2020")</f>
        <v/>
      </c>
      <c r="V353">
        <f>HYPERLINK("https://klasma.github.io/Logging_0382/klagomål/A 42520-2020 FSC-klagomål.docx", "A 42520-2020")</f>
        <v/>
      </c>
      <c r="W353">
        <f>HYPERLINK("https://klasma.github.io/Logging_0382/klagomålsmail/A 42520-2020 FSC-klagomål mail.docx", "A 42520-2020")</f>
        <v/>
      </c>
      <c r="X353">
        <f>HYPERLINK("https://klasma.github.io/Logging_0382/tillsyn/A 42520-2020 tillsynsbegäran.docx", "A 42520-2020")</f>
        <v/>
      </c>
      <c r="Y353">
        <f>HYPERLINK("https://klasma.github.io/Logging_0382/tillsynsmail/A 42520-2020 tillsynsbegäran mail.docx", "A 42520-2020")</f>
        <v/>
      </c>
    </row>
    <row r="354" ht="15" customHeight="1">
      <c r="A354" t="inlineStr">
        <is>
          <t>A 48100-2020</t>
        </is>
      </c>
      <c r="B354" s="1" t="n">
        <v>44101</v>
      </c>
      <c r="C354" s="1" t="n">
        <v>45832</v>
      </c>
      <c r="D354" t="inlineStr">
        <is>
          <t>UPPSALA LÄN</t>
        </is>
      </c>
      <c r="E354" t="inlineStr">
        <is>
          <t>UPPSALA</t>
        </is>
      </c>
      <c r="F354" t="inlineStr">
        <is>
          <t>Sveaskog</t>
        </is>
      </c>
      <c r="G354" t="n">
        <v>8.800000000000001</v>
      </c>
      <c r="H354" t="n">
        <v>1</v>
      </c>
      <c r="I354" t="n">
        <v>1</v>
      </c>
      <c r="J354" t="n">
        <v>0</v>
      </c>
      <c r="K354" t="n">
        <v>0</v>
      </c>
      <c r="L354" t="n">
        <v>0</v>
      </c>
      <c r="M354" t="n">
        <v>0</v>
      </c>
      <c r="N354" t="n">
        <v>0</v>
      </c>
      <c r="O354" t="n">
        <v>0</v>
      </c>
      <c r="P354" t="n">
        <v>0</v>
      </c>
      <c r="Q354" t="n">
        <v>2</v>
      </c>
      <c r="R354" s="2" t="inlineStr">
        <is>
          <t>Svavelriska
Blåsippa</t>
        </is>
      </c>
      <c r="S354">
        <f>HYPERLINK("https://klasma.github.io/Logging_0380/artfynd/A 48100-2020 artfynd.xlsx", "A 48100-2020")</f>
        <v/>
      </c>
      <c r="T354">
        <f>HYPERLINK("https://klasma.github.io/Logging_0380/kartor/A 48100-2020 karta.png", "A 48100-2020")</f>
        <v/>
      </c>
      <c r="V354">
        <f>HYPERLINK("https://klasma.github.io/Logging_0380/klagomål/A 48100-2020 FSC-klagomål.docx", "A 48100-2020")</f>
        <v/>
      </c>
      <c r="W354">
        <f>HYPERLINK("https://klasma.github.io/Logging_0380/klagomålsmail/A 48100-2020 FSC-klagomål mail.docx", "A 48100-2020")</f>
        <v/>
      </c>
      <c r="X354">
        <f>HYPERLINK("https://klasma.github.io/Logging_0380/tillsyn/A 48100-2020 tillsynsbegäran.docx", "A 48100-2020")</f>
        <v/>
      </c>
      <c r="Y354">
        <f>HYPERLINK("https://klasma.github.io/Logging_0380/tillsynsmail/A 48100-2020 tillsynsbegäran mail.docx", "A 48100-2020")</f>
        <v/>
      </c>
    </row>
    <row r="355" ht="15" customHeight="1">
      <c r="A355" t="inlineStr">
        <is>
          <t>A 50415-2020</t>
        </is>
      </c>
      <c r="B355" s="1" t="n">
        <v>44110</v>
      </c>
      <c r="C355" s="1" t="n">
        <v>45832</v>
      </c>
      <c r="D355" t="inlineStr">
        <is>
          <t>UPPSALA LÄN</t>
        </is>
      </c>
      <c r="E355" t="inlineStr">
        <is>
          <t>ÄLVKARLEBY</t>
        </is>
      </c>
      <c r="F355" t="inlineStr">
        <is>
          <t>Bergvik skog väst AB</t>
        </is>
      </c>
      <c r="G355" t="n">
        <v>2.9</v>
      </c>
      <c r="H355" t="n">
        <v>1</v>
      </c>
      <c r="I355" t="n">
        <v>0</v>
      </c>
      <c r="J355" t="n">
        <v>2</v>
      </c>
      <c r="K355" t="n">
        <v>0</v>
      </c>
      <c r="L355" t="n">
        <v>0</v>
      </c>
      <c r="M355" t="n">
        <v>0</v>
      </c>
      <c r="N355" t="n">
        <v>0</v>
      </c>
      <c r="O355" t="n">
        <v>2</v>
      </c>
      <c r="P355" t="n">
        <v>0</v>
      </c>
      <c r="Q355" t="n">
        <v>2</v>
      </c>
      <c r="R355" s="2" t="inlineStr">
        <is>
          <t>Grönsångare
Skogssvingel</t>
        </is>
      </c>
      <c r="S355">
        <f>HYPERLINK("https://klasma.github.io/Logging_0319/artfynd/A 50415-2020 artfynd.xlsx", "A 50415-2020")</f>
        <v/>
      </c>
      <c r="T355">
        <f>HYPERLINK("https://klasma.github.io/Logging_0319/kartor/A 50415-2020 karta.png", "A 50415-2020")</f>
        <v/>
      </c>
      <c r="V355">
        <f>HYPERLINK("https://klasma.github.io/Logging_0319/klagomål/A 50415-2020 FSC-klagomål.docx", "A 50415-2020")</f>
        <v/>
      </c>
      <c r="W355">
        <f>HYPERLINK("https://klasma.github.io/Logging_0319/klagomålsmail/A 50415-2020 FSC-klagomål mail.docx", "A 50415-2020")</f>
        <v/>
      </c>
      <c r="X355">
        <f>HYPERLINK("https://klasma.github.io/Logging_0319/tillsyn/A 50415-2020 tillsynsbegäran.docx", "A 50415-2020")</f>
        <v/>
      </c>
      <c r="Y355">
        <f>HYPERLINK("https://klasma.github.io/Logging_0319/tillsynsmail/A 50415-2020 tillsynsbegäran mail.docx", "A 50415-2020")</f>
        <v/>
      </c>
      <c r="Z355">
        <f>HYPERLINK("https://klasma.github.io/Logging_0319/fåglar/A 50415-2020 prioriterade fågelarter.docx", "A 50415-2020")</f>
        <v/>
      </c>
    </row>
    <row r="356" ht="15" customHeight="1">
      <c r="A356" t="inlineStr">
        <is>
          <t>A 53716-2020</t>
        </is>
      </c>
      <c r="B356" s="1" t="n">
        <v>44124</v>
      </c>
      <c r="C356" s="1" t="n">
        <v>45832</v>
      </c>
      <c r="D356" t="inlineStr">
        <is>
          <t>UPPSALA LÄN</t>
        </is>
      </c>
      <c r="E356" t="inlineStr">
        <is>
          <t>HÅBO</t>
        </is>
      </c>
      <c r="F356" t="inlineStr">
        <is>
          <t>Kommuner</t>
        </is>
      </c>
      <c r="G356" t="n">
        <v>16.7</v>
      </c>
      <c r="H356" t="n">
        <v>0</v>
      </c>
      <c r="I356" t="n">
        <v>1</v>
      </c>
      <c r="J356" t="n">
        <v>1</v>
      </c>
      <c r="K356" t="n">
        <v>0</v>
      </c>
      <c r="L356" t="n">
        <v>0</v>
      </c>
      <c r="M356" t="n">
        <v>0</v>
      </c>
      <c r="N356" t="n">
        <v>0</v>
      </c>
      <c r="O356" t="n">
        <v>1</v>
      </c>
      <c r="P356" t="n">
        <v>0</v>
      </c>
      <c r="Q356" t="n">
        <v>2</v>
      </c>
      <c r="R356" s="2" t="inlineStr">
        <is>
          <t>Ullticka
Blåmossa</t>
        </is>
      </c>
      <c r="S356">
        <f>HYPERLINK("https://klasma.github.io/Logging_0305/artfynd/A 53716-2020 artfynd.xlsx", "A 53716-2020")</f>
        <v/>
      </c>
      <c r="T356">
        <f>HYPERLINK("https://klasma.github.io/Logging_0305/kartor/A 53716-2020 karta.png", "A 53716-2020")</f>
        <v/>
      </c>
      <c r="V356">
        <f>HYPERLINK("https://klasma.github.io/Logging_0305/klagomål/A 53716-2020 FSC-klagomål.docx", "A 53716-2020")</f>
        <v/>
      </c>
      <c r="W356">
        <f>HYPERLINK("https://klasma.github.io/Logging_0305/klagomålsmail/A 53716-2020 FSC-klagomål mail.docx", "A 53716-2020")</f>
        <v/>
      </c>
      <c r="X356">
        <f>HYPERLINK("https://klasma.github.io/Logging_0305/tillsyn/A 53716-2020 tillsynsbegäran.docx", "A 53716-2020")</f>
        <v/>
      </c>
      <c r="Y356">
        <f>HYPERLINK("https://klasma.github.io/Logging_0305/tillsynsmail/A 53716-2020 tillsynsbegäran mail.docx", "A 53716-2020")</f>
        <v/>
      </c>
    </row>
    <row r="357" ht="15" customHeight="1">
      <c r="A357" t="inlineStr">
        <is>
          <t>A 59416-2020</t>
        </is>
      </c>
      <c r="B357" s="1" t="n">
        <v>44148</v>
      </c>
      <c r="C357" s="1" t="n">
        <v>45832</v>
      </c>
      <c r="D357" t="inlineStr">
        <is>
          <t>UPPSALA LÄN</t>
        </is>
      </c>
      <c r="E357" t="inlineStr">
        <is>
          <t>ÖSTHAMMAR</t>
        </is>
      </c>
      <c r="F357" t="inlineStr">
        <is>
          <t>Sveaskog</t>
        </is>
      </c>
      <c r="G357" t="n">
        <v>1.7</v>
      </c>
      <c r="H357" t="n">
        <v>2</v>
      </c>
      <c r="I357" t="n">
        <v>0</v>
      </c>
      <c r="J357" t="n">
        <v>1</v>
      </c>
      <c r="K357" t="n">
        <v>0</v>
      </c>
      <c r="L357" t="n">
        <v>1</v>
      </c>
      <c r="M357" t="n">
        <v>0</v>
      </c>
      <c r="N357" t="n">
        <v>0</v>
      </c>
      <c r="O357" t="n">
        <v>2</v>
      </c>
      <c r="P357" t="n">
        <v>1</v>
      </c>
      <c r="Q357" t="n">
        <v>2</v>
      </c>
      <c r="R357" s="2" t="inlineStr">
        <is>
          <t>Grönfink
Svartvit flugsnappare</t>
        </is>
      </c>
      <c r="S357">
        <f>HYPERLINK("https://klasma.github.io/Logging_0382/artfynd/A 59416-2020 artfynd.xlsx", "A 59416-2020")</f>
        <v/>
      </c>
      <c r="T357">
        <f>HYPERLINK("https://klasma.github.io/Logging_0382/kartor/A 59416-2020 karta.png", "A 59416-2020")</f>
        <v/>
      </c>
      <c r="V357">
        <f>HYPERLINK("https://klasma.github.io/Logging_0382/klagomål/A 59416-2020 FSC-klagomål.docx", "A 59416-2020")</f>
        <v/>
      </c>
      <c r="W357">
        <f>HYPERLINK("https://klasma.github.io/Logging_0382/klagomålsmail/A 59416-2020 FSC-klagomål mail.docx", "A 59416-2020")</f>
        <v/>
      </c>
      <c r="X357">
        <f>HYPERLINK("https://klasma.github.io/Logging_0382/tillsyn/A 59416-2020 tillsynsbegäran.docx", "A 59416-2020")</f>
        <v/>
      </c>
      <c r="Y357">
        <f>HYPERLINK("https://klasma.github.io/Logging_0382/tillsynsmail/A 59416-2020 tillsynsbegäran mail.docx", "A 59416-2020")</f>
        <v/>
      </c>
      <c r="Z357">
        <f>HYPERLINK("https://klasma.github.io/Logging_0382/fåglar/A 59416-2020 prioriterade fågelarter.docx", "A 59416-2020")</f>
        <v/>
      </c>
    </row>
    <row r="358" ht="15" customHeight="1">
      <c r="A358" t="inlineStr">
        <is>
          <t>A 6223-2021</t>
        </is>
      </c>
      <c r="B358" s="1" t="n">
        <v>44235</v>
      </c>
      <c r="C358" s="1" t="n">
        <v>45832</v>
      </c>
      <c r="D358" t="inlineStr">
        <is>
          <t>UPPSALA LÄN</t>
        </is>
      </c>
      <c r="E358" t="inlineStr">
        <is>
          <t>ÖSTHAMMAR</t>
        </is>
      </c>
      <c r="G358" t="n">
        <v>0.5</v>
      </c>
      <c r="H358" t="n">
        <v>2</v>
      </c>
      <c r="I358" t="n">
        <v>0</v>
      </c>
      <c r="J358" t="n">
        <v>0</v>
      </c>
      <c r="K358" t="n">
        <v>0</v>
      </c>
      <c r="L358" t="n">
        <v>0</v>
      </c>
      <c r="M358" t="n">
        <v>0</v>
      </c>
      <c r="N358" t="n">
        <v>0</v>
      </c>
      <c r="O358" t="n">
        <v>0</v>
      </c>
      <c r="P358" t="n">
        <v>0</v>
      </c>
      <c r="Q358" t="n">
        <v>2</v>
      </c>
      <c r="R358" s="2" t="inlineStr">
        <is>
          <t>Blåsippa
Gullviva</t>
        </is>
      </c>
      <c r="S358">
        <f>HYPERLINK("https://klasma.github.io/Logging_0382/artfynd/A 6223-2021 artfynd.xlsx", "A 6223-2021")</f>
        <v/>
      </c>
      <c r="T358">
        <f>HYPERLINK("https://klasma.github.io/Logging_0382/kartor/A 6223-2021 karta.png", "A 6223-2021")</f>
        <v/>
      </c>
      <c r="V358">
        <f>HYPERLINK("https://klasma.github.io/Logging_0382/klagomål/A 6223-2021 FSC-klagomål.docx", "A 6223-2021")</f>
        <v/>
      </c>
      <c r="W358">
        <f>HYPERLINK("https://klasma.github.io/Logging_0382/klagomålsmail/A 6223-2021 FSC-klagomål mail.docx", "A 6223-2021")</f>
        <v/>
      </c>
      <c r="X358">
        <f>HYPERLINK("https://klasma.github.io/Logging_0382/tillsyn/A 6223-2021 tillsynsbegäran.docx", "A 6223-2021")</f>
        <v/>
      </c>
      <c r="Y358">
        <f>HYPERLINK("https://klasma.github.io/Logging_0382/tillsynsmail/A 6223-2021 tillsynsbegäran mail.docx", "A 6223-2021")</f>
        <v/>
      </c>
    </row>
    <row r="359" ht="15" customHeight="1">
      <c r="A359" t="inlineStr">
        <is>
          <t>A 22025-2021</t>
        </is>
      </c>
      <c r="B359" s="1" t="n">
        <v>44323</v>
      </c>
      <c r="C359" s="1" t="n">
        <v>45832</v>
      </c>
      <c r="D359" t="inlineStr">
        <is>
          <t>UPPSALA LÄN</t>
        </is>
      </c>
      <c r="E359" t="inlineStr">
        <is>
          <t>ÄLVKARLEBY</t>
        </is>
      </c>
      <c r="F359" t="inlineStr">
        <is>
          <t>Bergvik skog väst AB</t>
        </is>
      </c>
      <c r="G359" t="n">
        <v>15.8</v>
      </c>
      <c r="H359" t="n">
        <v>0</v>
      </c>
      <c r="I359" t="n">
        <v>0</v>
      </c>
      <c r="J359" t="n">
        <v>2</v>
      </c>
      <c r="K359" t="n">
        <v>0</v>
      </c>
      <c r="L359" t="n">
        <v>0</v>
      </c>
      <c r="M359" t="n">
        <v>0</v>
      </c>
      <c r="N359" t="n">
        <v>0</v>
      </c>
      <c r="O359" t="n">
        <v>2</v>
      </c>
      <c r="P359" t="n">
        <v>0</v>
      </c>
      <c r="Q359" t="n">
        <v>2</v>
      </c>
      <c r="R359" s="2" t="inlineStr">
        <is>
          <t>Ekticka
Rödbrun blekspik</t>
        </is>
      </c>
      <c r="S359">
        <f>HYPERLINK("https://klasma.github.io/Logging_0319/artfynd/A 22025-2021 artfynd.xlsx", "A 22025-2021")</f>
        <v/>
      </c>
      <c r="T359">
        <f>HYPERLINK("https://klasma.github.io/Logging_0319/kartor/A 22025-2021 karta.png", "A 22025-2021")</f>
        <v/>
      </c>
      <c r="V359">
        <f>HYPERLINK("https://klasma.github.io/Logging_0319/klagomål/A 22025-2021 FSC-klagomål.docx", "A 22025-2021")</f>
        <v/>
      </c>
      <c r="W359">
        <f>HYPERLINK("https://klasma.github.io/Logging_0319/klagomålsmail/A 22025-2021 FSC-klagomål mail.docx", "A 22025-2021")</f>
        <v/>
      </c>
      <c r="X359">
        <f>HYPERLINK("https://klasma.github.io/Logging_0319/tillsyn/A 22025-2021 tillsynsbegäran.docx", "A 22025-2021")</f>
        <v/>
      </c>
      <c r="Y359">
        <f>HYPERLINK("https://klasma.github.io/Logging_0319/tillsynsmail/A 22025-2021 tillsynsbegäran mail.docx", "A 22025-2021")</f>
        <v/>
      </c>
    </row>
    <row r="360" ht="15" customHeight="1">
      <c r="A360" t="inlineStr">
        <is>
          <t>A 31622-2021</t>
        </is>
      </c>
      <c r="B360" s="1" t="n">
        <v>44369</v>
      </c>
      <c r="C360" s="1" t="n">
        <v>45832</v>
      </c>
      <c r="D360" t="inlineStr">
        <is>
          <t>UPPSALA LÄN</t>
        </is>
      </c>
      <c r="E360" t="inlineStr">
        <is>
          <t>ÖSTHAMMAR</t>
        </is>
      </c>
      <c r="G360" t="n">
        <v>12.6</v>
      </c>
      <c r="H360" t="n">
        <v>2</v>
      </c>
      <c r="I360" t="n">
        <v>0</v>
      </c>
      <c r="J360" t="n">
        <v>1</v>
      </c>
      <c r="K360" t="n">
        <v>0</v>
      </c>
      <c r="L360" t="n">
        <v>0</v>
      </c>
      <c r="M360" t="n">
        <v>0</v>
      </c>
      <c r="N360" t="n">
        <v>0</v>
      </c>
      <c r="O360" t="n">
        <v>1</v>
      </c>
      <c r="P360" t="n">
        <v>0</v>
      </c>
      <c r="Q360" t="n">
        <v>2</v>
      </c>
      <c r="R360" s="2" t="inlineStr">
        <is>
          <t>Spillkråka
Mattlummer</t>
        </is>
      </c>
      <c r="S360">
        <f>HYPERLINK("https://klasma.github.io/Logging_0382/artfynd/A 31622-2021 artfynd.xlsx", "A 31622-2021")</f>
        <v/>
      </c>
      <c r="T360">
        <f>HYPERLINK("https://klasma.github.io/Logging_0382/kartor/A 31622-2021 karta.png", "A 31622-2021")</f>
        <v/>
      </c>
      <c r="V360">
        <f>HYPERLINK("https://klasma.github.io/Logging_0382/klagomål/A 31622-2021 FSC-klagomål.docx", "A 31622-2021")</f>
        <v/>
      </c>
      <c r="W360">
        <f>HYPERLINK("https://klasma.github.io/Logging_0382/klagomålsmail/A 31622-2021 FSC-klagomål mail.docx", "A 31622-2021")</f>
        <v/>
      </c>
      <c r="X360">
        <f>HYPERLINK("https://klasma.github.io/Logging_0382/tillsyn/A 31622-2021 tillsynsbegäran.docx", "A 31622-2021")</f>
        <v/>
      </c>
      <c r="Y360">
        <f>HYPERLINK("https://klasma.github.io/Logging_0382/tillsynsmail/A 31622-2021 tillsynsbegäran mail.docx", "A 31622-2021")</f>
        <v/>
      </c>
      <c r="Z360">
        <f>HYPERLINK("https://klasma.github.io/Logging_0382/fåglar/A 31622-2021 prioriterade fågelarter.docx", "A 31622-2021")</f>
        <v/>
      </c>
    </row>
    <row r="361" ht="15" customHeight="1">
      <c r="A361" t="inlineStr">
        <is>
          <t>A 34150-2021</t>
        </is>
      </c>
      <c r="B361" s="1" t="n">
        <v>44379</v>
      </c>
      <c r="C361" s="1" t="n">
        <v>45832</v>
      </c>
      <c r="D361" t="inlineStr">
        <is>
          <t>UPPSALA LÄN</t>
        </is>
      </c>
      <c r="E361" t="inlineStr">
        <is>
          <t>ENKÖPING</t>
        </is>
      </c>
      <c r="G361" t="n">
        <v>9.199999999999999</v>
      </c>
      <c r="H361" t="n">
        <v>0</v>
      </c>
      <c r="I361" t="n">
        <v>1</v>
      </c>
      <c r="J361" t="n">
        <v>1</v>
      </c>
      <c r="K361" t="n">
        <v>0</v>
      </c>
      <c r="L361" t="n">
        <v>0</v>
      </c>
      <c r="M361" t="n">
        <v>0</v>
      </c>
      <c r="N361" t="n">
        <v>0</v>
      </c>
      <c r="O361" t="n">
        <v>1</v>
      </c>
      <c r="P361" t="n">
        <v>0</v>
      </c>
      <c r="Q361" t="n">
        <v>2</v>
      </c>
      <c r="R361" s="2" t="inlineStr">
        <is>
          <t>Ullticka
Bronshjon</t>
        </is>
      </c>
      <c r="S361">
        <f>HYPERLINK("https://klasma.github.io/Logging_0381/artfynd/A 34150-2021 artfynd.xlsx", "A 34150-2021")</f>
        <v/>
      </c>
      <c r="T361">
        <f>HYPERLINK("https://klasma.github.io/Logging_0381/kartor/A 34150-2021 karta.png", "A 34150-2021")</f>
        <v/>
      </c>
      <c r="V361">
        <f>HYPERLINK("https://klasma.github.io/Logging_0381/klagomål/A 34150-2021 FSC-klagomål.docx", "A 34150-2021")</f>
        <v/>
      </c>
      <c r="W361">
        <f>HYPERLINK("https://klasma.github.io/Logging_0381/klagomålsmail/A 34150-2021 FSC-klagomål mail.docx", "A 34150-2021")</f>
        <v/>
      </c>
      <c r="X361">
        <f>HYPERLINK("https://klasma.github.io/Logging_0381/tillsyn/A 34150-2021 tillsynsbegäran.docx", "A 34150-2021")</f>
        <v/>
      </c>
      <c r="Y361">
        <f>HYPERLINK("https://klasma.github.io/Logging_0381/tillsynsmail/A 34150-2021 tillsynsbegäran mail.docx", "A 34150-2021")</f>
        <v/>
      </c>
    </row>
    <row r="362" ht="15" customHeight="1">
      <c r="A362" t="inlineStr">
        <is>
          <t>A 53324-2021</t>
        </is>
      </c>
      <c r="B362" s="1" t="n">
        <v>44468</v>
      </c>
      <c r="C362" s="1" t="n">
        <v>45832</v>
      </c>
      <c r="D362" t="inlineStr">
        <is>
          <t>UPPSALA LÄN</t>
        </is>
      </c>
      <c r="E362" t="inlineStr">
        <is>
          <t>TIERP</t>
        </is>
      </c>
      <c r="G362" t="n">
        <v>0.8</v>
      </c>
      <c r="H362" t="n">
        <v>0</v>
      </c>
      <c r="I362" t="n">
        <v>1</v>
      </c>
      <c r="J362" t="n">
        <v>1</v>
      </c>
      <c r="K362" t="n">
        <v>0</v>
      </c>
      <c r="L362" t="n">
        <v>0</v>
      </c>
      <c r="M362" t="n">
        <v>0</v>
      </c>
      <c r="N362" t="n">
        <v>0</v>
      </c>
      <c r="O362" t="n">
        <v>1</v>
      </c>
      <c r="P362" t="n">
        <v>0</v>
      </c>
      <c r="Q362" t="n">
        <v>2</v>
      </c>
      <c r="R362" s="2" t="inlineStr">
        <is>
          <t>Granticka
Stor aspticka</t>
        </is>
      </c>
      <c r="S362">
        <f>HYPERLINK("https://klasma.github.io/Logging_0360/artfynd/A 53324-2021 artfynd.xlsx", "A 53324-2021")</f>
        <v/>
      </c>
      <c r="T362">
        <f>HYPERLINK("https://klasma.github.io/Logging_0360/kartor/A 53324-2021 karta.png", "A 53324-2021")</f>
        <v/>
      </c>
      <c r="V362">
        <f>HYPERLINK("https://klasma.github.io/Logging_0360/klagomål/A 53324-2021 FSC-klagomål.docx", "A 53324-2021")</f>
        <v/>
      </c>
      <c r="W362">
        <f>HYPERLINK("https://klasma.github.io/Logging_0360/klagomålsmail/A 53324-2021 FSC-klagomål mail.docx", "A 53324-2021")</f>
        <v/>
      </c>
      <c r="X362">
        <f>HYPERLINK("https://klasma.github.io/Logging_0360/tillsyn/A 53324-2021 tillsynsbegäran.docx", "A 53324-2021")</f>
        <v/>
      </c>
      <c r="Y362">
        <f>HYPERLINK("https://klasma.github.io/Logging_0360/tillsynsmail/A 53324-2021 tillsynsbegäran mail.docx", "A 53324-2021")</f>
        <v/>
      </c>
    </row>
    <row r="363" ht="15" customHeight="1">
      <c r="A363" t="inlineStr">
        <is>
          <t>A 58906-2021</t>
        </is>
      </c>
      <c r="B363" s="1" t="n">
        <v>44489</v>
      </c>
      <c r="C363" s="1" t="n">
        <v>45832</v>
      </c>
      <c r="D363" t="inlineStr">
        <is>
          <t>UPPSALA LÄN</t>
        </is>
      </c>
      <c r="E363" t="inlineStr">
        <is>
          <t>UPPSALA</t>
        </is>
      </c>
      <c r="G363" t="n">
        <v>8.6</v>
      </c>
      <c r="H363" t="n">
        <v>1</v>
      </c>
      <c r="I363" t="n">
        <v>0</v>
      </c>
      <c r="J363" t="n">
        <v>1</v>
      </c>
      <c r="K363" t="n">
        <v>0</v>
      </c>
      <c r="L363" t="n">
        <v>0</v>
      </c>
      <c r="M363" t="n">
        <v>0</v>
      </c>
      <c r="N363" t="n">
        <v>0</v>
      </c>
      <c r="O363" t="n">
        <v>1</v>
      </c>
      <c r="P363" t="n">
        <v>0</v>
      </c>
      <c r="Q363" t="n">
        <v>2</v>
      </c>
      <c r="R363" s="2" t="inlineStr">
        <is>
          <t>Ullticka
Tjäder</t>
        </is>
      </c>
      <c r="S363">
        <f>HYPERLINK("https://klasma.github.io/Logging_0380/artfynd/A 58906-2021 artfynd.xlsx", "A 58906-2021")</f>
        <v/>
      </c>
      <c r="T363">
        <f>HYPERLINK("https://klasma.github.io/Logging_0380/kartor/A 58906-2021 karta.png", "A 58906-2021")</f>
        <v/>
      </c>
      <c r="V363">
        <f>HYPERLINK("https://klasma.github.io/Logging_0380/klagomål/A 58906-2021 FSC-klagomål.docx", "A 58906-2021")</f>
        <v/>
      </c>
      <c r="W363">
        <f>HYPERLINK("https://klasma.github.io/Logging_0380/klagomålsmail/A 58906-2021 FSC-klagomål mail.docx", "A 58906-2021")</f>
        <v/>
      </c>
      <c r="X363">
        <f>HYPERLINK("https://klasma.github.io/Logging_0380/tillsyn/A 58906-2021 tillsynsbegäran.docx", "A 58906-2021")</f>
        <v/>
      </c>
      <c r="Y363">
        <f>HYPERLINK("https://klasma.github.io/Logging_0380/tillsynsmail/A 58906-2021 tillsynsbegäran mail.docx", "A 58906-2021")</f>
        <v/>
      </c>
      <c r="Z363">
        <f>HYPERLINK("https://klasma.github.io/Logging_0380/fåglar/A 58906-2021 prioriterade fågelarter.docx", "A 58906-2021")</f>
        <v/>
      </c>
    </row>
    <row r="364" ht="15" customHeight="1">
      <c r="A364" t="inlineStr">
        <is>
          <t>A 60078-2021</t>
        </is>
      </c>
      <c r="B364" s="1" t="n">
        <v>44495</v>
      </c>
      <c r="C364" s="1" t="n">
        <v>45832</v>
      </c>
      <c r="D364" t="inlineStr">
        <is>
          <t>UPPSALA LÄN</t>
        </is>
      </c>
      <c r="E364" t="inlineStr">
        <is>
          <t>ÖSTHAMMAR</t>
        </is>
      </c>
      <c r="G364" t="n">
        <v>1.1</v>
      </c>
      <c r="H364" t="n">
        <v>0</v>
      </c>
      <c r="I364" t="n">
        <v>0</v>
      </c>
      <c r="J364" t="n">
        <v>1</v>
      </c>
      <c r="K364" t="n">
        <v>1</v>
      </c>
      <c r="L364" t="n">
        <v>0</v>
      </c>
      <c r="M364" t="n">
        <v>0</v>
      </c>
      <c r="N364" t="n">
        <v>0</v>
      </c>
      <c r="O364" t="n">
        <v>2</v>
      </c>
      <c r="P364" t="n">
        <v>1</v>
      </c>
      <c r="Q364" t="n">
        <v>2</v>
      </c>
      <c r="R364" s="2" t="inlineStr">
        <is>
          <t>Violgubbe
Blek fingersvamp</t>
        </is>
      </c>
      <c r="S364">
        <f>HYPERLINK("https://klasma.github.io/Logging_0382/artfynd/A 60078-2021 artfynd.xlsx", "A 60078-2021")</f>
        <v/>
      </c>
      <c r="T364">
        <f>HYPERLINK("https://klasma.github.io/Logging_0382/kartor/A 60078-2021 karta.png", "A 60078-2021")</f>
        <v/>
      </c>
      <c r="V364">
        <f>HYPERLINK("https://klasma.github.io/Logging_0382/klagomål/A 60078-2021 FSC-klagomål.docx", "A 60078-2021")</f>
        <v/>
      </c>
      <c r="W364">
        <f>HYPERLINK("https://klasma.github.io/Logging_0382/klagomålsmail/A 60078-2021 FSC-klagomål mail.docx", "A 60078-2021")</f>
        <v/>
      </c>
      <c r="X364">
        <f>HYPERLINK("https://klasma.github.io/Logging_0382/tillsyn/A 60078-2021 tillsynsbegäran.docx", "A 60078-2021")</f>
        <v/>
      </c>
      <c r="Y364">
        <f>HYPERLINK("https://klasma.github.io/Logging_0382/tillsynsmail/A 60078-2021 tillsynsbegäran mail.docx", "A 60078-2021")</f>
        <v/>
      </c>
    </row>
    <row r="365" ht="15" customHeight="1">
      <c r="A365" t="inlineStr">
        <is>
          <t>A 65165-2021</t>
        </is>
      </c>
      <c r="B365" s="1" t="n">
        <v>44515</v>
      </c>
      <c r="C365" s="1" t="n">
        <v>45832</v>
      </c>
      <c r="D365" t="inlineStr">
        <is>
          <t>UPPSALA LÄN</t>
        </is>
      </c>
      <c r="E365" t="inlineStr">
        <is>
          <t>ÖSTHAMMAR</t>
        </is>
      </c>
      <c r="F365" t="inlineStr">
        <is>
          <t>Sveaskog</t>
        </is>
      </c>
      <c r="G365" t="n">
        <v>2.8</v>
      </c>
      <c r="H365" t="n">
        <v>1</v>
      </c>
      <c r="I365" t="n">
        <v>0</v>
      </c>
      <c r="J365" t="n">
        <v>2</v>
      </c>
      <c r="K365" t="n">
        <v>0</v>
      </c>
      <c r="L365" t="n">
        <v>0</v>
      </c>
      <c r="M365" t="n">
        <v>0</v>
      </c>
      <c r="N365" t="n">
        <v>0</v>
      </c>
      <c r="O365" t="n">
        <v>2</v>
      </c>
      <c r="P365" t="n">
        <v>0</v>
      </c>
      <c r="Q365" t="n">
        <v>2</v>
      </c>
      <c r="R365" s="2" t="inlineStr">
        <is>
          <t>Spillkråka
Vedtrappmossa</t>
        </is>
      </c>
      <c r="S365">
        <f>HYPERLINK("https://klasma.github.io/Logging_0382/artfynd/A 65165-2021 artfynd.xlsx", "A 65165-2021")</f>
        <v/>
      </c>
      <c r="T365">
        <f>HYPERLINK("https://klasma.github.io/Logging_0382/kartor/A 65165-2021 karta.png", "A 65165-2021")</f>
        <v/>
      </c>
      <c r="U365">
        <f>HYPERLINK("https://klasma.github.io/Logging_0382/knärot/A 65165-2021 karta knärot.png", "A 65165-2021")</f>
        <v/>
      </c>
      <c r="V365">
        <f>HYPERLINK("https://klasma.github.io/Logging_0382/klagomål/A 65165-2021 FSC-klagomål.docx", "A 65165-2021")</f>
        <v/>
      </c>
      <c r="W365">
        <f>HYPERLINK("https://klasma.github.io/Logging_0382/klagomålsmail/A 65165-2021 FSC-klagomål mail.docx", "A 65165-2021")</f>
        <v/>
      </c>
      <c r="X365">
        <f>HYPERLINK("https://klasma.github.io/Logging_0382/tillsyn/A 65165-2021 tillsynsbegäran.docx", "A 65165-2021")</f>
        <v/>
      </c>
      <c r="Y365">
        <f>HYPERLINK("https://klasma.github.io/Logging_0382/tillsynsmail/A 65165-2021 tillsynsbegäran mail.docx", "A 65165-2021")</f>
        <v/>
      </c>
      <c r="Z365">
        <f>HYPERLINK("https://klasma.github.io/Logging_0382/fåglar/A 65165-2021 prioriterade fågelarter.docx", "A 65165-2021")</f>
        <v/>
      </c>
    </row>
    <row r="366" ht="15" customHeight="1">
      <c r="A366" t="inlineStr">
        <is>
          <t>A 67855-2021</t>
        </is>
      </c>
      <c r="B366" s="1" t="n">
        <v>44525</v>
      </c>
      <c r="C366" s="1" t="n">
        <v>45832</v>
      </c>
      <c r="D366" t="inlineStr">
        <is>
          <t>UPPSALA LÄN</t>
        </is>
      </c>
      <c r="E366" t="inlineStr">
        <is>
          <t>ÖSTHAMMAR</t>
        </is>
      </c>
      <c r="G366" t="n">
        <v>7.5</v>
      </c>
      <c r="H366" t="n">
        <v>0</v>
      </c>
      <c r="I366" t="n">
        <v>2</v>
      </c>
      <c r="J366" t="n">
        <v>0</v>
      </c>
      <c r="K366" t="n">
        <v>0</v>
      </c>
      <c r="L366" t="n">
        <v>0</v>
      </c>
      <c r="M366" t="n">
        <v>0</v>
      </c>
      <c r="N366" t="n">
        <v>0</v>
      </c>
      <c r="O366" t="n">
        <v>0</v>
      </c>
      <c r="P366" t="n">
        <v>0</v>
      </c>
      <c r="Q366" t="n">
        <v>2</v>
      </c>
      <c r="R366" s="2" t="inlineStr">
        <is>
          <t>Guldkremla
Kamjordstjärna</t>
        </is>
      </c>
      <c r="S366">
        <f>HYPERLINK("https://klasma.github.io/Logging_0382/artfynd/A 67855-2021 artfynd.xlsx", "A 67855-2021")</f>
        <v/>
      </c>
      <c r="T366">
        <f>HYPERLINK("https://klasma.github.io/Logging_0382/kartor/A 67855-2021 karta.png", "A 67855-2021")</f>
        <v/>
      </c>
      <c r="V366">
        <f>HYPERLINK("https://klasma.github.io/Logging_0382/klagomål/A 67855-2021 FSC-klagomål.docx", "A 67855-2021")</f>
        <v/>
      </c>
      <c r="W366">
        <f>HYPERLINK("https://klasma.github.io/Logging_0382/klagomålsmail/A 67855-2021 FSC-klagomål mail.docx", "A 67855-2021")</f>
        <v/>
      </c>
      <c r="X366">
        <f>HYPERLINK("https://klasma.github.io/Logging_0382/tillsyn/A 67855-2021 tillsynsbegäran.docx", "A 67855-2021")</f>
        <v/>
      </c>
      <c r="Y366">
        <f>HYPERLINK("https://klasma.github.io/Logging_0382/tillsynsmail/A 67855-2021 tillsynsbegäran mail.docx", "A 67855-2021")</f>
        <v/>
      </c>
    </row>
    <row r="367" ht="15" customHeight="1">
      <c r="A367" t="inlineStr">
        <is>
          <t>A 69241-2021</t>
        </is>
      </c>
      <c r="B367" s="1" t="n">
        <v>44529</v>
      </c>
      <c r="C367" s="1" t="n">
        <v>45832</v>
      </c>
      <c r="D367" t="inlineStr">
        <is>
          <t>UPPSALA LÄN</t>
        </is>
      </c>
      <c r="E367" t="inlineStr">
        <is>
          <t>ÖSTHAMMAR</t>
        </is>
      </c>
      <c r="G367" t="n">
        <v>0.7</v>
      </c>
      <c r="H367" t="n">
        <v>0</v>
      </c>
      <c r="I367" t="n">
        <v>1</v>
      </c>
      <c r="J367" t="n">
        <v>1</v>
      </c>
      <c r="K367" t="n">
        <v>0</v>
      </c>
      <c r="L367" t="n">
        <v>0</v>
      </c>
      <c r="M367" t="n">
        <v>0</v>
      </c>
      <c r="N367" t="n">
        <v>0</v>
      </c>
      <c r="O367" t="n">
        <v>1</v>
      </c>
      <c r="P367" t="n">
        <v>0</v>
      </c>
      <c r="Q367" t="n">
        <v>2</v>
      </c>
      <c r="R367" s="2" t="inlineStr">
        <is>
          <t>Harticka
Zontaggsvamp</t>
        </is>
      </c>
      <c r="S367">
        <f>HYPERLINK("https://klasma.github.io/Logging_0382/artfynd/A 69241-2021 artfynd.xlsx", "A 69241-2021")</f>
        <v/>
      </c>
      <c r="T367">
        <f>HYPERLINK("https://klasma.github.io/Logging_0382/kartor/A 69241-2021 karta.png", "A 69241-2021")</f>
        <v/>
      </c>
      <c r="V367">
        <f>HYPERLINK("https://klasma.github.io/Logging_0382/klagomål/A 69241-2021 FSC-klagomål.docx", "A 69241-2021")</f>
        <v/>
      </c>
      <c r="W367">
        <f>HYPERLINK("https://klasma.github.io/Logging_0382/klagomålsmail/A 69241-2021 FSC-klagomål mail.docx", "A 69241-2021")</f>
        <v/>
      </c>
      <c r="X367">
        <f>HYPERLINK("https://klasma.github.io/Logging_0382/tillsyn/A 69241-2021 tillsynsbegäran.docx", "A 69241-2021")</f>
        <v/>
      </c>
      <c r="Y367">
        <f>HYPERLINK("https://klasma.github.io/Logging_0382/tillsynsmail/A 69241-2021 tillsynsbegäran mail.docx", "A 69241-2021")</f>
        <v/>
      </c>
    </row>
    <row r="368" ht="15" customHeight="1">
      <c r="A368" t="inlineStr">
        <is>
          <t>A 73981-2021</t>
        </is>
      </c>
      <c r="B368" s="1" t="n">
        <v>44555</v>
      </c>
      <c r="C368" s="1" t="n">
        <v>45832</v>
      </c>
      <c r="D368" t="inlineStr">
        <is>
          <t>UPPSALA LÄN</t>
        </is>
      </c>
      <c r="E368" t="inlineStr">
        <is>
          <t>ÖSTHAMMAR</t>
        </is>
      </c>
      <c r="G368" t="n">
        <v>2.4</v>
      </c>
      <c r="H368" t="n">
        <v>0</v>
      </c>
      <c r="I368" t="n">
        <v>1</v>
      </c>
      <c r="J368" t="n">
        <v>1</v>
      </c>
      <c r="K368" t="n">
        <v>0</v>
      </c>
      <c r="L368" t="n">
        <v>0</v>
      </c>
      <c r="M368" t="n">
        <v>0</v>
      </c>
      <c r="N368" t="n">
        <v>0</v>
      </c>
      <c r="O368" t="n">
        <v>1</v>
      </c>
      <c r="P368" t="n">
        <v>0</v>
      </c>
      <c r="Q368" t="n">
        <v>2</v>
      </c>
      <c r="R368" s="2" t="inlineStr">
        <is>
          <t>Skogsklocka
Vårärt</t>
        </is>
      </c>
      <c r="S368">
        <f>HYPERLINK("https://klasma.github.io/Logging_0382/artfynd/A 73981-2021 artfynd.xlsx", "A 73981-2021")</f>
        <v/>
      </c>
      <c r="T368">
        <f>HYPERLINK("https://klasma.github.io/Logging_0382/kartor/A 73981-2021 karta.png", "A 73981-2021")</f>
        <v/>
      </c>
      <c r="V368">
        <f>HYPERLINK("https://klasma.github.io/Logging_0382/klagomål/A 73981-2021 FSC-klagomål.docx", "A 73981-2021")</f>
        <v/>
      </c>
      <c r="W368">
        <f>HYPERLINK("https://klasma.github.io/Logging_0382/klagomålsmail/A 73981-2021 FSC-klagomål mail.docx", "A 73981-2021")</f>
        <v/>
      </c>
      <c r="X368">
        <f>HYPERLINK("https://klasma.github.io/Logging_0382/tillsyn/A 73981-2021 tillsynsbegäran.docx", "A 73981-2021")</f>
        <v/>
      </c>
      <c r="Y368">
        <f>HYPERLINK("https://klasma.github.io/Logging_0382/tillsynsmail/A 73981-2021 tillsynsbegäran mail.docx", "A 73981-2021")</f>
        <v/>
      </c>
    </row>
    <row r="369" ht="15" customHeight="1">
      <c r="A369" t="inlineStr">
        <is>
          <t>A 74031-2021</t>
        </is>
      </c>
      <c r="B369" s="1" t="n">
        <v>44557</v>
      </c>
      <c r="C369" s="1" t="n">
        <v>45832</v>
      </c>
      <c r="D369" t="inlineStr">
        <is>
          <t>UPPSALA LÄN</t>
        </is>
      </c>
      <c r="E369" t="inlineStr">
        <is>
          <t>ENKÖPING</t>
        </is>
      </c>
      <c r="G369" t="n">
        <v>6</v>
      </c>
      <c r="H369" t="n">
        <v>0</v>
      </c>
      <c r="I369" t="n">
        <v>2</v>
      </c>
      <c r="J369" t="n">
        <v>0</v>
      </c>
      <c r="K369" t="n">
        <v>0</v>
      </c>
      <c r="L369" t="n">
        <v>0</v>
      </c>
      <c r="M369" t="n">
        <v>0</v>
      </c>
      <c r="N369" t="n">
        <v>0</v>
      </c>
      <c r="O369" t="n">
        <v>0</v>
      </c>
      <c r="P369" t="n">
        <v>0</v>
      </c>
      <c r="Q369" t="n">
        <v>2</v>
      </c>
      <c r="R369" s="2" t="inlineStr">
        <is>
          <t>Scharlakansvårskål agg.
Tibast</t>
        </is>
      </c>
      <c r="S369">
        <f>HYPERLINK("https://klasma.github.io/Logging_0381/artfynd/A 74031-2021 artfynd.xlsx", "A 74031-2021")</f>
        <v/>
      </c>
      <c r="T369">
        <f>HYPERLINK("https://klasma.github.io/Logging_0381/kartor/A 74031-2021 karta.png", "A 74031-2021")</f>
        <v/>
      </c>
      <c r="V369">
        <f>HYPERLINK("https://klasma.github.io/Logging_0381/klagomål/A 74031-2021 FSC-klagomål.docx", "A 74031-2021")</f>
        <v/>
      </c>
      <c r="W369">
        <f>HYPERLINK("https://klasma.github.io/Logging_0381/klagomålsmail/A 74031-2021 FSC-klagomål mail.docx", "A 74031-2021")</f>
        <v/>
      </c>
      <c r="X369">
        <f>HYPERLINK("https://klasma.github.io/Logging_0381/tillsyn/A 74031-2021 tillsynsbegäran.docx", "A 74031-2021")</f>
        <v/>
      </c>
      <c r="Y369">
        <f>HYPERLINK("https://klasma.github.io/Logging_0381/tillsynsmail/A 74031-2021 tillsynsbegäran mail.docx", "A 74031-2021")</f>
        <v/>
      </c>
    </row>
    <row r="370" ht="15" customHeight="1">
      <c r="A370" t="inlineStr">
        <is>
          <t>A 8290-2022</t>
        </is>
      </c>
      <c r="B370" s="1" t="n">
        <v>44610</v>
      </c>
      <c r="C370" s="1" t="n">
        <v>45832</v>
      </c>
      <c r="D370" t="inlineStr">
        <is>
          <t>UPPSALA LÄN</t>
        </is>
      </c>
      <c r="E370" t="inlineStr">
        <is>
          <t>ÖSTHAMMAR</t>
        </is>
      </c>
      <c r="G370" t="n">
        <v>3.5</v>
      </c>
      <c r="H370" t="n">
        <v>0</v>
      </c>
      <c r="I370" t="n">
        <v>1</v>
      </c>
      <c r="J370" t="n">
        <v>0</v>
      </c>
      <c r="K370" t="n">
        <v>1</v>
      </c>
      <c r="L370" t="n">
        <v>0</v>
      </c>
      <c r="M370" t="n">
        <v>0</v>
      </c>
      <c r="N370" t="n">
        <v>0</v>
      </c>
      <c r="O370" t="n">
        <v>1</v>
      </c>
      <c r="P370" t="n">
        <v>1</v>
      </c>
      <c r="Q370" t="n">
        <v>2</v>
      </c>
      <c r="R370" s="2" t="inlineStr">
        <is>
          <t>Gul lammticka
Brandmusseron</t>
        </is>
      </c>
      <c r="S370">
        <f>HYPERLINK("https://klasma.github.io/Logging_0382/artfynd/A 8290-2022 artfynd.xlsx", "A 8290-2022")</f>
        <v/>
      </c>
      <c r="T370">
        <f>HYPERLINK("https://klasma.github.io/Logging_0382/kartor/A 8290-2022 karta.png", "A 8290-2022")</f>
        <v/>
      </c>
      <c r="V370">
        <f>HYPERLINK("https://klasma.github.io/Logging_0382/klagomål/A 8290-2022 FSC-klagomål.docx", "A 8290-2022")</f>
        <v/>
      </c>
      <c r="W370">
        <f>HYPERLINK("https://klasma.github.io/Logging_0382/klagomålsmail/A 8290-2022 FSC-klagomål mail.docx", "A 8290-2022")</f>
        <v/>
      </c>
      <c r="X370">
        <f>HYPERLINK("https://klasma.github.io/Logging_0382/tillsyn/A 8290-2022 tillsynsbegäran.docx", "A 8290-2022")</f>
        <v/>
      </c>
      <c r="Y370">
        <f>HYPERLINK("https://klasma.github.io/Logging_0382/tillsynsmail/A 8290-2022 tillsynsbegäran mail.docx", "A 8290-2022")</f>
        <v/>
      </c>
    </row>
    <row r="371" ht="15" customHeight="1">
      <c r="A371" t="inlineStr">
        <is>
          <t>A 12186-2022</t>
        </is>
      </c>
      <c r="B371" s="1" t="n">
        <v>44636</v>
      </c>
      <c r="C371" s="1" t="n">
        <v>45832</v>
      </c>
      <c r="D371" t="inlineStr">
        <is>
          <t>UPPSALA LÄN</t>
        </is>
      </c>
      <c r="E371" t="inlineStr">
        <is>
          <t>TIERP</t>
        </is>
      </c>
      <c r="G371" t="n">
        <v>8.1</v>
      </c>
      <c r="H371" t="n">
        <v>0</v>
      </c>
      <c r="I371" t="n">
        <v>0</v>
      </c>
      <c r="J371" t="n">
        <v>2</v>
      </c>
      <c r="K371" t="n">
        <v>0</v>
      </c>
      <c r="L371" t="n">
        <v>0</v>
      </c>
      <c r="M371" t="n">
        <v>0</v>
      </c>
      <c r="N371" t="n">
        <v>0</v>
      </c>
      <c r="O371" t="n">
        <v>2</v>
      </c>
      <c r="P371" t="n">
        <v>0</v>
      </c>
      <c r="Q371" t="n">
        <v>2</v>
      </c>
      <c r="R371" s="2" t="inlineStr">
        <is>
          <t>Flattoppad klubbsvamp
Äggspindling</t>
        </is>
      </c>
      <c r="S371">
        <f>HYPERLINK("https://klasma.github.io/Logging_0360/artfynd/A 12186-2022 artfynd.xlsx", "A 12186-2022")</f>
        <v/>
      </c>
      <c r="T371">
        <f>HYPERLINK("https://klasma.github.io/Logging_0360/kartor/A 12186-2022 karta.png", "A 12186-2022")</f>
        <v/>
      </c>
      <c r="V371">
        <f>HYPERLINK("https://klasma.github.io/Logging_0360/klagomål/A 12186-2022 FSC-klagomål.docx", "A 12186-2022")</f>
        <v/>
      </c>
      <c r="W371">
        <f>HYPERLINK("https://klasma.github.io/Logging_0360/klagomålsmail/A 12186-2022 FSC-klagomål mail.docx", "A 12186-2022")</f>
        <v/>
      </c>
      <c r="X371">
        <f>HYPERLINK("https://klasma.github.io/Logging_0360/tillsyn/A 12186-2022 tillsynsbegäran.docx", "A 12186-2022")</f>
        <v/>
      </c>
      <c r="Y371">
        <f>HYPERLINK("https://klasma.github.io/Logging_0360/tillsynsmail/A 12186-2022 tillsynsbegäran mail.docx", "A 12186-2022")</f>
        <v/>
      </c>
    </row>
    <row r="372" ht="15" customHeight="1">
      <c r="A372" t="inlineStr">
        <is>
          <t>A 13287-2022</t>
        </is>
      </c>
      <c r="B372" s="1" t="n">
        <v>44644</v>
      </c>
      <c r="C372" s="1" t="n">
        <v>45832</v>
      </c>
      <c r="D372" t="inlineStr">
        <is>
          <t>UPPSALA LÄN</t>
        </is>
      </c>
      <c r="E372" t="inlineStr">
        <is>
          <t>ÖSTHAMMAR</t>
        </is>
      </c>
      <c r="G372" t="n">
        <v>14.6</v>
      </c>
      <c r="H372" t="n">
        <v>0</v>
      </c>
      <c r="I372" t="n">
        <v>1</v>
      </c>
      <c r="J372" t="n">
        <v>0</v>
      </c>
      <c r="K372" t="n">
        <v>1</v>
      </c>
      <c r="L372" t="n">
        <v>0</v>
      </c>
      <c r="M372" t="n">
        <v>0</v>
      </c>
      <c r="N372" t="n">
        <v>0</v>
      </c>
      <c r="O372" t="n">
        <v>1</v>
      </c>
      <c r="P372" t="n">
        <v>1</v>
      </c>
      <c r="Q372" t="n">
        <v>2</v>
      </c>
      <c r="R372" s="2" t="inlineStr">
        <is>
          <t>Bullspindling
Olivspindling</t>
        </is>
      </c>
      <c r="S372">
        <f>HYPERLINK("https://klasma.github.io/Logging_0382/artfynd/A 13287-2022 artfynd.xlsx", "A 13287-2022")</f>
        <v/>
      </c>
      <c r="T372">
        <f>HYPERLINK("https://klasma.github.io/Logging_0382/kartor/A 13287-2022 karta.png", "A 13287-2022")</f>
        <v/>
      </c>
      <c r="V372">
        <f>HYPERLINK("https://klasma.github.io/Logging_0382/klagomål/A 13287-2022 FSC-klagomål.docx", "A 13287-2022")</f>
        <v/>
      </c>
      <c r="W372">
        <f>HYPERLINK("https://klasma.github.io/Logging_0382/klagomålsmail/A 13287-2022 FSC-klagomål mail.docx", "A 13287-2022")</f>
        <v/>
      </c>
      <c r="X372">
        <f>HYPERLINK("https://klasma.github.io/Logging_0382/tillsyn/A 13287-2022 tillsynsbegäran.docx", "A 13287-2022")</f>
        <v/>
      </c>
      <c r="Y372">
        <f>HYPERLINK("https://klasma.github.io/Logging_0382/tillsynsmail/A 13287-2022 tillsynsbegäran mail.docx", "A 13287-2022")</f>
        <v/>
      </c>
    </row>
    <row r="373" ht="15" customHeight="1">
      <c r="A373" t="inlineStr">
        <is>
          <t>A 14093-2022</t>
        </is>
      </c>
      <c r="B373" s="1" t="n">
        <v>44651</v>
      </c>
      <c r="C373" s="1" t="n">
        <v>45832</v>
      </c>
      <c r="D373" t="inlineStr">
        <is>
          <t>UPPSALA LÄN</t>
        </is>
      </c>
      <c r="E373" t="inlineStr">
        <is>
          <t>TIERP</t>
        </is>
      </c>
      <c r="F373" t="inlineStr">
        <is>
          <t>Bergvik skog öst AB</t>
        </is>
      </c>
      <c r="G373" t="n">
        <v>3.9</v>
      </c>
      <c r="H373" t="n">
        <v>0</v>
      </c>
      <c r="I373" t="n">
        <v>2</v>
      </c>
      <c r="J373" t="n">
        <v>0</v>
      </c>
      <c r="K373" t="n">
        <v>0</v>
      </c>
      <c r="L373" t="n">
        <v>0</v>
      </c>
      <c r="M373" t="n">
        <v>0</v>
      </c>
      <c r="N373" t="n">
        <v>0</v>
      </c>
      <c r="O373" t="n">
        <v>0</v>
      </c>
      <c r="P373" t="n">
        <v>0</v>
      </c>
      <c r="Q373" t="n">
        <v>2</v>
      </c>
      <c r="R373" s="2" t="inlineStr">
        <is>
          <t>Björksplintborre
Jättesvampmal</t>
        </is>
      </c>
      <c r="S373">
        <f>HYPERLINK("https://klasma.github.io/Logging_0360/artfynd/A 14093-2022 artfynd.xlsx", "A 14093-2022")</f>
        <v/>
      </c>
      <c r="T373">
        <f>HYPERLINK("https://klasma.github.io/Logging_0360/kartor/A 14093-2022 karta.png", "A 14093-2022")</f>
        <v/>
      </c>
      <c r="V373">
        <f>HYPERLINK("https://klasma.github.io/Logging_0360/klagomål/A 14093-2022 FSC-klagomål.docx", "A 14093-2022")</f>
        <v/>
      </c>
      <c r="W373">
        <f>HYPERLINK("https://klasma.github.io/Logging_0360/klagomålsmail/A 14093-2022 FSC-klagomål mail.docx", "A 14093-2022")</f>
        <v/>
      </c>
      <c r="X373">
        <f>HYPERLINK("https://klasma.github.io/Logging_0360/tillsyn/A 14093-2022 tillsynsbegäran.docx", "A 14093-2022")</f>
        <v/>
      </c>
      <c r="Y373">
        <f>HYPERLINK("https://klasma.github.io/Logging_0360/tillsynsmail/A 14093-2022 tillsynsbegäran mail.docx", "A 14093-2022")</f>
        <v/>
      </c>
    </row>
    <row r="374" ht="15" customHeight="1">
      <c r="A374" t="inlineStr">
        <is>
          <t>A 15277-2022</t>
        </is>
      </c>
      <c r="B374" s="1" t="n">
        <v>44659</v>
      </c>
      <c r="C374" s="1" t="n">
        <v>45832</v>
      </c>
      <c r="D374" t="inlineStr">
        <is>
          <t>UPPSALA LÄN</t>
        </is>
      </c>
      <c r="E374" t="inlineStr">
        <is>
          <t>UPPSALA</t>
        </is>
      </c>
      <c r="G374" t="n">
        <v>8.9</v>
      </c>
      <c r="H374" t="n">
        <v>2</v>
      </c>
      <c r="I374" t="n">
        <v>0</v>
      </c>
      <c r="J374" t="n">
        <v>2</v>
      </c>
      <c r="K374" t="n">
        <v>0</v>
      </c>
      <c r="L374" t="n">
        <v>0</v>
      </c>
      <c r="M374" t="n">
        <v>0</v>
      </c>
      <c r="N374" t="n">
        <v>0</v>
      </c>
      <c r="O374" t="n">
        <v>2</v>
      </c>
      <c r="P374" t="n">
        <v>0</v>
      </c>
      <c r="Q374" t="n">
        <v>2</v>
      </c>
      <c r="R374" s="2" t="inlineStr">
        <is>
          <t>Entita
Mindre hackspett</t>
        </is>
      </c>
      <c r="S374">
        <f>HYPERLINK("https://klasma.github.io/Logging_0380/artfynd/A 15277-2022 artfynd.xlsx", "A 15277-2022")</f>
        <v/>
      </c>
      <c r="T374">
        <f>HYPERLINK("https://klasma.github.io/Logging_0380/kartor/A 15277-2022 karta.png", "A 15277-2022")</f>
        <v/>
      </c>
      <c r="V374">
        <f>HYPERLINK("https://klasma.github.io/Logging_0380/klagomål/A 15277-2022 FSC-klagomål.docx", "A 15277-2022")</f>
        <v/>
      </c>
      <c r="W374">
        <f>HYPERLINK("https://klasma.github.io/Logging_0380/klagomålsmail/A 15277-2022 FSC-klagomål mail.docx", "A 15277-2022")</f>
        <v/>
      </c>
      <c r="X374">
        <f>HYPERLINK("https://klasma.github.io/Logging_0380/tillsyn/A 15277-2022 tillsynsbegäran.docx", "A 15277-2022")</f>
        <v/>
      </c>
      <c r="Y374">
        <f>HYPERLINK("https://klasma.github.io/Logging_0380/tillsynsmail/A 15277-2022 tillsynsbegäran mail.docx", "A 15277-2022")</f>
        <v/>
      </c>
      <c r="Z374">
        <f>HYPERLINK("https://klasma.github.io/Logging_0380/fåglar/A 15277-2022 prioriterade fågelarter.docx", "A 15277-2022")</f>
        <v/>
      </c>
    </row>
    <row r="375" ht="15" customHeight="1">
      <c r="A375" t="inlineStr">
        <is>
          <t>A 17341-2022</t>
        </is>
      </c>
      <c r="B375" s="1" t="n">
        <v>44678</v>
      </c>
      <c r="C375" s="1" t="n">
        <v>45832</v>
      </c>
      <c r="D375" t="inlineStr">
        <is>
          <t>UPPSALA LÄN</t>
        </is>
      </c>
      <c r="E375" t="inlineStr">
        <is>
          <t>UPPSALA</t>
        </is>
      </c>
      <c r="F375" t="inlineStr">
        <is>
          <t>Övriga Aktiebolag</t>
        </is>
      </c>
      <c r="G375" t="n">
        <v>10.3</v>
      </c>
      <c r="H375" t="n">
        <v>2</v>
      </c>
      <c r="I375" t="n">
        <v>0</v>
      </c>
      <c r="J375" t="n">
        <v>2</v>
      </c>
      <c r="K375" t="n">
        <v>0</v>
      </c>
      <c r="L375" t="n">
        <v>0</v>
      </c>
      <c r="M375" t="n">
        <v>0</v>
      </c>
      <c r="N375" t="n">
        <v>0</v>
      </c>
      <c r="O375" t="n">
        <v>2</v>
      </c>
      <c r="P375" t="n">
        <v>0</v>
      </c>
      <c r="Q375" t="n">
        <v>2</v>
      </c>
      <c r="R375" s="2" t="inlineStr">
        <is>
          <t>Järpe
Tretåig hackspett</t>
        </is>
      </c>
      <c r="S375">
        <f>HYPERLINK("https://klasma.github.io/Logging_0380/artfynd/A 17341-2022 artfynd.xlsx", "A 17341-2022")</f>
        <v/>
      </c>
      <c r="T375">
        <f>HYPERLINK("https://klasma.github.io/Logging_0380/kartor/A 17341-2022 karta.png", "A 17341-2022")</f>
        <v/>
      </c>
      <c r="V375">
        <f>HYPERLINK("https://klasma.github.io/Logging_0380/klagomål/A 17341-2022 FSC-klagomål.docx", "A 17341-2022")</f>
        <v/>
      </c>
      <c r="W375">
        <f>HYPERLINK("https://klasma.github.io/Logging_0380/klagomålsmail/A 17341-2022 FSC-klagomål mail.docx", "A 17341-2022")</f>
        <v/>
      </c>
      <c r="X375">
        <f>HYPERLINK("https://klasma.github.io/Logging_0380/tillsyn/A 17341-2022 tillsynsbegäran.docx", "A 17341-2022")</f>
        <v/>
      </c>
      <c r="Y375">
        <f>HYPERLINK("https://klasma.github.io/Logging_0380/tillsynsmail/A 17341-2022 tillsynsbegäran mail.docx", "A 17341-2022")</f>
        <v/>
      </c>
      <c r="Z375">
        <f>HYPERLINK("https://klasma.github.io/Logging_0380/fåglar/A 17341-2022 prioriterade fågelarter.docx", "A 17341-2022")</f>
        <v/>
      </c>
    </row>
    <row r="376" ht="15" customHeight="1">
      <c r="A376" t="inlineStr">
        <is>
          <t>A 22212-2022</t>
        </is>
      </c>
      <c r="B376" s="1" t="n">
        <v>44712</v>
      </c>
      <c r="C376" s="1" t="n">
        <v>45832</v>
      </c>
      <c r="D376" t="inlineStr">
        <is>
          <t>UPPSALA LÄN</t>
        </is>
      </c>
      <c r="E376" t="inlineStr">
        <is>
          <t>HEBY</t>
        </is>
      </c>
      <c r="G376" t="n">
        <v>7.9</v>
      </c>
      <c r="H376" t="n">
        <v>0</v>
      </c>
      <c r="I376" t="n">
        <v>2</v>
      </c>
      <c r="J376" t="n">
        <v>0</v>
      </c>
      <c r="K376" t="n">
        <v>0</v>
      </c>
      <c r="L376" t="n">
        <v>0</v>
      </c>
      <c r="M376" t="n">
        <v>0</v>
      </c>
      <c r="N376" t="n">
        <v>0</v>
      </c>
      <c r="O376" t="n">
        <v>0</v>
      </c>
      <c r="P376" t="n">
        <v>0</v>
      </c>
      <c r="Q376" t="n">
        <v>2</v>
      </c>
      <c r="R376" s="2" t="inlineStr">
        <is>
          <t>Bronshjon
Thomsons trägnagare</t>
        </is>
      </c>
      <c r="S376">
        <f>HYPERLINK("https://klasma.github.io/Logging_0331/artfynd/A 22212-2022 artfynd.xlsx", "A 22212-2022")</f>
        <v/>
      </c>
      <c r="T376">
        <f>HYPERLINK("https://klasma.github.io/Logging_0331/kartor/A 22212-2022 karta.png", "A 22212-2022")</f>
        <v/>
      </c>
      <c r="V376">
        <f>HYPERLINK("https://klasma.github.io/Logging_0331/klagomål/A 22212-2022 FSC-klagomål.docx", "A 22212-2022")</f>
        <v/>
      </c>
      <c r="W376">
        <f>HYPERLINK("https://klasma.github.io/Logging_0331/klagomålsmail/A 22212-2022 FSC-klagomål mail.docx", "A 22212-2022")</f>
        <v/>
      </c>
      <c r="X376">
        <f>HYPERLINK("https://klasma.github.io/Logging_0331/tillsyn/A 22212-2022 tillsynsbegäran.docx", "A 22212-2022")</f>
        <v/>
      </c>
      <c r="Y376">
        <f>HYPERLINK("https://klasma.github.io/Logging_0331/tillsynsmail/A 22212-2022 tillsynsbegäran mail.docx", "A 22212-2022")</f>
        <v/>
      </c>
    </row>
    <row r="377" ht="15" customHeight="1">
      <c r="A377" t="inlineStr">
        <is>
          <t>A 23303-2022</t>
        </is>
      </c>
      <c r="B377" s="1" t="n">
        <v>44719</v>
      </c>
      <c r="C377" s="1" t="n">
        <v>45832</v>
      </c>
      <c r="D377" t="inlineStr">
        <is>
          <t>UPPSALA LÄN</t>
        </is>
      </c>
      <c r="E377" t="inlineStr">
        <is>
          <t>HÅBO</t>
        </is>
      </c>
      <c r="F377" t="inlineStr">
        <is>
          <t>Naturvårdsverket</t>
        </is>
      </c>
      <c r="G377" t="n">
        <v>2</v>
      </c>
      <c r="H377" t="n">
        <v>2</v>
      </c>
      <c r="I377" t="n">
        <v>0</v>
      </c>
      <c r="J377" t="n">
        <v>1</v>
      </c>
      <c r="K377" t="n">
        <v>0</v>
      </c>
      <c r="L377" t="n">
        <v>0</v>
      </c>
      <c r="M377" t="n">
        <v>0</v>
      </c>
      <c r="N377" t="n">
        <v>0</v>
      </c>
      <c r="O377" t="n">
        <v>1</v>
      </c>
      <c r="P377" t="n">
        <v>0</v>
      </c>
      <c r="Q377" t="n">
        <v>2</v>
      </c>
      <c r="R377" s="2" t="inlineStr">
        <is>
          <t>Mindre hackspett
Blåsippa</t>
        </is>
      </c>
      <c r="S377">
        <f>HYPERLINK("https://klasma.github.io/Logging_0305/artfynd/A 23303-2022 artfynd.xlsx", "A 23303-2022")</f>
        <v/>
      </c>
      <c r="T377">
        <f>HYPERLINK("https://klasma.github.io/Logging_0305/kartor/A 23303-2022 karta.png", "A 23303-2022")</f>
        <v/>
      </c>
      <c r="V377">
        <f>HYPERLINK("https://klasma.github.io/Logging_0305/klagomål/A 23303-2022 FSC-klagomål.docx", "A 23303-2022")</f>
        <v/>
      </c>
      <c r="W377">
        <f>HYPERLINK("https://klasma.github.io/Logging_0305/klagomålsmail/A 23303-2022 FSC-klagomål mail.docx", "A 23303-2022")</f>
        <v/>
      </c>
      <c r="X377">
        <f>HYPERLINK("https://klasma.github.io/Logging_0305/tillsyn/A 23303-2022 tillsynsbegäran.docx", "A 23303-2022")</f>
        <v/>
      </c>
      <c r="Y377">
        <f>HYPERLINK("https://klasma.github.io/Logging_0305/tillsynsmail/A 23303-2022 tillsynsbegäran mail.docx", "A 23303-2022")</f>
        <v/>
      </c>
      <c r="Z377">
        <f>HYPERLINK("https://klasma.github.io/Logging_0305/fåglar/A 23303-2022 prioriterade fågelarter.docx", "A 23303-2022")</f>
        <v/>
      </c>
    </row>
    <row r="378" ht="15" customHeight="1">
      <c r="A378" t="inlineStr">
        <is>
          <t>A 25098-2022</t>
        </is>
      </c>
      <c r="B378" s="1" t="n">
        <v>44729</v>
      </c>
      <c r="C378" s="1" t="n">
        <v>45832</v>
      </c>
      <c r="D378" t="inlineStr">
        <is>
          <t>UPPSALA LÄN</t>
        </is>
      </c>
      <c r="E378" t="inlineStr">
        <is>
          <t>ÖSTHAMMAR</t>
        </is>
      </c>
      <c r="G378" t="n">
        <v>2.9</v>
      </c>
      <c r="H378" t="n">
        <v>2</v>
      </c>
      <c r="I378" t="n">
        <v>0</v>
      </c>
      <c r="J378" t="n">
        <v>0</v>
      </c>
      <c r="K378" t="n">
        <v>0</v>
      </c>
      <c r="L378" t="n">
        <v>0</v>
      </c>
      <c r="M378" t="n">
        <v>0</v>
      </c>
      <c r="N378" t="n">
        <v>0</v>
      </c>
      <c r="O378" t="n">
        <v>0</v>
      </c>
      <c r="P378" t="n">
        <v>0</v>
      </c>
      <c r="Q378" t="n">
        <v>2</v>
      </c>
      <c r="R378" s="2" t="inlineStr">
        <is>
          <t>Blåsippa
Gullviva</t>
        </is>
      </c>
      <c r="S378">
        <f>HYPERLINK("https://klasma.github.io/Logging_0382/artfynd/A 25098-2022 artfynd.xlsx", "A 25098-2022")</f>
        <v/>
      </c>
      <c r="T378">
        <f>HYPERLINK("https://klasma.github.io/Logging_0382/kartor/A 25098-2022 karta.png", "A 25098-2022")</f>
        <v/>
      </c>
      <c r="V378">
        <f>HYPERLINK("https://klasma.github.io/Logging_0382/klagomål/A 25098-2022 FSC-klagomål.docx", "A 25098-2022")</f>
        <v/>
      </c>
      <c r="W378">
        <f>HYPERLINK("https://klasma.github.io/Logging_0382/klagomålsmail/A 25098-2022 FSC-klagomål mail.docx", "A 25098-2022")</f>
        <v/>
      </c>
      <c r="X378">
        <f>HYPERLINK("https://klasma.github.io/Logging_0382/tillsyn/A 25098-2022 tillsynsbegäran.docx", "A 25098-2022")</f>
        <v/>
      </c>
      <c r="Y378">
        <f>HYPERLINK("https://klasma.github.io/Logging_0382/tillsynsmail/A 25098-2022 tillsynsbegäran mail.docx", "A 25098-2022")</f>
        <v/>
      </c>
    </row>
    <row r="379" ht="15" customHeight="1">
      <c r="A379" t="inlineStr">
        <is>
          <t>A 32064-2022</t>
        </is>
      </c>
      <c r="B379" s="1" t="n">
        <v>44778</v>
      </c>
      <c r="C379" s="1" t="n">
        <v>45832</v>
      </c>
      <c r="D379" t="inlineStr">
        <is>
          <t>UPPSALA LÄN</t>
        </is>
      </c>
      <c r="E379" t="inlineStr">
        <is>
          <t>ÖSTHAMMAR</t>
        </is>
      </c>
      <c r="G379" t="n">
        <v>2.2</v>
      </c>
      <c r="H379" t="n">
        <v>0</v>
      </c>
      <c r="I379" t="n">
        <v>1</v>
      </c>
      <c r="J379" t="n">
        <v>0</v>
      </c>
      <c r="K379" t="n">
        <v>1</v>
      </c>
      <c r="L379" t="n">
        <v>0</v>
      </c>
      <c r="M379" t="n">
        <v>0</v>
      </c>
      <c r="N379" t="n">
        <v>0</v>
      </c>
      <c r="O379" t="n">
        <v>1</v>
      </c>
      <c r="P379" t="n">
        <v>1</v>
      </c>
      <c r="Q379" t="n">
        <v>2</v>
      </c>
      <c r="R379" s="2" t="inlineStr">
        <is>
          <t>Gul lammticka
Olivspindling</t>
        </is>
      </c>
      <c r="S379">
        <f>HYPERLINK("https://klasma.github.io/Logging_0382/artfynd/A 32064-2022 artfynd.xlsx", "A 32064-2022")</f>
        <v/>
      </c>
      <c r="T379">
        <f>HYPERLINK("https://klasma.github.io/Logging_0382/kartor/A 32064-2022 karta.png", "A 32064-2022")</f>
        <v/>
      </c>
      <c r="V379">
        <f>HYPERLINK("https://klasma.github.io/Logging_0382/klagomål/A 32064-2022 FSC-klagomål.docx", "A 32064-2022")</f>
        <v/>
      </c>
      <c r="W379">
        <f>HYPERLINK("https://klasma.github.io/Logging_0382/klagomålsmail/A 32064-2022 FSC-klagomål mail.docx", "A 32064-2022")</f>
        <v/>
      </c>
      <c r="X379">
        <f>HYPERLINK("https://klasma.github.io/Logging_0382/tillsyn/A 32064-2022 tillsynsbegäran.docx", "A 32064-2022")</f>
        <v/>
      </c>
      <c r="Y379">
        <f>HYPERLINK("https://klasma.github.io/Logging_0382/tillsynsmail/A 32064-2022 tillsynsbegäran mail.docx", "A 32064-2022")</f>
        <v/>
      </c>
    </row>
    <row r="380" ht="15" customHeight="1">
      <c r="A380" t="inlineStr">
        <is>
          <t>A 45851-2022</t>
        </is>
      </c>
      <c r="B380" s="1" t="n">
        <v>44846</v>
      </c>
      <c r="C380" s="1" t="n">
        <v>45832</v>
      </c>
      <c r="D380" t="inlineStr">
        <is>
          <t>UPPSALA LÄN</t>
        </is>
      </c>
      <c r="E380" t="inlineStr">
        <is>
          <t>TIERP</t>
        </is>
      </c>
      <c r="G380" t="n">
        <v>2.6</v>
      </c>
      <c r="H380" t="n">
        <v>0</v>
      </c>
      <c r="I380" t="n">
        <v>2</v>
      </c>
      <c r="J380" t="n">
        <v>0</v>
      </c>
      <c r="K380" t="n">
        <v>0</v>
      </c>
      <c r="L380" t="n">
        <v>0</v>
      </c>
      <c r="M380" t="n">
        <v>0</v>
      </c>
      <c r="N380" t="n">
        <v>0</v>
      </c>
      <c r="O380" t="n">
        <v>0</v>
      </c>
      <c r="P380" t="n">
        <v>0</v>
      </c>
      <c r="Q380" t="n">
        <v>2</v>
      </c>
      <c r="R380" s="2" t="inlineStr">
        <is>
          <t>Olivspindling
Rödgul trumpetsvamp</t>
        </is>
      </c>
      <c r="S380">
        <f>HYPERLINK("https://klasma.github.io/Logging_0360/artfynd/A 45851-2022 artfynd.xlsx", "A 45851-2022")</f>
        <v/>
      </c>
      <c r="T380">
        <f>HYPERLINK("https://klasma.github.io/Logging_0360/kartor/A 45851-2022 karta.png", "A 45851-2022")</f>
        <v/>
      </c>
      <c r="V380">
        <f>HYPERLINK("https://klasma.github.io/Logging_0360/klagomål/A 45851-2022 FSC-klagomål.docx", "A 45851-2022")</f>
        <v/>
      </c>
      <c r="W380">
        <f>HYPERLINK("https://klasma.github.io/Logging_0360/klagomålsmail/A 45851-2022 FSC-klagomål mail.docx", "A 45851-2022")</f>
        <v/>
      </c>
      <c r="X380">
        <f>HYPERLINK("https://klasma.github.io/Logging_0360/tillsyn/A 45851-2022 tillsynsbegäran.docx", "A 45851-2022")</f>
        <v/>
      </c>
      <c r="Y380">
        <f>HYPERLINK("https://klasma.github.io/Logging_0360/tillsynsmail/A 45851-2022 tillsynsbegäran mail.docx", "A 45851-2022")</f>
        <v/>
      </c>
    </row>
    <row r="381" ht="15" customHeight="1">
      <c r="A381" t="inlineStr">
        <is>
          <t>A 52092-2022</t>
        </is>
      </c>
      <c r="B381" s="1" t="n">
        <v>44873</v>
      </c>
      <c r="C381" s="1" t="n">
        <v>45832</v>
      </c>
      <c r="D381" t="inlineStr">
        <is>
          <t>UPPSALA LÄN</t>
        </is>
      </c>
      <c r="E381" t="inlineStr">
        <is>
          <t>ENKÖPING</t>
        </is>
      </c>
      <c r="G381" t="n">
        <v>2.4</v>
      </c>
      <c r="H381" t="n">
        <v>1</v>
      </c>
      <c r="I381" t="n">
        <v>0</v>
      </c>
      <c r="J381" t="n">
        <v>1</v>
      </c>
      <c r="K381" t="n">
        <v>1</v>
      </c>
      <c r="L381" t="n">
        <v>0</v>
      </c>
      <c r="M381" t="n">
        <v>0</v>
      </c>
      <c r="N381" t="n">
        <v>0</v>
      </c>
      <c r="O381" t="n">
        <v>2</v>
      </c>
      <c r="P381" t="n">
        <v>1</v>
      </c>
      <c r="Q381" t="n">
        <v>2</v>
      </c>
      <c r="R381" s="2" t="inlineStr">
        <is>
          <t>Bombmurkla
Fyrflikig jordstjärna</t>
        </is>
      </c>
      <c r="S381">
        <f>HYPERLINK("https://klasma.github.io/Logging_0381/artfynd/A 52092-2022 artfynd.xlsx", "A 52092-2022")</f>
        <v/>
      </c>
      <c r="T381">
        <f>HYPERLINK("https://klasma.github.io/Logging_0381/kartor/A 52092-2022 karta.png", "A 52092-2022")</f>
        <v/>
      </c>
      <c r="V381">
        <f>HYPERLINK("https://klasma.github.io/Logging_0381/klagomål/A 52092-2022 FSC-klagomål.docx", "A 52092-2022")</f>
        <v/>
      </c>
      <c r="W381">
        <f>HYPERLINK("https://klasma.github.io/Logging_0381/klagomålsmail/A 52092-2022 FSC-klagomål mail.docx", "A 52092-2022")</f>
        <v/>
      </c>
      <c r="X381">
        <f>HYPERLINK("https://klasma.github.io/Logging_0381/tillsyn/A 52092-2022 tillsynsbegäran.docx", "A 52092-2022")</f>
        <v/>
      </c>
      <c r="Y381">
        <f>HYPERLINK("https://klasma.github.io/Logging_0381/tillsynsmail/A 52092-2022 tillsynsbegäran mail.docx", "A 52092-2022")</f>
        <v/>
      </c>
    </row>
    <row r="382" ht="15" customHeight="1">
      <c r="A382" t="inlineStr">
        <is>
          <t>A 52654-2022</t>
        </is>
      </c>
      <c r="B382" s="1" t="n">
        <v>44874</v>
      </c>
      <c r="C382" s="1" t="n">
        <v>45832</v>
      </c>
      <c r="D382" t="inlineStr">
        <is>
          <t>UPPSALA LÄN</t>
        </is>
      </c>
      <c r="E382" t="inlineStr">
        <is>
          <t>ÖSTHAMMAR</t>
        </is>
      </c>
      <c r="F382" t="inlineStr">
        <is>
          <t>Bergvik skog öst AB</t>
        </is>
      </c>
      <c r="G382" t="n">
        <v>5.2</v>
      </c>
      <c r="H382" t="n">
        <v>2</v>
      </c>
      <c r="I382" t="n">
        <v>0</v>
      </c>
      <c r="J382" t="n">
        <v>2</v>
      </c>
      <c r="K382" t="n">
        <v>0</v>
      </c>
      <c r="L382" t="n">
        <v>0</v>
      </c>
      <c r="M382" t="n">
        <v>0</v>
      </c>
      <c r="N382" t="n">
        <v>0</v>
      </c>
      <c r="O382" t="n">
        <v>2</v>
      </c>
      <c r="P382" t="n">
        <v>0</v>
      </c>
      <c r="Q382" t="n">
        <v>2</v>
      </c>
      <c r="R382" s="2" t="inlineStr">
        <is>
          <t>Fiskmås
Strandskata</t>
        </is>
      </c>
      <c r="S382">
        <f>HYPERLINK("https://klasma.github.io/Logging_0382/artfynd/A 52654-2022 artfynd.xlsx", "A 52654-2022")</f>
        <v/>
      </c>
      <c r="T382">
        <f>HYPERLINK("https://klasma.github.io/Logging_0382/kartor/A 52654-2022 karta.png", "A 52654-2022")</f>
        <v/>
      </c>
      <c r="V382">
        <f>HYPERLINK("https://klasma.github.io/Logging_0382/klagomål/A 52654-2022 FSC-klagomål.docx", "A 52654-2022")</f>
        <v/>
      </c>
      <c r="W382">
        <f>HYPERLINK("https://klasma.github.io/Logging_0382/klagomålsmail/A 52654-2022 FSC-klagomål mail.docx", "A 52654-2022")</f>
        <v/>
      </c>
      <c r="X382">
        <f>HYPERLINK("https://klasma.github.io/Logging_0382/tillsyn/A 52654-2022 tillsynsbegäran.docx", "A 52654-2022")</f>
        <v/>
      </c>
      <c r="Y382">
        <f>HYPERLINK("https://klasma.github.io/Logging_0382/tillsynsmail/A 52654-2022 tillsynsbegäran mail.docx", "A 52654-2022")</f>
        <v/>
      </c>
    </row>
    <row r="383" ht="15" customHeight="1">
      <c r="A383" t="inlineStr">
        <is>
          <t>A 52658-2022</t>
        </is>
      </c>
      <c r="B383" s="1" t="n">
        <v>44874</v>
      </c>
      <c r="C383" s="1" t="n">
        <v>45832</v>
      </c>
      <c r="D383" t="inlineStr">
        <is>
          <t>UPPSALA LÄN</t>
        </is>
      </c>
      <c r="E383" t="inlineStr">
        <is>
          <t>ÖSTHAMMAR</t>
        </is>
      </c>
      <c r="F383" t="inlineStr">
        <is>
          <t>Bergvik skog öst AB</t>
        </is>
      </c>
      <c r="G383" t="n">
        <v>1.4</v>
      </c>
      <c r="H383" t="n">
        <v>2</v>
      </c>
      <c r="I383" t="n">
        <v>0</v>
      </c>
      <c r="J383" t="n">
        <v>2</v>
      </c>
      <c r="K383" t="n">
        <v>0</v>
      </c>
      <c r="L383" t="n">
        <v>0</v>
      </c>
      <c r="M383" t="n">
        <v>0</v>
      </c>
      <c r="N383" t="n">
        <v>0</v>
      </c>
      <c r="O383" t="n">
        <v>2</v>
      </c>
      <c r="P383" t="n">
        <v>0</v>
      </c>
      <c r="Q383" t="n">
        <v>2</v>
      </c>
      <c r="R383" s="2" t="inlineStr">
        <is>
          <t>Strandskata
Svartvit flugsnappare</t>
        </is>
      </c>
      <c r="S383">
        <f>HYPERLINK("https://klasma.github.io/Logging_0382/artfynd/A 52658-2022 artfynd.xlsx", "A 52658-2022")</f>
        <v/>
      </c>
      <c r="T383">
        <f>HYPERLINK("https://klasma.github.io/Logging_0382/kartor/A 52658-2022 karta.png", "A 52658-2022")</f>
        <v/>
      </c>
      <c r="V383">
        <f>HYPERLINK("https://klasma.github.io/Logging_0382/klagomål/A 52658-2022 FSC-klagomål.docx", "A 52658-2022")</f>
        <v/>
      </c>
      <c r="W383">
        <f>HYPERLINK("https://klasma.github.io/Logging_0382/klagomålsmail/A 52658-2022 FSC-klagomål mail.docx", "A 52658-2022")</f>
        <v/>
      </c>
      <c r="X383">
        <f>HYPERLINK("https://klasma.github.io/Logging_0382/tillsyn/A 52658-2022 tillsynsbegäran.docx", "A 52658-2022")</f>
        <v/>
      </c>
      <c r="Y383">
        <f>HYPERLINK("https://klasma.github.io/Logging_0382/tillsynsmail/A 52658-2022 tillsynsbegäran mail.docx", "A 52658-2022")</f>
        <v/>
      </c>
      <c r="Z383">
        <f>HYPERLINK("https://klasma.github.io/Logging_0382/fåglar/A 52658-2022 prioriterade fågelarter.docx", "A 52658-2022")</f>
        <v/>
      </c>
    </row>
    <row r="384" ht="15" customHeight="1">
      <c r="A384" t="inlineStr">
        <is>
          <t>A 54082-2022</t>
        </is>
      </c>
      <c r="B384" s="1" t="n">
        <v>44879</v>
      </c>
      <c r="C384" s="1" t="n">
        <v>45832</v>
      </c>
      <c r="D384" t="inlineStr">
        <is>
          <t>UPPSALA LÄN</t>
        </is>
      </c>
      <c r="E384" t="inlineStr">
        <is>
          <t>UPPSALA</t>
        </is>
      </c>
      <c r="G384" t="n">
        <v>15.1</v>
      </c>
      <c r="H384" t="n">
        <v>0</v>
      </c>
      <c r="I384" t="n">
        <v>2</v>
      </c>
      <c r="J384" t="n">
        <v>0</v>
      </c>
      <c r="K384" t="n">
        <v>0</v>
      </c>
      <c r="L384" t="n">
        <v>0</v>
      </c>
      <c r="M384" t="n">
        <v>0</v>
      </c>
      <c r="N384" t="n">
        <v>0</v>
      </c>
      <c r="O384" t="n">
        <v>0</v>
      </c>
      <c r="P384" t="n">
        <v>0</v>
      </c>
      <c r="Q384" t="n">
        <v>2</v>
      </c>
      <c r="R384" s="2" t="inlineStr">
        <is>
          <t>Fjällig taggsvamp s.str.
Skarp dropptaggsvamp</t>
        </is>
      </c>
      <c r="S384">
        <f>HYPERLINK("https://klasma.github.io/Logging_0380/artfynd/A 54082-2022 artfynd.xlsx", "A 54082-2022")</f>
        <v/>
      </c>
      <c r="T384">
        <f>HYPERLINK("https://klasma.github.io/Logging_0380/kartor/A 54082-2022 karta.png", "A 54082-2022")</f>
        <v/>
      </c>
      <c r="V384">
        <f>HYPERLINK("https://klasma.github.io/Logging_0380/klagomål/A 54082-2022 FSC-klagomål.docx", "A 54082-2022")</f>
        <v/>
      </c>
      <c r="W384">
        <f>HYPERLINK("https://klasma.github.io/Logging_0380/klagomålsmail/A 54082-2022 FSC-klagomål mail.docx", "A 54082-2022")</f>
        <v/>
      </c>
      <c r="X384">
        <f>HYPERLINK("https://klasma.github.io/Logging_0380/tillsyn/A 54082-2022 tillsynsbegäran.docx", "A 54082-2022")</f>
        <v/>
      </c>
      <c r="Y384">
        <f>HYPERLINK("https://klasma.github.io/Logging_0380/tillsynsmail/A 54082-2022 tillsynsbegäran mail.docx", "A 54082-2022")</f>
        <v/>
      </c>
    </row>
    <row r="385" ht="15" customHeight="1">
      <c r="A385" t="inlineStr">
        <is>
          <t>A 56531-2022</t>
        </is>
      </c>
      <c r="B385" s="1" t="n">
        <v>44887</v>
      </c>
      <c r="C385" s="1" t="n">
        <v>45832</v>
      </c>
      <c r="D385" t="inlineStr">
        <is>
          <t>UPPSALA LÄN</t>
        </is>
      </c>
      <c r="E385" t="inlineStr">
        <is>
          <t>TIERP</t>
        </is>
      </c>
      <c r="F385" t="inlineStr">
        <is>
          <t>Bergvik skog väst AB</t>
        </is>
      </c>
      <c r="G385" t="n">
        <v>14.2</v>
      </c>
      <c r="H385" t="n">
        <v>2</v>
      </c>
      <c r="I385" t="n">
        <v>0</v>
      </c>
      <c r="J385" t="n">
        <v>2</v>
      </c>
      <c r="K385" t="n">
        <v>0</v>
      </c>
      <c r="L385" t="n">
        <v>0</v>
      </c>
      <c r="M385" t="n">
        <v>0</v>
      </c>
      <c r="N385" t="n">
        <v>0</v>
      </c>
      <c r="O385" t="n">
        <v>2</v>
      </c>
      <c r="P385" t="n">
        <v>0</v>
      </c>
      <c r="Q385" t="n">
        <v>2</v>
      </c>
      <c r="R385" s="2" t="inlineStr">
        <is>
          <t>Spillkråka
Talltita</t>
        </is>
      </c>
      <c r="S385">
        <f>HYPERLINK("https://klasma.github.io/Logging_0360/artfynd/A 56531-2022 artfynd.xlsx", "A 56531-2022")</f>
        <v/>
      </c>
      <c r="T385">
        <f>HYPERLINK("https://klasma.github.io/Logging_0360/kartor/A 56531-2022 karta.png", "A 56531-2022")</f>
        <v/>
      </c>
      <c r="V385">
        <f>HYPERLINK("https://klasma.github.io/Logging_0360/klagomål/A 56531-2022 FSC-klagomål.docx", "A 56531-2022")</f>
        <v/>
      </c>
      <c r="W385">
        <f>HYPERLINK("https://klasma.github.io/Logging_0360/klagomålsmail/A 56531-2022 FSC-klagomål mail.docx", "A 56531-2022")</f>
        <v/>
      </c>
      <c r="X385">
        <f>HYPERLINK("https://klasma.github.io/Logging_0360/tillsyn/A 56531-2022 tillsynsbegäran.docx", "A 56531-2022")</f>
        <v/>
      </c>
      <c r="Y385">
        <f>HYPERLINK("https://klasma.github.io/Logging_0360/tillsynsmail/A 56531-2022 tillsynsbegäran mail.docx", "A 56531-2022")</f>
        <v/>
      </c>
      <c r="Z385">
        <f>HYPERLINK("https://klasma.github.io/Logging_0360/fåglar/A 56531-2022 prioriterade fågelarter.docx", "A 56531-2022")</f>
        <v/>
      </c>
    </row>
    <row r="386" ht="15" customHeight="1">
      <c r="A386" t="inlineStr">
        <is>
          <t>A 55975-2022</t>
        </is>
      </c>
      <c r="B386" s="1" t="n">
        <v>44889</v>
      </c>
      <c r="C386" s="1" t="n">
        <v>45832</v>
      </c>
      <c r="D386" t="inlineStr">
        <is>
          <t>UPPSALA LÄN</t>
        </is>
      </c>
      <c r="E386" t="inlineStr">
        <is>
          <t>HEBY</t>
        </is>
      </c>
      <c r="G386" t="n">
        <v>23.4</v>
      </c>
      <c r="H386" t="n">
        <v>0</v>
      </c>
      <c r="I386" t="n">
        <v>0</v>
      </c>
      <c r="J386" t="n">
        <v>1</v>
      </c>
      <c r="K386" t="n">
        <v>1</v>
      </c>
      <c r="L386" t="n">
        <v>0</v>
      </c>
      <c r="M386" t="n">
        <v>0</v>
      </c>
      <c r="N386" t="n">
        <v>0</v>
      </c>
      <c r="O386" t="n">
        <v>2</v>
      </c>
      <c r="P386" t="n">
        <v>1</v>
      </c>
      <c r="Q386" t="n">
        <v>2</v>
      </c>
      <c r="R386" s="2" t="inlineStr">
        <is>
          <t>Rynkskinn
Ullticka</t>
        </is>
      </c>
      <c r="S386">
        <f>HYPERLINK("https://klasma.github.io/Logging_0331/artfynd/A 55975-2022 artfynd.xlsx", "A 55975-2022")</f>
        <v/>
      </c>
      <c r="T386">
        <f>HYPERLINK("https://klasma.github.io/Logging_0331/kartor/A 55975-2022 karta.png", "A 55975-2022")</f>
        <v/>
      </c>
      <c r="V386">
        <f>HYPERLINK("https://klasma.github.io/Logging_0331/klagomål/A 55975-2022 FSC-klagomål.docx", "A 55975-2022")</f>
        <v/>
      </c>
      <c r="W386">
        <f>HYPERLINK("https://klasma.github.io/Logging_0331/klagomålsmail/A 55975-2022 FSC-klagomål mail.docx", "A 55975-2022")</f>
        <v/>
      </c>
      <c r="X386">
        <f>HYPERLINK("https://klasma.github.io/Logging_0331/tillsyn/A 55975-2022 tillsynsbegäran.docx", "A 55975-2022")</f>
        <v/>
      </c>
      <c r="Y386">
        <f>HYPERLINK("https://klasma.github.io/Logging_0331/tillsynsmail/A 55975-2022 tillsynsbegäran mail.docx", "A 55975-2022")</f>
        <v/>
      </c>
    </row>
    <row r="387" ht="15" customHeight="1">
      <c r="A387" t="inlineStr">
        <is>
          <t>A 57244-2022</t>
        </is>
      </c>
      <c r="B387" s="1" t="n">
        <v>44895</v>
      </c>
      <c r="C387" s="1" t="n">
        <v>45832</v>
      </c>
      <c r="D387" t="inlineStr">
        <is>
          <t>UPPSALA LÄN</t>
        </is>
      </c>
      <c r="E387" t="inlineStr">
        <is>
          <t>HEBY</t>
        </is>
      </c>
      <c r="G387" t="n">
        <v>6.5</v>
      </c>
      <c r="H387" t="n">
        <v>0</v>
      </c>
      <c r="I387" t="n">
        <v>1</v>
      </c>
      <c r="J387" t="n">
        <v>1</v>
      </c>
      <c r="K387" t="n">
        <v>0</v>
      </c>
      <c r="L387" t="n">
        <v>0</v>
      </c>
      <c r="M387" t="n">
        <v>0</v>
      </c>
      <c r="N387" t="n">
        <v>0</v>
      </c>
      <c r="O387" t="n">
        <v>1</v>
      </c>
      <c r="P387" t="n">
        <v>0</v>
      </c>
      <c r="Q387" t="n">
        <v>2</v>
      </c>
      <c r="R387" s="2" t="inlineStr">
        <is>
          <t>Garnlav
Trådticka</t>
        </is>
      </c>
      <c r="S387">
        <f>HYPERLINK("https://klasma.github.io/Logging_0331/artfynd/A 57244-2022 artfynd.xlsx", "A 57244-2022")</f>
        <v/>
      </c>
      <c r="T387">
        <f>HYPERLINK("https://klasma.github.io/Logging_0331/kartor/A 57244-2022 karta.png", "A 57244-2022")</f>
        <v/>
      </c>
      <c r="V387">
        <f>HYPERLINK("https://klasma.github.io/Logging_0331/klagomål/A 57244-2022 FSC-klagomål.docx", "A 57244-2022")</f>
        <v/>
      </c>
      <c r="W387">
        <f>HYPERLINK("https://klasma.github.io/Logging_0331/klagomålsmail/A 57244-2022 FSC-klagomål mail.docx", "A 57244-2022")</f>
        <v/>
      </c>
      <c r="X387">
        <f>HYPERLINK("https://klasma.github.io/Logging_0331/tillsyn/A 57244-2022 tillsynsbegäran.docx", "A 57244-2022")</f>
        <v/>
      </c>
      <c r="Y387">
        <f>HYPERLINK("https://klasma.github.io/Logging_0331/tillsynsmail/A 57244-2022 tillsynsbegäran mail.docx", "A 57244-2022")</f>
        <v/>
      </c>
    </row>
    <row r="388" ht="15" customHeight="1">
      <c r="A388" t="inlineStr">
        <is>
          <t>A 61114-2022</t>
        </is>
      </c>
      <c r="B388" s="1" t="n">
        <v>44915</v>
      </c>
      <c r="C388" s="1" t="n">
        <v>45832</v>
      </c>
      <c r="D388" t="inlineStr">
        <is>
          <t>UPPSALA LÄN</t>
        </is>
      </c>
      <c r="E388" t="inlineStr">
        <is>
          <t>ENKÖPING</t>
        </is>
      </c>
      <c r="G388" t="n">
        <v>19.1</v>
      </c>
      <c r="H388" t="n">
        <v>2</v>
      </c>
      <c r="I388" t="n">
        <v>1</v>
      </c>
      <c r="J388" t="n">
        <v>0</v>
      </c>
      <c r="K388" t="n">
        <v>0</v>
      </c>
      <c r="L388" t="n">
        <v>0</v>
      </c>
      <c r="M388" t="n">
        <v>0</v>
      </c>
      <c r="N388" t="n">
        <v>0</v>
      </c>
      <c r="O388" t="n">
        <v>0</v>
      </c>
      <c r="P388" t="n">
        <v>0</v>
      </c>
      <c r="Q388" t="n">
        <v>2</v>
      </c>
      <c r="R388" s="2" t="inlineStr">
        <is>
          <t>Plattlummer
Fläcknycklar</t>
        </is>
      </c>
      <c r="S388">
        <f>HYPERLINK("https://klasma.github.io/Logging_0381/artfynd/A 61114-2022 artfynd.xlsx", "A 61114-2022")</f>
        <v/>
      </c>
      <c r="T388">
        <f>HYPERLINK("https://klasma.github.io/Logging_0381/kartor/A 61114-2022 karta.png", "A 61114-2022")</f>
        <v/>
      </c>
      <c r="V388">
        <f>HYPERLINK("https://klasma.github.io/Logging_0381/klagomål/A 61114-2022 FSC-klagomål.docx", "A 61114-2022")</f>
        <v/>
      </c>
      <c r="W388">
        <f>HYPERLINK("https://klasma.github.io/Logging_0381/klagomålsmail/A 61114-2022 FSC-klagomål mail.docx", "A 61114-2022")</f>
        <v/>
      </c>
      <c r="X388">
        <f>HYPERLINK("https://klasma.github.io/Logging_0381/tillsyn/A 61114-2022 tillsynsbegäran.docx", "A 61114-2022")</f>
        <v/>
      </c>
      <c r="Y388">
        <f>HYPERLINK("https://klasma.github.io/Logging_0381/tillsynsmail/A 61114-2022 tillsynsbegäran mail.docx", "A 61114-2022")</f>
        <v/>
      </c>
    </row>
    <row r="389" ht="15" customHeight="1">
      <c r="A389" t="inlineStr">
        <is>
          <t>A 3510-2023</t>
        </is>
      </c>
      <c r="B389" s="1" t="n">
        <v>44950</v>
      </c>
      <c r="C389" s="1" t="n">
        <v>45832</v>
      </c>
      <c r="D389" t="inlineStr">
        <is>
          <t>UPPSALA LÄN</t>
        </is>
      </c>
      <c r="E389" t="inlineStr">
        <is>
          <t>TIERP</t>
        </is>
      </c>
      <c r="F389" t="inlineStr">
        <is>
          <t>Bergvik skog öst AB</t>
        </is>
      </c>
      <c r="G389" t="n">
        <v>2.4</v>
      </c>
      <c r="H389" t="n">
        <v>2</v>
      </c>
      <c r="I389" t="n">
        <v>0</v>
      </c>
      <c r="J389" t="n">
        <v>0</v>
      </c>
      <c r="K389" t="n">
        <v>0</v>
      </c>
      <c r="L389" t="n">
        <v>0</v>
      </c>
      <c r="M389" t="n">
        <v>0</v>
      </c>
      <c r="N389" t="n">
        <v>0</v>
      </c>
      <c r="O389" t="n">
        <v>0</v>
      </c>
      <c r="P389" t="n">
        <v>0</v>
      </c>
      <c r="Q389" t="n">
        <v>2</v>
      </c>
      <c r="R389" s="2" t="inlineStr">
        <is>
          <t>Blåsippa
Revlummer</t>
        </is>
      </c>
      <c r="S389">
        <f>HYPERLINK("https://klasma.github.io/Logging_0360/artfynd/A 3510-2023 artfynd.xlsx", "A 3510-2023")</f>
        <v/>
      </c>
      <c r="T389">
        <f>HYPERLINK("https://klasma.github.io/Logging_0360/kartor/A 3510-2023 karta.png", "A 3510-2023")</f>
        <v/>
      </c>
      <c r="V389">
        <f>HYPERLINK("https://klasma.github.io/Logging_0360/klagomål/A 3510-2023 FSC-klagomål.docx", "A 3510-2023")</f>
        <v/>
      </c>
      <c r="W389">
        <f>HYPERLINK("https://klasma.github.io/Logging_0360/klagomålsmail/A 3510-2023 FSC-klagomål mail.docx", "A 3510-2023")</f>
        <v/>
      </c>
      <c r="X389">
        <f>HYPERLINK("https://klasma.github.io/Logging_0360/tillsyn/A 3510-2023 tillsynsbegäran.docx", "A 3510-2023")</f>
        <v/>
      </c>
      <c r="Y389">
        <f>HYPERLINK("https://klasma.github.io/Logging_0360/tillsynsmail/A 3510-2023 tillsynsbegäran mail.docx", "A 3510-2023")</f>
        <v/>
      </c>
    </row>
    <row r="390" ht="15" customHeight="1">
      <c r="A390" t="inlineStr">
        <is>
          <t>A 3538-2023</t>
        </is>
      </c>
      <c r="B390" s="1" t="n">
        <v>44950</v>
      </c>
      <c r="C390" s="1" t="n">
        <v>45832</v>
      </c>
      <c r="D390" t="inlineStr">
        <is>
          <t>UPPSALA LÄN</t>
        </is>
      </c>
      <c r="E390" t="inlineStr">
        <is>
          <t>ENKÖPING</t>
        </is>
      </c>
      <c r="G390" t="n">
        <v>4.2</v>
      </c>
      <c r="H390" t="n">
        <v>0</v>
      </c>
      <c r="I390" t="n">
        <v>1</v>
      </c>
      <c r="J390" t="n">
        <v>1</v>
      </c>
      <c r="K390" t="n">
        <v>0</v>
      </c>
      <c r="L390" t="n">
        <v>0</v>
      </c>
      <c r="M390" t="n">
        <v>0</v>
      </c>
      <c r="N390" t="n">
        <v>0</v>
      </c>
      <c r="O390" t="n">
        <v>1</v>
      </c>
      <c r="P390" t="n">
        <v>0</v>
      </c>
      <c r="Q390" t="n">
        <v>2</v>
      </c>
      <c r="R390" s="2" t="inlineStr">
        <is>
          <t>Vedskivlav
Bårdlav</t>
        </is>
      </c>
      <c r="S390">
        <f>HYPERLINK("https://klasma.github.io/Logging_0381/artfynd/A 3538-2023 artfynd.xlsx", "A 3538-2023")</f>
        <v/>
      </c>
      <c r="T390">
        <f>HYPERLINK("https://klasma.github.io/Logging_0381/kartor/A 3538-2023 karta.png", "A 3538-2023")</f>
        <v/>
      </c>
      <c r="V390">
        <f>HYPERLINK("https://klasma.github.io/Logging_0381/klagomål/A 3538-2023 FSC-klagomål.docx", "A 3538-2023")</f>
        <v/>
      </c>
      <c r="W390">
        <f>HYPERLINK("https://klasma.github.io/Logging_0381/klagomålsmail/A 3538-2023 FSC-klagomål mail.docx", "A 3538-2023")</f>
        <v/>
      </c>
      <c r="X390">
        <f>HYPERLINK("https://klasma.github.io/Logging_0381/tillsyn/A 3538-2023 tillsynsbegäran.docx", "A 3538-2023")</f>
        <v/>
      </c>
      <c r="Y390">
        <f>HYPERLINK("https://klasma.github.io/Logging_0381/tillsynsmail/A 3538-2023 tillsynsbegäran mail.docx", "A 3538-2023")</f>
        <v/>
      </c>
    </row>
    <row r="391" ht="15" customHeight="1">
      <c r="A391" t="inlineStr">
        <is>
          <t>A 6981-2023</t>
        </is>
      </c>
      <c r="B391" s="1" t="n">
        <v>44967</v>
      </c>
      <c r="C391" s="1" t="n">
        <v>45832</v>
      </c>
      <c r="D391" t="inlineStr">
        <is>
          <t>UPPSALA LÄN</t>
        </is>
      </c>
      <c r="E391" t="inlineStr">
        <is>
          <t>ÖSTHAMMAR</t>
        </is>
      </c>
      <c r="G391" t="n">
        <v>3.2</v>
      </c>
      <c r="H391" t="n">
        <v>1</v>
      </c>
      <c r="I391" t="n">
        <v>0</v>
      </c>
      <c r="J391" t="n">
        <v>1</v>
      </c>
      <c r="K391" t="n">
        <v>0</v>
      </c>
      <c r="L391" t="n">
        <v>0</v>
      </c>
      <c r="M391" t="n">
        <v>0</v>
      </c>
      <c r="N391" t="n">
        <v>0</v>
      </c>
      <c r="O391" t="n">
        <v>1</v>
      </c>
      <c r="P391" t="n">
        <v>0</v>
      </c>
      <c r="Q391" t="n">
        <v>2</v>
      </c>
      <c r="R391" s="2" t="inlineStr">
        <is>
          <t>Tallticka
Större vattensalamander</t>
        </is>
      </c>
      <c r="S391">
        <f>HYPERLINK("https://klasma.github.io/Logging_0382/artfynd/A 6981-2023 artfynd.xlsx", "A 6981-2023")</f>
        <v/>
      </c>
      <c r="T391">
        <f>HYPERLINK("https://klasma.github.io/Logging_0382/kartor/A 6981-2023 karta.png", "A 6981-2023")</f>
        <v/>
      </c>
      <c r="V391">
        <f>HYPERLINK("https://klasma.github.io/Logging_0382/klagomål/A 6981-2023 FSC-klagomål.docx", "A 6981-2023")</f>
        <v/>
      </c>
      <c r="W391">
        <f>HYPERLINK("https://klasma.github.io/Logging_0382/klagomålsmail/A 6981-2023 FSC-klagomål mail.docx", "A 6981-2023")</f>
        <v/>
      </c>
      <c r="X391">
        <f>HYPERLINK("https://klasma.github.io/Logging_0382/tillsyn/A 6981-2023 tillsynsbegäran.docx", "A 6981-2023")</f>
        <v/>
      </c>
      <c r="Y391">
        <f>HYPERLINK("https://klasma.github.io/Logging_0382/tillsynsmail/A 6981-2023 tillsynsbegäran mail.docx", "A 6981-2023")</f>
        <v/>
      </c>
    </row>
    <row r="392" ht="15" customHeight="1">
      <c r="A392" t="inlineStr">
        <is>
          <t>A 6998-2023</t>
        </is>
      </c>
      <c r="B392" s="1" t="n">
        <v>44967</v>
      </c>
      <c r="C392" s="1" t="n">
        <v>45832</v>
      </c>
      <c r="D392" t="inlineStr">
        <is>
          <t>UPPSALA LÄN</t>
        </is>
      </c>
      <c r="E392" t="inlineStr">
        <is>
          <t>UPPSALA</t>
        </is>
      </c>
      <c r="G392" t="n">
        <v>8.4</v>
      </c>
      <c r="H392" t="n">
        <v>2</v>
      </c>
      <c r="I392" t="n">
        <v>0</v>
      </c>
      <c r="J392" t="n">
        <v>0</v>
      </c>
      <c r="K392" t="n">
        <v>0</v>
      </c>
      <c r="L392" t="n">
        <v>0</v>
      </c>
      <c r="M392" t="n">
        <v>0</v>
      </c>
      <c r="N392" t="n">
        <v>0</v>
      </c>
      <c r="O392" t="n">
        <v>0</v>
      </c>
      <c r="P392" t="n">
        <v>0</v>
      </c>
      <c r="Q392" t="n">
        <v>2</v>
      </c>
      <c r="R392" s="2" t="inlineStr">
        <is>
          <t>Nattviol
Blåsippa</t>
        </is>
      </c>
      <c r="S392">
        <f>HYPERLINK("https://klasma.github.io/Logging_0380/artfynd/A 6998-2023 artfynd.xlsx", "A 6998-2023")</f>
        <v/>
      </c>
      <c r="T392">
        <f>HYPERLINK("https://klasma.github.io/Logging_0380/kartor/A 6998-2023 karta.png", "A 6998-2023")</f>
        <v/>
      </c>
      <c r="V392">
        <f>HYPERLINK("https://klasma.github.io/Logging_0380/klagomål/A 6998-2023 FSC-klagomål.docx", "A 6998-2023")</f>
        <v/>
      </c>
      <c r="W392">
        <f>HYPERLINK("https://klasma.github.io/Logging_0380/klagomålsmail/A 6998-2023 FSC-klagomål mail.docx", "A 6998-2023")</f>
        <v/>
      </c>
      <c r="X392">
        <f>HYPERLINK("https://klasma.github.io/Logging_0380/tillsyn/A 6998-2023 tillsynsbegäran.docx", "A 6998-2023")</f>
        <v/>
      </c>
      <c r="Y392">
        <f>HYPERLINK("https://klasma.github.io/Logging_0380/tillsynsmail/A 6998-2023 tillsynsbegäran mail.docx", "A 6998-2023")</f>
        <v/>
      </c>
    </row>
    <row r="393" ht="15" customHeight="1">
      <c r="A393" t="inlineStr">
        <is>
          <t>A 10011-2023</t>
        </is>
      </c>
      <c r="B393" s="1" t="n">
        <v>44985</v>
      </c>
      <c r="C393" s="1" t="n">
        <v>45832</v>
      </c>
      <c r="D393" t="inlineStr">
        <is>
          <t>UPPSALA LÄN</t>
        </is>
      </c>
      <c r="E393" t="inlineStr">
        <is>
          <t>KNIVSTA</t>
        </is>
      </c>
      <c r="F393" t="inlineStr">
        <is>
          <t>Holmen skog AB</t>
        </is>
      </c>
      <c r="G393" t="n">
        <v>3.9</v>
      </c>
      <c r="H393" t="n">
        <v>1</v>
      </c>
      <c r="I393" t="n">
        <v>1</v>
      </c>
      <c r="J393" t="n">
        <v>0</v>
      </c>
      <c r="K393" t="n">
        <v>0</v>
      </c>
      <c r="L393" t="n">
        <v>0</v>
      </c>
      <c r="M393" t="n">
        <v>0</v>
      </c>
      <c r="N393" t="n">
        <v>0</v>
      </c>
      <c r="O393" t="n">
        <v>0</v>
      </c>
      <c r="P393" t="n">
        <v>0</v>
      </c>
      <c r="Q393" t="n">
        <v>2</v>
      </c>
      <c r="R393" s="2" t="inlineStr">
        <is>
          <t>Fällmossa
Blåsippa</t>
        </is>
      </c>
      <c r="S393">
        <f>HYPERLINK("https://klasma.github.io/Logging_0330/artfynd/A 10011-2023 artfynd.xlsx", "A 10011-2023")</f>
        <v/>
      </c>
      <c r="T393">
        <f>HYPERLINK("https://klasma.github.io/Logging_0330/kartor/A 10011-2023 karta.png", "A 10011-2023")</f>
        <v/>
      </c>
      <c r="V393">
        <f>HYPERLINK("https://klasma.github.io/Logging_0330/klagomål/A 10011-2023 FSC-klagomål.docx", "A 10011-2023")</f>
        <v/>
      </c>
      <c r="W393">
        <f>HYPERLINK("https://klasma.github.io/Logging_0330/klagomålsmail/A 10011-2023 FSC-klagomål mail.docx", "A 10011-2023")</f>
        <v/>
      </c>
      <c r="X393">
        <f>HYPERLINK("https://klasma.github.io/Logging_0330/tillsyn/A 10011-2023 tillsynsbegäran.docx", "A 10011-2023")</f>
        <v/>
      </c>
      <c r="Y393">
        <f>HYPERLINK("https://klasma.github.io/Logging_0330/tillsynsmail/A 10011-2023 tillsynsbegäran mail.docx", "A 10011-2023")</f>
        <v/>
      </c>
    </row>
    <row r="394" ht="15" customHeight="1">
      <c r="A394" t="inlineStr">
        <is>
          <t>A 13206-2023</t>
        </is>
      </c>
      <c r="B394" s="1" t="n">
        <v>45002</v>
      </c>
      <c r="C394" s="1" t="n">
        <v>45832</v>
      </c>
      <c r="D394" t="inlineStr">
        <is>
          <t>UPPSALA LÄN</t>
        </is>
      </c>
      <c r="E394" t="inlineStr">
        <is>
          <t>UPPSALA</t>
        </is>
      </c>
      <c r="F394" t="inlineStr">
        <is>
          <t>Holmen skog AB</t>
        </is>
      </c>
      <c r="G394" t="n">
        <v>5.1</v>
      </c>
      <c r="H394" t="n">
        <v>2</v>
      </c>
      <c r="I394" t="n">
        <v>0</v>
      </c>
      <c r="J394" t="n">
        <v>0</v>
      </c>
      <c r="K394" t="n">
        <v>0</v>
      </c>
      <c r="L394" t="n">
        <v>0</v>
      </c>
      <c r="M394" t="n">
        <v>0</v>
      </c>
      <c r="N394" t="n">
        <v>0</v>
      </c>
      <c r="O394" t="n">
        <v>0</v>
      </c>
      <c r="P394" t="n">
        <v>0</v>
      </c>
      <c r="Q394" t="n">
        <v>2</v>
      </c>
      <c r="R394" s="2" t="inlineStr">
        <is>
          <t>Blåsippa
Revlummer</t>
        </is>
      </c>
      <c r="S394">
        <f>HYPERLINK("https://klasma.github.io/Logging_0380/artfynd/A 13206-2023 artfynd.xlsx", "A 13206-2023")</f>
        <v/>
      </c>
      <c r="T394">
        <f>HYPERLINK("https://klasma.github.io/Logging_0380/kartor/A 13206-2023 karta.png", "A 13206-2023")</f>
        <v/>
      </c>
      <c r="V394">
        <f>HYPERLINK("https://klasma.github.io/Logging_0380/klagomål/A 13206-2023 FSC-klagomål.docx", "A 13206-2023")</f>
        <v/>
      </c>
      <c r="W394">
        <f>HYPERLINK("https://klasma.github.io/Logging_0380/klagomålsmail/A 13206-2023 FSC-klagomål mail.docx", "A 13206-2023")</f>
        <v/>
      </c>
      <c r="X394">
        <f>HYPERLINK("https://klasma.github.io/Logging_0380/tillsyn/A 13206-2023 tillsynsbegäran.docx", "A 13206-2023")</f>
        <v/>
      </c>
      <c r="Y394">
        <f>HYPERLINK("https://klasma.github.io/Logging_0380/tillsynsmail/A 13206-2023 tillsynsbegäran mail.docx", "A 13206-2023")</f>
        <v/>
      </c>
    </row>
    <row r="395" ht="15" customHeight="1">
      <c r="A395" t="inlineStr">
        <is>
          <t>A 14191-2023</t>
        </is>
      </c>
      <c r="B395" s="1" t="n">
        <v>45009</v>
      </c>
      <c r="C395" s="1" t="n">
        <v>45832</v>
      </c>
      <c r="D395" t="inlineStr">
        <is>
          <t>UPPSALA LÄN</t>
        </is>
      </c>
      <c r="E395" t="inlineStr">
        <is>
          <t>TIERP</t>
        </is>
      </c>
      <c r="F395" t="inlineStr">
        <is>
          <t>Bergvik skog väst AB</t>
        </is>
      </c>
      <c r="G395" t="n">
        <v>7.3</v>
      </c>
      <c r="H395" t="n">
        <v>2</v>
      </c>
      <c r="I395" t="n">
        <v>0</v>
      </c>
      <c r="J395" t="n">
        <v>2</v>
      </c>
      <c r="K395" t="n">
        <v>0</v>
      </c>
      <c r="L395" t="n">
        <v>0</v>
      </c>
      <c r="M395" t="n">
        <v>0</v>
      </c>
      <c r="N395" t="n">
        <v>0</v>
      </c>
      <c r="O395" t="n">
        <v>2</v>
      </c>
      <c r="P395" t="n">
        <v>0</v>
      </c>
      <c r="Q395" t="n">
        <v>2</v>
      </c>
      <c r="R395" s="2" t="inlineStr">
        <is>
          <t>Spillkråka
Talltita</t>
        </is>
      </c>
      <c r="S395">
        <f>HYPERLINK("https://klasma.github.io/Logging_0360/artfynd/A 14191-2023 artfynd.xlsx", "A 14191-2023")</f>
        <v/>
      </c>
      <c r="T395">
        <f>HYPERLINK("https://klasma.github.io/Logging_0360/kartor/A 14191-2023 karta.png", "A 14191-2023")</f>
        <v/>
      </c>
      <c r="V395">
        <f>HYPERLINK("https://klasma.github.io/Logging_0360/klagomål/A 14191-2023 FSC-klagomål.docx", "A 14191-2023")</f>
        <v/>
      </c>
      <c r="W395">
        <f>HYPERLINK("https://klasma.github.io/Logging_0360/klagomålsmail/A 14191-2023 FSC-klagomål mail.docx", "A 14191-2023")</f>
        <v/>
      </c>
      <c r="X395">
        <f>HYPERLINK("https://klasma.github.io/Logging_0360/tillsyn/A 14191-2023 tillsynsbegäran.docx", "A 14191-2023")</f>
        <v/>
      </c>
      <c r="Y395">
        <f>HYPERLINK("https://klasma.github.io/Logging_0360/tillsynsmail/A 14191-2023 tillsynsbegäran mail.docx", "A 14191-2023")</f>
        <v/>
      </c>
      <c r="Z395">
        <f>HYPERLINK("https://klasma.github.io/Logging_0360/fåglar/A 14191-2023 prioriterade fågelarter.docx", "A 14191-2023")</f>
        <v/>
      </c>
    </row>
    <row r="396" ht="15" customHeight="1">
      <c r="A396" t="inlineStr">
        <is>
          <t>A 14774-2023</t>
        </is>
      </c>
      <c r="B396" s="1" t="n">
        <v>45014</v>
      </c>
      <c r="C396" s="1" t="n">
        <v>45832</v>
      </c>
      <c r="D396" t="inlineStr">
        <is>
          <t>UPPSALA LÄN</t>
        </is>
      </c>
      <c r="E396" t="inlineStr">
        <is>
          <t>HEBY</t>
        </is>
      </c>
      <c r="G396" t="n">
        <v>5.1</v>
      </c>
      <c r="H396" t="n">
        <v>1</v>
      </c>
      <c r="I396" t="n">
        <v>2</v>
      </c>
      <c r="J396" t="n">
        <v>0</v>
      </c>
      <c r="K396" t="n">
        <v>0</v>
      </c>
      <c r="L396" t="n">
        <v>0</v>
      </c>
      <c r="M396" t="n">
        <v>0</v>
      </c>
      <c r="N396" t="n">
        <v>0</v>
      </c>
      <c r="O396" t="n">
        <v>0</v>
      </c>
      <c r="P396" t="n">
        <v>0</v>
      </c>
      <c r="Q396" t="n">
        <v>2</v>
      </c>
      <c r="R396" s="2" t="inlineStr">
        <is>
          <t>Grön sköldmossa
Stubbspretmossa</t>
        </is>
      </c>
      <c r="S396">
        <f>HYPERLINK("https://klasma.github.io/Logging_0331/artfynd/A 14774-2023 artfynd.xlsx", "A 14774-2023")</f>
        <v/>
      </c>
      <c r="T396">
        <f>HYPERLINK("https://klasma.github.io/Logging_0331/kartor/A 14774-2023 karta.png", "A 14774-2023")</f>
        <v/>
      </c>
      <c r="V396">
        <f>HYPERLINK("https://klasma.github.io/Logging_0331/klagomål/A 14774-2023 FSC-klagomål.docx", "A 14774-2023")</f>
        <v/>
      </c>
      <c r="W396">
        <f>HYPERLINK("https://klasma.github.io/Logging_0331/klagomålsmail/A 14774-2023 FSC-klagomål mail.docx", "A 14774-2023")</f>
        <v/>
      </c>
      <c r="X396">
        <f>HYPERLINK("https://klasma.github.io/Logging_0331/tillsyn/A 14774-2023 tillsynsbegäran.docx", "A 14774-2023")</f>
        <v/>
      </c>
      <c r="Y396">
        <f>HYPERLINK("https://klasma.github.io/Logging_0331/tillsynsmail/A 14774-2023 tillsynsbegäran mail.docx", "A 14774-2023")</f>
        <v/>
      </c>
    </row>
    <row r="397" ht="15" customHeight="1">
      <c r="A397" t="inlineStr">
        <is>
          <t>A 15627-2023</t>
        </is>
      </c>
      <c r="B397" s="1" t="n">
        <v>45021</v>
      </c>
      <c r="C397" s="1" t="n">
        <v>45832</v>
      </c>
      <c r="D397" t="inlineStr">
        <is>
          <t>UPPSALA LÄN</t>
        </is>
      </c>
      <c r="E397" t="inlineStr">
        <is>
          <t>ÖSTHAMMAR</t>
        </is>
      </c>
      <c r="F397" t="inlineStr">
        <is>
          <t>Övriga Aktiebolag</t>
        </is>
      </c>
      <c r="G397" t="n">
        <v>22.8</v>
      </c>
      <c r="H397" t="n">
        <v>1</v>
      </c>
      <c r="I397" t="n">
        <v>1</v>
      </c>
      <c r="J397" t="n">
        <v>1</v>
      </c>
      <c r="K397" t="n">
        <v>0</v>
      </c>
      <c r="L397" t="n">
        <v>0</v>
      </c>
      <c r="M397" t="n">
        <v>0</v>
      </c>
      <c r="N397" t="n">
        <v>0</v>
      </c>
      <c r="O397" t="n">
        <v>1</v>
      </c>
      <c r="P397" t="n">
        <v>0</v>
      </c>
      <c r="Q397" t="n">
        <v>2</v>
      </c>
      <c r="R397" s="2" t="inlineStr">
        <is>
          <t>Slåtterfibbla
Guckusko</t>
        </is>
      </c>
      <c r="S397">
        <f>HYPERLINK("https://klasma.github.io/Logging_0382/artfynd/A 15627-2023 artfynd.xlsx", "A 15627-2023")</f>
        <v/>
      </c>
      <c r="T397">
        <f>HYPERLINK("https://klasma.github.io/Logging_0382/kartor/A 15627-2023 karta.png", "A 15627-2023")</f>
        <v/>
      </c>
      <c r="V397">
        <f>HYPERLINK("https://klasma.github.io/Logging_0382/klagomål/A 15627-2023 FSC-klagomål.docx", "A 15627-2023")</f>
        <v/>
      </c>
      <c r="W397">
        <f>HYPERLINK("https://klasma.github.io/Logging_0382/klagomålsmail/A 15627-2023 FSC-klagomål mail.docx", "A 15627-2023")</f>
        <v/>
      </c>
      <c r="X397">
        <f>HYPERLINK("https://klasma.github.io/Logging_0382/tillsyn/A 15627-2023 tillsynsbegäran.docx", "A 15627-2023")</f>
        <v/>
      </c>
      <c r="Y397">
        <f>HYPERLINK("https://klasma.github.io/Logging_0382/tillsynsmail/A 15627-2023 tillsynsbegäran mail.docx", "A 15627-2023")</f>
        <v/>
      </c>
    </row>
    <row r="398" ht="15" customHeight="1">
      <c r="A398" t="inlineStr">
        <is>
          <t>A 17101-2023</t>
        </is>
      </c>
      <c r="B398" s="1" t="n">
        <v>45034</v>
      </c>
      <c r="C398" s="1" t="n">
        <v>45832</v>
      </c>
      <c r="D398" t="inlineStr">
        <is>
          <t>UPPSALA LÄN</t>
        </is>
      </c>
      <c r="E398" t="inlineStr">
        <is>
          <t>KNIVSTA</t>
        </is>
      </c>
      <c r="G398" t="n">
        <v>4.2</v>
      </c>
      <c r="H398" t="n">
        <v>2</v>
      </c>
      <c r="I398" t="n">
        <v>0</v>
      </c>
      <c r="J398" t="n">
        <v>2</v>
      </c>
      <c r="K398" t="n">
        <v>0</v>
      </c>
      <c r="L398" t="n">
        <v>0</v>
      </c>
      <c r="M398" t="n">
        <v>0</v>
      </c>
      <c r="N398" t="n">
        <v>0</v>
      </c>
      <c r="O398" t="n">
        <v>2</v>
      </c>
      <c r="P398" t="n">
        <v>0</v>
      </c>
      <c r="Q398" t="n">
        <v>2</v>
      </c>
      <c r="R398" s="2" t="inlineStr">
        <is>
          <t>Entita
Mindre hackspett</t>
        </is>
      </c>
      <c r="S398">
        <f>HYPERLINK("https://klasma.github.io/Logging_0330/artfynd/A 17101-2023 artfynd.xlsx", "A 17101-2023")</f>
        <v/>
      </c>
      <c r="T398">
        <f>HYPERLINK("https://klasma.github.io/Logging_0330/kartor/A 17101-2023 karta.png", "A 17101-2023")</f>
        <v/>
      </c>
      <c r="V398">
        <f>HYPERLINK("https://klasma.github.io/Logging_0330/klagomål/A 17101-2023 FSC-klagomål.docx", "A 17101-2023")</f>
        <v/>
      </c>
      <c r="W398">
        <f>HYPERLINK("https://klasma.github.io/Logging_0330/klagomålsmail/A 17101-2023 FSC-klagomål mail.docx", "A 17101-2023")</f>
        <v/>
      </c>
      <c r="X398">
        <f>HYPERLINK("https://klasma.github.io/Logging_0330/tillsyn/A 17101-2023 tillsynsbegäran.docx", "A 17101-2023")</f>
        <v/>
      </c>
      <c r="Y398">
        <f>HYPERLINK("https://klasma.github.io/Logging_0330/tillsynsmail/A 17101-2023 tillsynsbegäran mail.docx", "A 17101-2023")</f>
        <v/>
      </c>
      <c r="Z398">
        <f>HYPERLINK("https://klasma.github.io/Logging_0330/fåglar/A 17101-2023 prioriterade fågelarter.docx", "A 17101-2023")</f>
        <v/>
      </c>
    </row>
    <row r="399" ht="15" customHeight="1">
      <c r="A399" t="inlineStr">
        <is>
          <t>A 17277-2023</t>
        </is>
      </c>
      <c r="B399" s="1" t="n">
        <v>45035</v>
      </c>
      <c r="C399" s="1" t="n">
        <v>45832</v>
      </c>
      <c r="D399" t="inlineStr">
        <is>
          <t>UPPSALA LÄN</t>
        </is>
      </c>
      <c r="E399" t="inlineStr">
        <is>
          <t>UPPSALA</t>
        </is>
      </c>
      <c r="F399" t="inlineStr">
        <is>
          <t>Övriga Aktiebolag</t>
        </is>
      </c>
      <c r="G399" t="n">
        <v>6.1</v>
      </c>
      <c r="H399" t="n">
        <v>2</v>
      </c>
      <c r="I399" t="n">
        <v>0</v>
      </c>
      <c r="J399" t="n">
        <v>1</v>
      </c>
      <c r="K399" t="n">
        <v>0</v>
      </c>
      <c r="L399" t="n">
        <v>0</v>
      </c>
      <c r="M399" t="n">
        <v>0</v>
      </c>
      <c r="N399" t="n">
        <v>0</v>
      </c>
      <c r="O399" t="n">
        <v>1</v>
      </c>
      <c r="P399" t="n">
        <v>0</v>
      </c>
      <c r="Q399" t="n">
        <v>2</v>
      </c>
      <c r="R399" s="2" t="inlineStr">
        <is>
          <t>Slaguggla
Trana</t>
        </is>
      </c>
      <c r="S399">
        <f>HYPERLINK("https://klasma.github.io/Logging_0380/artfynd/A 17277-2023 artfynd.xlsx", "A 17277-2023")</f>
        <v/>
      </c>
      <c r="T399">
        <f>HYPERLINK("https://klasma.github.io/Logging_0380/kartor/A 17277-2023 karta.png", "A 17277-2023")</f>
        <v/>
      </c>
      <c r="V399">
        <f>HYPERLINK("https://klasma.github.io/Logging_0380/klagomål/A 17277-2023 FSC-klagomål.docx", "A 17277-2023")</f>
        <v/>
      </c>
      <c r="W399">
        <f>HYPERLINK("https://klasma.github.io/Logging_0380/klagomålsmail/A 17277-2023 FSC-klagomål mail.docx", "A 17277-2023")</f>
        <v/>
      </c>
      <c r="X399">
        <f>HYPERLINK("https://klasma.github.io/Logging_0380/tillsyn/A 17277-2023 tillsynsbegäran.docx", "A 17277-2023")</f>
        <v/>
      </c>
      <c r="Y399">
        <f>HYPERLINK("https://klasma.github.io/Logging_0380/tillsynsmail/A 17277-2023 tillsynsbegäran mail.docx", "A 17277-2023")</f>
        <v/>
      </c>
      <c r="Z399">
        <f>HYPERLINK("https://klasma.github.io/Logging_0380/fåglar/A 17277-2023 prioriterade fågelarter.docx", "A 17277-2023")</f>
        <v/>
      </c>
    </row>
    <row r="400" ht="15" customHeight="1">
      <c r="A400" t="inlineStr">
        <is>
          <t>A 21453-2023</t>
        </is>
      </c>
      <c r="B400" s="1" t="n">
        <v>45063</v>
      </c>
      <c r="C400" s="1" t="n">
        <v>45832</v>
      </c>
      <c r="D400" t="inlineStr">
        <is>
          <t>UPPSALA LÄN</t>
        </is>
      </c>
      <c r="E400" t="inlineStr">
        <is>
          <t>ÖSTHAMMAR</t>
        </is>
      </c>
      <c r="F400" t="inlineStr">
        <is>
          <t>Bergvik skog väst AB</t>
        </is>
      </c>
      <c r="G400" t="n">
        <v>6.1</v>
      </c>
      <c r="H400" t="n">
        <v>1</v>
      </c>
      <c r="I400" t="n">
        <v>1</v>
      </c>
      <c r="J400" t="n">
        <v>0</v>
      </c>
      <c r="K400" t="n">
        <v>0</v>
      </c>
      <c r="L400" t="n">
        <v>0</v>
      </c>
      <c r="M400" t="n">
        <v>0</v>
      </c>
      <c r="N400" t="n">
        <v>0</v>
      </c>
      <c r="O400" t="n">
        <v>0</v>
      </c>
      <c r="P400" t="n">
        <v>0</v>
      </c>
      <c r="Q400" t="n">
        <v>2</v>
      </c>
      <c r="R400" s="2" t="inlineStr">
        <is>
          <t>Fransig jordstjärna
Blåsippa</t>
        </is>
      </c>
      <c r="S400">
        <f>HYPERLINK("https://klasma.github.io/Logging_0382/artfynd/A 21453-2023 artfynd.xlsx", "A 21453-2023")</f>
        <v/>
      </c>
      <c r="T400">
        <f>HYPERLINK("https://klasma.github.io/Logging_0382/kartor/A 21453-2023 karta.png", "A 21453-2023")</f>
        <v/>
      </c>
      <c r="V400">
        <f>HYPERLINK("https://klasma.github.io/Logging_0382/klagomål/A 21453-2023 FSC-klagomål.docx", "A 21453-2023")</f>
        <v/>
      </c>
      <c r="W400">
        <f>HYPERLINK("https://klasma.github.io/Logging_0382/klagomålsmail/A 21453-2023 FSC-klagomål mail.docx", "A 21453-2023")</f>
        <v/>
      </c>
      <c r="X400">
        <f>HYPERLINK("https://klasma.github.io/Logging_0382/tillsyn/A 21453-2023 tillsynsbegäran.docx", "A 21453-2023")</f>
        <v/>
      </c>
      <c r="Y400">
        <f>HYPERLINK("https://klasma.github.io/Logging_0382/tillsynsmail/A 21453-2023 tillsynsbegäran mail.docx", "A 21453-2023")</f>
        <v/>
      </c>
    </row>
    <row r="401" ht="15" customHeight="1">
      <c r="A401" t="inlineStr">
        <is>
          <t>A 21422-2023</t>
        </is>
      </c>
      <c r="B401" s="1" t="n">
        <v>45063</v>
      </c>
      <c r="C401" s="1" t="n">
        <v>45832</v>
      </c>
      <c r="D401" t="inlineStr">
        <is>
          <t>UPPSALA LÄN</t>
        </is>
      </c>
      <c r="E401" t="inlineStr">
        <is>
          <t>ÖSTHAMMAR</t>
        </is>
      </c>
      <c r="F401" t="inlineStr">
        <is>
          <t>Sveaskog</t>
        </is>
      </c>
      <c r="G401" t="n">
        <v>2.8</v>
      </c>
      <c r="H401" t="n">
        <v>2</v>
      </c>
      <c r="I401" t="n">
        <v>0</v>
      </c>
      <c r="J401" t="n">
        <v>1</v>
      </c>
      <c r="K401" t="n">
        <v>0</v>
      </c>
      <c r="L401" t="n">
        <v>0</v>
      </c>
      <c r="M401" t="n">
        <v>0</v>
      </c>
      <c r="N401" t="n">
        <v>0</v>
      </c>
      <c r="O401" t="n">
        <v>1</v>
      </c>
      <c r="P401" t="n">
        <v>0</v>
      </c>
      <c r="Q401" t="n">
        <v>2</v>
      </c>
      <c r="R401" s="2" t="inlineStr">
        <is>
          <t>Nordfladdermus
Dvärgpipistrell</t>
        </is>
      </c>
      <c r="S401">
        <f>HYPERLINK("https://klasma.github.io/Logging_0382/artfynd/A 21422-2023 artfynd.xlsx", "A 21422-2023")</f>
        <v/>
      </c>
      <c r="T401">
        <f>HYPERLINK("https://klasma.github.io/Logging_0382/kartor/A 21422-2023 karta.png", "A 21422-2023")</f>
        <v/>
      </c>
      <c r="V401">
        <f>HYPERLINK("https://klasma.github.io/Logging_0382/klagomål/A 21422-2023 FSC-klagomål.docx", "A 21422-2023")</f>
        <v/>
      </c>
      <c r="W401">
        <f>HYPERLINK("https://klasma.github.io/Logging_0382/klagomålsmail/A 21422-2023 FSC-klagomål mail.docx", "A 21422-2023")</f>
        <v/>
      </c>
      <c r="X401">
        <f>HYPERLINK("https://klasma.github.io/Logging_0382/tillsyn/A 21422-2023 tillsynsbegäran.docx", "A 21422-2023")</f>
        <v/>
      </c>
      <c r="Y401">
        <f>HYPERLINK("https://klasma.github.io/Logging_0382/tillsynsmail/A 21422-2023 tillsynsbegäran mail.docx", "A 21422-2023")</f>
        <v/>
      </c>
    </row>
    <row r="402" ht="15" customHeight="1">
      <c r="A402" t="inlineStr">
        <is>
          <t>A 26602-2023</t>
        </is>
      </c>
      <c r="B402" s="1" t="n">
        <v>45092</v>
      </c>
      <c r="C402" s="1" t="n">
        <v>45832</v>
      </c>
      <c r="D402" t="inlineStr">
        <is>
          <t>UPPSALA LÄN</t>
        </is>
      </c>
      <c r="E402" t="inlineStr">
        <is>
          <t>ÖSTHAMMAR</t>
        </is>
      </c>
      <c r="F402" t="inlineStr">
        <is>
          <t>Sveaskog</t>
        </is>
      </c>
      <c r="G402" t="n">
        <v>1.6</v>
      </c>
      <c r="H402" t="n">
        <v>2</v>
      </c>
      <c r="I402" t="n">
        <v>0</v>
      </c>
      <c r="J402" t="n">
        <v>2</v>
      </c>
      <c r="K402" t="n">
        <v>0</v>
      </c>
      <c r="L402" t="n">
        <v>0</v>
      </c>
      <c r="M402" t="n">
        <v>0</v>
      </c>
      <c r="N402" t="n">
        <v>0</v>
      </c>
      <c r="O402" t="n">
        <v>2</v>
      </c>
      <c r="P402" t="n">
        <v>0</v>
      </c>
      <c r="Q402" t="n">
        <v>2</v>
      </c>
      <c r="R402" s="2" t="inlineStr">
        <is>
          <t>Gulsparv
Skrattmås</t>
        </is>
      </c>
      <c r="S402">
        <f>HYPERLINK("https://klasma.github.io/Logging_0382/artfynd/A 26602-2023 artfynd.xlsx", "A 26602-2023")</f>
        <v/>
      </c>
      <c r="T402">
        <f>HYPERLINK("https://klasma.github.io/Logging_0382/kartor/A 26602-2023 karta.png", "A 26602-2023")</f>
        <v/>
      </c>
      <c r="V402">
        <f>HYPERLINK("https://klasma.github.io/Logging_0382/klagomål/A 26602-2023 FSC-klagomål.docx", "A 26602-2023")</f>
        <v/>
      </c>
      <c r="W402">
        <f>HYPERLINK("https://klasma.github.io/Logging_0382/klagomålsmail/A 26602-2023 FSC-klagomål mail.docx", "A 26602-2023")</f>
        <v/>
      </c>
      <c r="X402">
        <f>HYPERLINK("https://klasma.github.io/Logging_0382/tillsyn/A 26602-2023 tillsynsbegäran.docx", "A 26602-2023")</f>
        <v/>
      </c>
      <c r="Y402">
        <f>HYPERLINK("https://klasma.github.io/Logging_0382/tillsynsmail/A 26602-2023 tillsynsbegäran mail.docx", "A 26602-2023")</f>
        <v/>
      </c>
      <c r="Z402">
        <f>HYPERLINK("https://klasma.github.io/Logging_0382/fåglar/A 26602-2023 prioriterade fågelarter.docx", "A 26602-2023")</f>
        <v/>
      </c>
    </row>
    <row r="403" ht="15" customHeight="1">
      <c r="A403" t="inlineStr">
        <is>
          <t>A 26569-2023</t>
        </is>
      </c>
      <c r="B403" s="1" t="n">
        <v>45092</v>
      </c>
      <c r="C403" s="1" t="n">
        <v>45832</v>
      </c>
      <c r="D403" t="inlineStr">
        <is>
          <t>UPPSALA LÄN</t>
        </is>
      </c>
      <c r="E403" t="inlineStr">
        <is>
          <t>HEBY</t>
        </is>
      </c>
      <c r="G403" t="n">
        <v>10.7</v>
      </c>
      <c r="H403" t="n">
        <v>2</v>
      </c>
      <c r="I403" t="n">
        <v>1</v>
      </c>
      <c r="J403" t="n">
        <v>0</v>
      </c>
      <c r="K403" t="n">
        <v>0</v>
      </c>
      <c r="L403" t="n">
        <v>0</v>
      </c>
      <c r="M403" t="n">
        <v>0</v>
      </c>
      <c r="N403" t="n">
        <v>0</v>
      </c>
      <c r="O403" t="n">
        <v>0</v>
      </c>
      <c r="P403" t="n">
        <v>0</v>
      </c>
      <c r="Q403" t="n">
        <v>2</v>
      </c>
      <c r="R403" s="2" t="inlineStr">
        <is>
          <t>Plattlummer
Revlummer</t>
        </is>
      </c>
      <c r="S403">
        <f>HYPERLINK("https://klasma.github.io/Logging_0331/artfynd/A 26569-2023 artfynd.xlsx", "A 26569-2023")</f>
        <v/>
      </c>
      <c r="T403">
        <f>HYPERLINK("https://klasma.github.io/Logging_0331/kartor/A 26569-2023 karta.png", "A 26569-2023")</f>
        <v/>
      </c>
      <c r="V403">
        <f>HYPERLINK("https://klasma.github.io/Logging_0331/klagomål/A 26569-2023 FSC-klagomål.docx", "A 26569-2023")</f>
        <v/>
      </c>
      <c r="W403">
        <f>HYPERLINK("https://klasma.github.io/Logging_0331/klagomålsmail/A 26569-2023 FSC-klagomål mail.docx", "A 26569-2023")</f>
        <v/>
      </c>
      <c r="X403">
        <f>HYPERLINK("https://klasma.github.io/Logging_0331/tillsyn/A 26569-2023 tillsynsbegäran.docx", "A 26569-2023")</f>
        <v/>
      </c>
      <c r="Y403">
        <f>HYPERLINK("https://klasma.github.io/Logging_0331/tillsynsmail/A 26569-2023 tillsynsbegäran mail.docx", "A 26569-2023")</f>
        <v/>
      </c>
    </row>
    <row r="404" ht="15" customHeight="1">
      <c r="A404" t="inlineStr">
        <is>
          <t>A 29226-2023</t>
        </is>
      </c>
      <c r="B404" s="1" t="n">
        <v>45105</v>
      </c>
      <c r="C404" s="1" t="n">
        <v>45832</v>
      </c>
      <c r="D404" t="inlineStr">
        <is>
          <t>UPPSALA LÄN</t>
        </is>
      </c>
      <c r="E404" t="inlineStr">
        <is>
          <t>TIERP</t>
        </is>
      </c>
      <c r="F404" t="inlineStr">
        <is>
          <t>Bergvik skog öst AB</t>
        </is>
      </c>
      <c r="G404" t="n">
        <v>4.1</v>
      </c>
      <c r="H404" t="n">
        <v>1</v>
      </c>
      <c r="I404" t="n">
        <v>1</v>
      </c>
      <c r="J404" t="n">
        <v>0</v>
      </c>
      <c r="K404" t="n">
        <v>0</v>
      </c>
      <c r="L404" t="n">
        <v>0</v>
      </c>
      <c r="M404" t="n">
        <v>0</v>
      </c>
      <c r="N404" t="n">
        <v>0</v>
      </c>
      <c r="O404" t="n">
        <v>0</v>
      </c>
      <c r="P404" t="n">
        <v>0</v>
      </c>
      <c r="Q404" t="n">
        <v>2</v>
      </c>
      <c r="R404" s="2" t="inlineStr">
        <is>
          <t>Bronshjon
Blåsippa</t>
        </is>
      </c>
      <c r="S404">
        <f>HYPERLINK("https://klasma.github.io/Logging_0360/artfynd/A 29226-2023 artfynd.xlsx", "A 29226-2023")</f>
        <v/>
      </c>
      <c r="T404">
        <f>HYPERLINK("https://klasma.github.io/Logging_0360/kartor/A 29226-2023 karta.png", "A 29226-2023")</f>
        <v/>
      </c>
      <c r="V404">
        <f>HYPERLINK("https://klasma.github.io/Logging_0360/klagomål/A 29226-2023 FSC-klagomål.docx", "A 29226-2023")</f>
        <v/>
      </c>
      <c r="W404">
        <f>HYPERLINK("https://klasma.github.io/Logging_0360/klagomålsmail/A 29226-2023 FSC-klagomål mail.docx", "A 29226-2023")</f>
        <v/>
      </c>
      <c r="X404">
        <f>HYPERLINK("https://klasma.github.io/Logging_0360/tillsyn/A 29226-2023 tillsynsbegäran.docx", "A 29226-2023")</f>
        <v/>
      </c>
      <c r="Y404">
        <f>HYPERLINK("https://klasma.github.io/Logging_0360/tillsynsmail/A 29226-2023 tillsynsbegäran mail.docx", "A 29226-2023")</f>
        <v/>
      </c>
    </row>
    <row r="405" ht="15" customHeight="1">
      <c r="A405" t="inlineStr">
        <is>
          <t>A 32675-2023</t>
        </is>
      </c>
      <c r="B405" s="1" t="n">
        <v>45121</v>
      </c>
      <c r="C405" s="1" t="n">
        <v>45832</v>
      </c>
      <c r="D405" t="inlineStr">
        <is>
          <t>UPPSALA LÄN</t>
        </is>
      </c>
      <c r="E405" t="inlineStr">
        <is>
          <t>UPPSALA</t>
        </is>
      </c>
      <c r="F405" t="inlineStr">
        <is>
          <t>Holmen skog AB</t>
        </is>
      </c>
      <c r="G405" t="n">
        <v>5.8</v>
      </c>
      <c r="H405" t="n">
        <v>1</v>
      </c>
      <c r="I405" t="n">
        <v>1</v>
      </c>
      <c r="J405" t="n">
        <v>0</v>
      </c>
      <c r="K405" t="n">
        <v>0</v>
      </c>
      <c r="L405" t="n">
        <v>0</v>
      </c>
      <c r="M405" t="n">
        <v>0</v>
      </c>
      <c r="N405" t="n">
        <v>0</v>
      </c>
      <c r="O405" t="n">
        <v>0</v>
      </c>
      <c r="P405" t="n">
        <v>0</v>
      </c>
      <c r="Q405" t="n">
        <v>2</v>
      </c>
      <c r="R405" s="2" t="inlineStr">
        <is>
          <t>Brandticka
Blåsippa</t>
        </is>
      </c>
      <c r="S405">
        <f>HYPERLINK("https://klasma.github.io/Logging_0380/artfynd/A 32675-2023 artfynd.xlsx", "A 32675-2023")</f>
        <v/>
      </c>
      <c r="T405">
        <f>HYPERLINK("https://klasma.github.io/Logging_0380/kartor/A 32675-2023 karta.png", "A 32675-2023")</f>
        <v/>
      </c>
      <c r="V405">
        <f>HYPERLINK("https://klasma.github.io/Logging_0380/klagomål/A 32675-2023 FSC-klagomål.docx", "A 32675-2023")</f>
        <v/>
      </c>
      <c r="W405">
        <f>HYPERLINK("https://klasma.github.io/Logging_0380/klagomålsmail/A 32675-2023 FSC-klagomål mail.docx", "A 32675-2023")</f>
        <v/>
      </c>
      <c r="X405">
        <f>HYPERLINK("https://klasma.github.io/Logging_0380/tillsyn/A 32675-2023 tillsynsbegäran.docx", "A 32675-2023")</f>
        <v/>
      </c>
      <c r="Y405">
        <f>HYPERLINK("https://klasma.github.io/Logging_0380/tillsynsmail/A 32675-2023 tillsynsbegäran mail.docx", "A 32675-2023")</f>
        <v/>
      </c>
    </row>
    <row r="406" ht="15" customHeight="1">
      <c r="A406" t="inlineStr">
        <is>
          <t>A 34027-2023</t>
        </is>
      </c>
      <c r="B406" s="1" t="n">
        <v>45135</v>
      </c>
      <c r="C406" s="1" t="n">
        <v>45832</v>
      </c>
      <c r="D406" t="inlineStr">
        <is>
          <t>UPPSALA LÄN</t>
        </is>
      </c>
      <c r="E406" t="inlineStr">
        <is>
          <t>TIERP</t>
        </is>
      </c>
      <c r="F406" t="inlineStr">
        <is>
          <t>Bergvik skog öst AB</t>
        </is>
      </c>
      <c r="G406" t="n">
        <v>18.1</v>
      </c>
      <c r="H406" t="n">
        <v>2</v>
      </c>
      <c r="I406" t="n">
        <v>0</v>
      </c>
      <c r="J406" t="n">
        <v>1</v>
      </c>
      <c r="K406" t="n">
        <v>0</v>
      </c>
      <c r="L406" t="n">
        <v>0</v>
      </c>
      <c r="M406" t="n">
        <v>0</v>
      </c>
      <c r="N406" t="n">
        <v>0</v>
      </c>
      <c r="O406" t="n">
        <v>1</v>
      </c>
      <c r="P406" t="n">
        <v>0</v>
      </c>
      <c r="Q406" t="n">
        <v>2</v>
      </c>
      <c r="R406" s="2" t="inlineStr">
        <is>
          <t>Järpe
Tjäder</t>
        </is>
      </c>
      <c r="S406">
        <f>HYPERLINK("https://klasma.github.io/Logging_0360/artfynd/A 34027-2023 artfynd.xlsx", "A 34027-2023")</f>
        <v/>
      </c>
      <c r="T406">
        <f>HYPERLINK("https://klasma.github.io/Logging_0360/kartor/A 34027-2023 karta.png", "A 34027-2023")</f>
        <v/>
      </c>
      <c r="V406">
        <f>HYPERLINK("https://klasma.github.io/Logging_0360/klagomål/A 34027-2023 FSC-klagomål.docx", "A 34027-2023")</f>
        <v/>
      </c>
      <c r="W406">
        <f>HYPERLINK("https://klasma.github.io/Logging_0360/klagomålsmail/A 34027-2023 FSC-klagomål mail.docx", "A 34027-2023")</f>
        <v/>
      </c>
      <c r="X406">
        <f>HYPERLINK("https://klasma.github.io/Logging_0360/tillsyn/A 34027-2023 tillsynsbegäran.docx", "A 34027-2023")</f>
        <v/>
      </c>
      <c r="Y406">
        <f>HYPERLINK("https://klasma.github.io/Logging_0360/tillsynsmail/A 34027-2023 tillsynsbegäran mail.docx", "A 34027-2023")</f>
        <v/>
      </c>
      <c r="Z406">
        <f>HYPERLINK("https://klasma.github.io/Logging_0360/fåglar/A 34027-2023 prioriterade fågelarter.docx", "A 34027-2023")</f>
        <v/>
      </c>
    </row>
    <row r="407" ht="15" customHeight="1">
      <c r="A407" t="inlineStr">
        <is>
          <t>A 34979-2023</t>
        </is>
      </c>
      <c r="B407" s="1" t="n">
        <v>45142</v>
      </c>
      <c r="C407" s="1" t="n">
        <v>45832</v>
      </c>
      <c r="D407" t="inlineStr">
        <is>
          <t>UPPSALA LÄN</t>
        </is>
      </c>
      <c r="E407" t="inlineStr">
        <is>
          <t>TIERP</t>
        </is>
      </c>
      <c r="F407" t="inlineStr">
        <is>
          <t>Bergvik skog öst AB</t>
        </is>
      </c>
      <c r="G407" t="n">
        <v>1.2</v>
      </c>
      <c r="H407" t="n">
        <v>0</v>
      </c>
      <c r="I407" t="n">
        <v>2</v>
      </c>
      <c r="J407" t="n">
        <v>0</v>
      </c>
      <c r="K407" t="n">
        <v>0</v>
      </c>
      <c r="L407" t="n">
        <v>0</v>
      </c>
      <c r="M407" t="n">
        <v>0</v>
      </c>
      <c r="N407" t="n">
        <v>0</v>
      </c>
      <c r="O407" t="n">
        <v>0</v>
      </c>
      <c r="P407" t="n">
        <v>0</v>
      </c>
      <c r="Q407" t="n">
        <v>2</v>
      </c>
      <c r="R407" s="2" t="inlineStr">
        <is>
          <t>Fjällig taggsvamp s.str.
Vedticka</t>
        </is>
      </c>
      <c r="S407">
        <f>HYPERLINK("https://klasma.github.io/Logging_0360/artfynd/A 34979-2023 artfynd.xlsx", "A 34979-2023")</f>
        <v/>
      </c>
      <c r="T407">
        <f>HYPERLINK("https://klasma.github.io/Logging_0360/kartor/A 34979-2023 karta.png", "A 34979-2023")</f>
        <v/>
      </c>
      <c r="V407">
        <f>HYPERLINK("https://klasma.github.io/Logging_0360/klagomål/A 34979-2023 FSC-klagomål.docx", "A 34979-2023")</f>
        <v/>
      </c>
      <c r="W407">
        <f>HYPERLINK("https://klasma.github.io/Logging_0360/klagomålsmail/A 34979-2023 FSC-klagomål mail.docx", "A 34979-2023")</f>
        <v/>
      </c>
      <c r="X407">
        <f>HYPERLINK("https://klasma.github.io/Logging_0360/tillsyn/A 34979-2023 tillsynsbegäran.docx", "A 34979-2023")</f>
        <v/>
      </c>
      <c r="Y407">
        <f>HYPERLINK("https://klasma.github.io/Logging_0360/tillsynsmail/A 34979-2023 tillsynsbegäran mail.docx", "A 34979-2023")</f>
        <v/>
      </c>
    </row>
    <row r="408" ht="15" customHeight="1">
      <c r="A408" t="inlineStr">
        <is>
          <t>A 36876-2023</t>
        </is>
      </c>
      <c r="B408" s="1" t="n">
        <v>45154</v>
      </c>
      <c r="C408" s="1" t="n">
        <v>45832</v>
      </c>
      <c r="D408" t="inlineStr">
        <is>
          <t>UPPSALA LÄN</t>
        </is>
      </c>
      <c r="E408" t="inlineStr">
        <is>
          <t>ÖSTHAMMAR</t>
        </is>
      </c>
      <c r="F408" t="inlineStr">
        <is>
          <t>Övriga Aktiebolag</t>
        </is>
      </c>
      <c r="G408" t="n">
        <v>12.6</v>
      </c>
      <c r="H408" t="n">
        <v>1</v>
      </c>
      <c r="I408" t="n">
        <v>0</v>
      </c>
      <c r="J408" t="n">
        <v>2</v>
      </c>
      <c r="K408" t="n">
        <v>0</v>
      </c>
      <c r="L408" t="n">
        <v>0</v>
      </c>
      <c r="M408" t="n">
        <v>0</v>
      </c>
      <c r="N408" t="n">
        <v>0</v>
      </c>
      <c r="O408" t="n">
        <v>2</v>
      </c>
      <c r="P408" t="n">
        <v>0</v>
      </c>
      <c r="Q408" t="n">
        <v>2</v>
      </c>
      <c r="R408" s="2" t="inlineStr">
        <is>
          <t>Slaguggla
Slåtterfibbla</t>
        </is>
      </c>
      <c r="S408">
        <f>HYPERLINK("https://klasma.github.io/Logging_0382/artfynd/A 36876-2023 artfynd.xlsx", "A 36876-2023")</f>
        <v/>
      </c>
      <c r="T408">
        <f>HYPERLINK("https://klasma.github.io/Logging_0382/kartor/A 36876-2023 karta.png", "A 36876-2023")</f>
        <v/>
      </c>
      <c r="V408">
        <f>HYPERLINK("https://klasma.github.io/Logging_0382/klagomål/A 36876-2023 FSC-klagomål.docx", "A 36876-2023")</f>
        <v/>
      </c>
      <c r="W408">
        <f>HYPERLINK("https://klasma.github.io/Logging_0382/klagomålsmail/A 36876-2023 FSC-klagomål mail.docx", "A 36876-2023")</f>
        <v/>
      </c>
      <c r="X408">
        <f>HYPERLINK("https://klasma.github.io/Logging_0382/tillsyn/A 36876-2023 tillsynsbegäran.docx", "A 36876-2023")</f>
        <v/>
      </c>
      <c r="Y408">
        <f>HYPERLINK("https://klasma.github.io/Logging_0382/tillsynsmail/A 36876-2023 tillsynsbegäran mail.docx", "A 36876-2023")</f>
        <v/>
      </c>
      <c r="Z408">
        <f>HYPERLINK("https://klasma.github.io/Logging_0382/fåglar/A 36876-2023 prioriterade fågelarter.docx", "A 36876-2023")</f>
        <v/>
      </c>
    </row>
    <row r="409" ht="15" customHeight="1">
      <c r="A409" t="inlineStr">
        <is>
          <t>A 39933-2023</t>
        </is>
      </c>
      <c r="B409" s="1" t="n">
        <v>45168</v>
      </c>
      <c r="C409" s="1" t="n">
        <v>45832</v>
      </c>
      <c r="D409" t="inlineStr">
        <is>
          <t>UPPSALA LÄN</t>
        </is>
      </c>
      <c r="E409" t="inlineStr">
        <is>
          <t>UPPSALA</t>
        </is>
      </c>
      <c r="F409" t="inlineStr">
        <is>
          <t>Holmen skog AB</t>
        </is>
      </c>
      <c r="G409" t="n">
        <v>6.3</v>
      </c>
      <c r="H409" t="n">
        <v>2</v>
      </c>
      <c r="I409" t="n">
        <v>0</v>
      </c>
      <c r="J409" t="n">
        <v>2</v>
      </c>
      <c r="K409" t="n">
        <v>0</v>
      </c>
      <c r="L409" t="n">
        <v>0</v>
      </c>
      <c r="M409" t="n">
        <v>0</v>
      </c>
      <c r="N409" t="n">
        <v>0</v>
      </c>
      <c r="O409" t="n">
        <v>2</v>
      </c>
      <c r="P409" t="n">
        <v>0</v>
      </c>
      <c r="Q409" t="n">
        <v>2</v>
      </c>
      <c r="R409" s="2" t="inlineStr">
        <is>
          <t>Entita
Spillkråka</t>
        </is>
      </c>
      <c r="S409">
        <f>HYPERLINK("https://klasma.github.io/Logging_0380/artfynd/A 39933-2023 artfynd.xlsx", "A 39933-2023")</f>
        <v/>
      </c>
      <c r="T409">
        <f>HYPERLINK("https://klasma.github.io/Logging_0380/kartor/A 39933-2023 karta.png", "A 39933-2023")</f>
        <v/>
      </c>
      <c r="V409">
        <f>HYPERLINK("https://klasma.github.io/Logging_0380/klagomål/A 39933-2023 FSC-klagomål.docx", "A 39933-2023")</f>
        <v/>
      </c>
      <c r="W409">
        <f>HYPERLINK("https://klasma.github.io/Logging_0380/klagomålsmail/A 39933-2023 FSC-klagomål mail.docx", "A 39933-2023")</f>
        <v/>
      </c>
      <c r="X409">
        <f>HYPERLINK("https://klasma.github.io/Logging_0380/tillsyn/A 39933-2023 tillsynsbegäran.docx", "A 39933-2023")</f>
        <v/>
      </c>
      <c r="Y409">
        <f>HYPERLINK("https://klasma.github.io/Logging_0380/tillsynsmail/A 39933-2023 tillsynsbegäran mail.docx", "A 39933-2023")</f>
        <v/>
      </c>
      <c r="Z409">
        <f>HYPERLINK("https://klasma.github.io/Logging_0380/fåglar/A 39933-2023 prioriterade fågelarter.docx", "A 39933-2023")</f>
        <v/>
      </c>
    </row>
    <row r="410" ht="15" customHeight="1">
      <c r="A410" t="inlineStr">
        <is>
          <t>A 40662-2023</t>
        </is>
      </c>
      <c r="B410" s="1" t="n">
        <v>45170</v>
      </c>
      <c r="C410" s="1" t="n">
        <v>45832</v>
      </c>
      <c r="D410" t="inlineStr">
        <is>
          <t>UPPSALA LÄN</t>
        </is>
      </c>
      <c r="E410" t="inlineStr">
        <is>
          <t>HEBY</t>
        </is>
      </c>
      <c r="F410" t="inlineStr">
        <is>
          <t>Övriga Aktiebolag</t>
        </is>
      </c>
      <c r="G410" t="n">
        <v>5.7</v>
      </c>
      <c r="H410" t="n">
        <v>2</v>
      </c>
      <c r="I410" t="n">
        <v>0</v>
      </c>
      <c r="J410" t="n">
        <v>0</v>
      </c>
      <c r="K410" t="n">
        <v>1</v>
      </c>
      <c r="L410" t="n">
        <v>0</v>
      </c>
      <c r="M410" t="n">
        <v>0</v>
      </c>
      <c r="N410" t="n">
        <v>0</v>
      </c>
      <c r="O410" t="n">
        <v>1</v>
      </c>
      <c r="P410" t="n">
        <v>1</v>
      </c>
      <c r="Q410" t="n">
        <v>2</v>
      </c>
      <c r="R410" s="2" t="inlineStr">
        <is>
          <t>Knärot
Fläcknycklar</t>
        </is>
      </c>
      <c r="S410">
        <f>HYPERLINK("https://klasma.github.io/Logging_0331/artfynd/A 40662-2023 artfynd.xlsx", "A 40662-2023")</f>
        <v/>
      </c>
      <c r="T410">
        <f>HYPERLINK("https://klasma.github.io/Logging_0331/kartor/A 40662-2023 karta.png", "A 40662-2023")</f>
        <v/>
      </c>
      <c r="U410">
        <f>HYPERLINK("https://klasma.github.io/Logging_0331/knärot/A 40662-2023 karta knärot.png", "A 40662-2023")</f>
        <v/>
      </c>
      <c r="V410">
        <f>HYPERLINK("https://klasma.github.io/Logging_0331/klagomål/A 40662-2023 FSC-klagomål.docx", "A 40662-2023")</f>
        <v/>
      </c>
      <c r="W410">
        <f>HYPERLINK("https://klasma.github.io/Logging_0331/klagomålsmail/A 40662-2023 FSC-klagomål mail.docx", "A 40662-2023")</f>
        <v/>
      </c>
      <c r="X410">
        <f>HYPERLINK("https://klasma.github.io/Logging_0331/tillsyn/A 40662-2023 tillsynsbegäran.docx", "A 40662-2023")</f>
        <v/>
      </c>
      <c r="Y410">
        <f>HYPERLINK("https://klasma.github.io/Logging_0331/tillsynsmail/A 40662-2023 tillsynsbegäran mail.docx", "A 40662-2023")</f>
        <v/>
      </c>
    </row>
    <row r="411" ht="15" customHeight="1">
      <c r="A411" t="inlineStr">
        <is>
          <t>A 42085-2023</t>
        </is>
      </c>
      <c r="B411" s="1" t="n">
        <v>45177</v>
      </c>
      <c r="C411" s="1" t="n">
        <v>45832</v>
      </c>
      <c r="D411" t="inlineStr">
        <is>
          <t>UPPSALA LÄN</t>
        </is>
      </c>
      <c r="E411" t="inlineStr">
        <is>
          <t>HEBY</t>
        </is>
      </c>
      <c r="G411" t="n">
        <v>3.6</v>
      </c>
      <c r="H411" t="n">
        <v>1</v>
      </c>
      <c r="I411" t="n">
        <v>0</v>
      </c>
      <c r="J411" t="n">
        <v>2</v>
      </c>
      <c r="K411" t="n">
        <v>0</v>
      </c>
      <c r="L411" t="n">
        <v>0</v>
      </c>
      <c r="M411" t="n">
        <v>0</v>
      </c>
      <c r="N411" t="n">
        <v>0</v>
      </c>
      <c r="O411" t="n">
        <v>2</v>
      </c>
      <c r="P411" t="n">
        <v>0</v>
      </c>
      <c r="Q411" t="n">
        <v>2</v>
      </c>
      <c r="R411" s="2" t="inlineStr">
        <is>
          <t>Garnlav
Spillkråka</t>
        </is>
      </c>
      <c r="S411">
        <f>HYPERLINK("https://klasma.github.io/Logging_0331/artfynd/A 42085-2023 artfynd.xlsx", "A 42085-2023")</f>
        <v/>
      </c>
      <c r="T411">
        <f>HYPERLINK("https://klasma.github.io/Logging_0331/kartor/A 42085-2023 karta.png", "A 42085-2023")</f>
        <v/>
      </c>
      <c r="U411">
        <f>HYPERLINK("https://klasma.github.io/Logging_0331/knärot/A 42085-2023 karta knärot.png", "A 42085-2023")</f>
        <v/>
      </c>
      <c r="V411">
        <f>HYPERLINK("https://klasma.github.io/Logging_0331/klagomål/A 42085-2023 FSC-klagomål.docx", "A 42085-2023")</f>
        <v/>
      </c>
      <c r="W411">
        <f>HYPERLINK("https://klasma.github.io/Logging_0331/klagomålsmail/A 42085-2023 FSC-klagomål mail.docx", "A 42085-2023")</f>
        <v/>
      </c>
      <c r="X411">
        <f>HYPERLINK("https://klasma.github.io/Logging_0331/tillsyn/A 42085-2023 tillsynsbegäran.docx", "A 42085-2023")</f>
        <v/>
      </c>
      <c r="Y411">
        <f>HYPERLINK("https://klasma.github.io/Logging_0331/tillsynsmail/A 42085-2023 tillsynsbegäran mail.docx", "A 42085-2023")</f>
        <v/>
      </c>
      <c r="Z411">
        <f>HYPERLINK("https://klasma.github.io/Logging_0331/fåglar/A 42085-2023 prioriterade fågelarter.docx", "A 42085-2023")</f>
        <v/>
      </c>
    </row>
    <row r="412" ht="15" customHeight="1">
      <c r="A412" t="inlineStr">
        <is>
          <t>A 44675-2023</t>
        </is>
      </c>
      <c r="B412" s="1" t="n">
        <v>45189</v>
      </c>
      <c r="C412" s="1" t="n">
        <v>45832</v>
      </c>
      <c r="D412" t="inlineStr">
        <is>
          <t>UPPSALA LÄN</t>
        </is>
      </c>
      <c r="E412" t="inlineStr">
        <is>
          <t>UPPSALA</t>
        </is>
      </c>
      <c r="G412" t="n">
        <v>7.1</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44675-2023 artfynd.xlsx", "A 44675-2023")</f>
        <v/>
      </c>
      <c r="T412">
        <f>HYPERLINK("https://klasma.github.io/Logging_0380/kartor/A 44675-2023 karta.png", "A 44675-2023")</f>
        <v/>
      </c>
      <c r="U412">
        <f>HYPERLINK("https://klasma.github.io/Logging_0380/knärot/A 44675-2023 karta knärot.png", "A 44675-2023")</f>
        <v/>
      </c>
      <c r="V412">
        <f>HYPERLINK("https://klasma.github.io/Logging_0380/klagomål/A 44675-2023 FSC-klagomål.docx", "A 44675-2023")</f>
        <v/>
      </c>
      <c r="W412">
        <f>HYPERLINK("https://klasma.github.io/Logging_0380/klagomålsmail/A 44675-2023 FSC-klagomål mail.docx", "A 44675-2023")</f>
        <v/>
      </c>
      <c r="X412">
        <f>HYPERLINK("https://klasma.github.io/Logging_0380/tillsyn/A 44675-2023 tillsynsbegäran.docx", "A 44675-2023")</f>
        <v/>
      </c>
      <c r="Y412">
        <f>HYPERLINK("https://klasma.github.io/Logging_0380/tillsynsmail/A 44675-2023 tillsynsbegäran mail.docx", "A 44675-2023")</f>
        <v/>
      </c>
      <c r="Z412">
        <f>HYPERLINK("https://klasma.github.io/Logging_0380/fåglar/A 44675-2023 prioriterade fågelarter.docx", "A 44675-2023")</f>
        <v/>
      </c>
    </row>
    <row r="413" ht="15" customHeight="1">
      <c r="A413" t="inlineStr">
        <is>
          <t>A 46363-2023</t>
        </is>
      </c>
      <c r="B413" s="1" t="n">
        <v>45197</v>
      </c>
      <c r="C413" s="1" t="n">
        <v>45832</v>
      </c>
      <c r="D413" t="inlineStr">
        <is>
          <t>UPPSALA LÄN</t>
        </is>
      </c>
      <c r="E413" t="inlineStr">
        <is>
          <t>ÄLVKARLEBY</t>
        </is>
      </c>
      <c r="F413" t="inlineStr">
        <is>
          <t>Bergvik skog öst AB</t>
        </is>
      </c>
      <c r="G413" t="n">
        <v>11.8</v>
      </c>
      <c r="H413" t="n">
        <v>2</v>
      </c>
      <c r="I413" t="n">
        <v>0</v>
      </c>
      <c r="J413" t="n">
        <v>0</v>
      </c>
      <c r="K413" t="n">
        <v>0</v>
      </c>
      <c r="L413" t="n">
        <v>0</v>
      </c>
      <c r="M413" t="n">
        <v>0</v>
      </c>
      <c r="N413" t="n">
        <v>0</v>
      </c>
      <c r="O413" t="n">
        <v>0</v>
      </c>
      <c r="P413" t="n">
        <v>0</v>
      </c>
      <c r="Q413" t="n">
        <v>2</v>
      </c>
      <c r="R413" s="2" t="inlineStr">
        <is>
          <t>Brudsporre
Fläcknycklar</t>
        </is>
      </c>
      <c r="S413">
        <f>HYPERLINK("https://klasma.github.io/Logging_0319/artfynd/A 46363-2023 artfynd.xlsx", "A 46363-2023")</f>
        <v/>
      </c>
      <c r="T413">
        <f>HYPERLINK("https://klasma.github.io/Logging_0319/kartor/A 46363-2023 karta.png", "A 46363-2023")</f>
        <v/>
      </c>
      <c r="V413">
        <f>HYPERLINK("https://klasma.github.io/Logging_0319/klagomål/A 46363-2023 FSC-klagomål.docx", "A 46363-2023")</f>
        <v/>
      </c>
      <c r="W413">
        <f>HYPERLINK("https://klasma.github.io/Logging_0319/klagomålsmail/A 46363-2023 FSC-klagomål mail.docx", "A 46363-2023")</f>
        <v/>
      </c>
      <c r="X413">
        <f>HYPERLINK("https://klasma.github.io/Logging_0319/tillsyn/A 46363-2023 tillsynsbegäran.docx", "A 46363-2023")</f>
        <v/>
      </c>
      <c r="Y413">
        <f>HYPERLINK("https://klasma.github.io/Logging_0319/tillsynsmail/A 46363-2023 tillsynsbegäran mail.docx", "A 46363-2023")</f>
        <v/>
      </c>
    </row>
    <row r="414" ht="15" customHeight="1">
      <c r="A414" t="inlineStr">
        <is>
          <t>A 47948-2023</t>
        </is>
      </c>
      <c r="B414" s="1" t="n">
        <v>45204</v>
      </c>
      <c r="C414" s="1" t="n">
        <v>45832</v>
      </c>
      <c r="D414" t="inlineStr">
        <is>
          <t>UPPSALA LÄN</t>
        </is>
      </c>
      <c r="E414" t="inlineStr">
        <is>
          <t>TIERP</t>
        </is>
      </c>
      <c r="G414" t="n">
        <v>0.7</v>
      </c>
      <c r="H414" t="n">
        <v>0</v>
      </c>
      <c r="I414" t="n">
        <v>0</v>
      </c>
      <c r="J414" t="n">
        <v>0</v>
      </c>
      <c r="K414" t="n">
        <v>2</v>
      </c>
      <c r="L414" t="n">
        <v>0</v>
      </c>
      <c r="M414" t="n">
        <v>0</v>
      </c>
      <c r="N414" t="n">
        <v>0</v>
      </c>
      <c r="O414" t="n">
        <v>2</v>
      </c>
      <c r="P414" t="n">
        <v>2</v>
      </c>
      <c r="Q414" t="n">
        <v>2</v>
      </c>
      <c r="R414" s="2" t="inlineStr">
        <is>
          <t>Gulvit blekspik
Liten blekspik</t>
        </is>
      </c>
      <c r="S414">
        <f>HYPERLINK("https://klasma.github.io/Logging_0360/artfynd/A 47948-2023 artfynd.xlsx", "A 47948-2023")</f>
        <v/>
      </c>
      <c r="T414">
        <f>HYPERLINK("https://klasma.github.io/Logging_0360/kartor/A 47948-2023 karta.png", "A 47948-2023")</f>
        <v/>
      </c>
      <c r="V414">
        <f>HYPERLINK("https://klasma.github.io/Logging_0360/klagomål/A 47948-2023 FSC-klagomål.docx", "A 47948-2023")</f>
        <v/>
      </c>
      <c r="W414">
        <f>HYPERLINK("https://klasma.github.io/Logging_0360/klagomålsmail/A 47948-2023 FSC-klagomål mail.docx", "A 47948-2023")</f>
        <v/>
      </c>
      <c r="X414">
        <f>HYPERLINK("https://klasma.github.io/Logging_0360/tillsyn/A 47948-2023 tillsynsbegäran.docx", "A 47948-2023")</f>
        <v/>
      </c>
      <c r="Y414">
        <f>HYPERLINK("https://klasma.github.io/Logging_0360/tillsynsmail/A 47948-2023 tillsynsbegäran mail.docx", "A 47948-2023")</f>
        <v/>
      </c>
    </row>
    <row r="415" ht="15" customHeight="1">
      <c r="A415" t="inlineStr">
        <is>
          <t>A 48209-2023</t>
        </is>
      </c>
      <c r="B415" s="1" t="n">
        <v>45205</v>
      </c>
      <c r="C415" s="1" t="n">
        <v>45832</v>
      </c>
      <c r="D415" t="inlineStr">
        <is>
          <t>UPPSALA LÄN</t>
        </is>
      </c>
      <c r="E415" t="inlineStr">
        <is>
          <t>ÖSTHAMMAR</t>
        </is>
      </c>
      <c r="G415" t="n">
        <v>3.7</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48209-2023 artfynd.xlsx", "A 48209-2023")</f>
        <v/>
      </c>
      <c r="T415">
        <f>HYPERLINK("https://klasma.github.io/Logging_0382/kartor/A 48209-2023 karta.png", "A 48209-2023")</f>
        <v/>
      </c>
      <c r="V415">
        <f>HYPERLINK("https://klasma.github.io/Logging_0382/klagomål/A 48209-2023 FSC-klagomål.docx", "A 48209-2023")</f>
        <v/>
      </c>
      <c r="W415">
        <f>HYPERLINK("https://klasma.github.io/Logging_0382/klagomålsmail/A 48209-2023 FSC-klagomål mail.docx", "A 48209-2023")</f>
        <v/>
      </c>
      <c r="X415">
        <f>HYPERLINK("https://klasma.github.io/Logging_0382/tillsyn/A 48209-2023 tillsynsbegäran.docx", "A 48209-2023")</f>
        <v/>
      </c>
      <c r="Y415">
        <f>HYPERLINK("https://klasma.github.io/Logging_0382/tillsynsmail/A 48209-2023 tillsynsbegäran mail.docx", "A 48209-2023")</f>
        <v/>
      </c>
    </row>
    <row r="416" ht="15" customHeight="1">
      <c r="A416" t="inlineStr">
        <is>
          <t>A 48723-2023</t>
        </is>
      </c>
      <c r="B416" s="1" t="n">
        <v>45208</v>
      </c>
      <c r="C416" s="1" t="n">
        <v>45832</v>
      </c>
      <c r="D416" t="inlineStr">
        <is>
          <t>UPPSALA LÄN</t>
        </is>
      </c>
      <c r="E416" t="inlineStr">
        <is>
          <t>ÖSTHAMMAR</t>
        </is>
      </c>
      <c r="G416" t="n">
        <v>1</v>
      </c>
      <c r="H416" t="n">
        <v>0</v>
      </c>
      <c r="I416" t="n">
        <v>2</v>
      </c>
      <c r="J416" t="n">
        <v>0</v>
      </c>
      <c r="K416" t="n">
        <v>0</v>
      </c>
      <c r="L416" t="n">
        <v>0</v>
      </c>
      <c r="M416" t="n">
        <v>0</v>
      </c>
      <c r="N416" t="n">
        <v>0</v>
      </c>
      <c r="O416" t="n">
        <v>0</v>
      </c>
      <c r="P416" t="n">
        <v>0</v>
      </c>
      <c r="Q416" t="n">
        <v>2</v>
      </c>
      <c r="R416" s="2" t="inlineStr">
        <is>
          <t>Anisspindling
Fjällig taggsvamp s.str.</t>
        </is>
      </c>
      <c r="S416">
        <f>HYPERLINK("https://klasma.github.io/Logging_0382/artfynd/A 48723-2023 artfynd.xlsx", "A 48723-2023")</f>
        <v/>
      </c>
      <c r="T416">
        <f>HYPERLINK("https://klasma.github.io/Logging_0382/kartor/A 48723-2023 karta.png", "A 48723-2023")</f>
        <v/>
      </c>
      <c r="V416">
        <f>HYPERLINK("https://klasma.github.io/Logging_0382/klagomål/A 48723-2023 FSC-klagomål.docx", "A 48723-2023")</f>
        <v/>
      </c>
      <c r="W416">
        <f>HYPERLINK("https://klasma.github.io/Logging_0382/klagomålsmail/A 48723-2023 FSC-klagomål mail.docx", "A 48723-2023")</f>
        <v/>
      </c>
      <c r="X416">
        <f>HYPERLINK("https://klasma.github.io/Logging_0382/tillsyn/A 48723-2023 tillsynsbegäran.docx", "A 48723-2023")</f>
        <v/>
      </c>
      <c r="Y416">
        <f>HYPERLINK("https://klasma.github.io/Logging_0382/tillsynsmail/A 48723-2023 tillsynsbegäran mail.docx", "A 48723-2023")</f>
        <v/>
      </c>
    </row>
    <row r="417" ht="15" customHeight="1">
      <c r="A417" t="inlineStr">
        <is>
          <t>A 48687-2023</t>
        </is>
      </c>
      <c r="B417" s="1" t="n">
        <v>45208</v>
      </c>
      <c r="C417" s="1" t="n">
        <v>45832</v>
      </c>
      <c r="D417" t="inlineStr">
        <is>
          <t>UPPSALA LÄN</t>
        </is>
      </c>
      <c r="E417" t="inlineStr">
        <is>
          <t>TIERP</t>
        </is>
      </c>
      <c r="F417" t="inlineStr">
        <is>
          <t>Bergvik skog öst AB</t>
        </is>
      </c>
      <c r="G417" t="n">
        <v>2.6</v>
      </c>
      <c r="H417" t="n">
        <v>1</v>
      </c>
      <c r="I417" t="n">
        <v>0</v>
      </c>
      <c r="J417" t="n">
        <v>2</v>
      </c>
      <c r="K417" t="n">
        <v>0</v>
      </c>
      <c r="L417" t="n">
        <v>0</v>
      </c>
      <c r="M417" t="n">
        <v>0</v>
      </c>
      <c r="N417" t="n">
        <v>0</v>
      </c>
      <c r="O417" t="n">
        <v>2</v>
      </c>
      <c r="P417" t="n">
        <v>0</v>
      </c>
      <c r="Q417" t="n">
        <v>2</v>
      </c>
      <c r="R417" s="2" t="inlineStr">
        <is>
          <t>Gulsparv
Klasefibbla</t>
        </is>
      </c>
      <c r="S417">
        <f>HYPERLINK("https://klasma.github.io/Logging_0360/artfynd/A 48687-2023 artfynd.xlsx", "A 48687-2023")</f>
        <v/>
      </c>
      <c r="T417">
        <f>HYPERLINK("https://klasma.github.io/Logging_0360/kartor/A 48687-2023 karta.png", "A 48687-2023")</f>
        <v/>
      </c>
      <c r="V417">
        <f>HYPERLINK("https://klasma.github.io/Logging_0360/klagomål/A 48687-2023 FSC-klagomål.docx", "A 48687-2023")</f>
        <v/>
      </c>
      <c r="W417">
        <f>HYPERLINK("https://klasma.github.io/Logging_0360/klagomålsmail/A 48687-2023 FSC-klagomål mail.docx", "A 48687-2023")</f>
        <v/>
      </c>
      <c r="X417">
        <f>HYPERLINK("https://klasma.github.io/Logging_0360/tillsyn/A 48687-2023 tillsynsbegäran.docx", "A 48687-2023")</f>
        <v/>
      </c>
      <c r="Y417">
        <f>HYPERLINK("https://klasma.github.io/Logging_0360/tillsynsmail/A 48687-2023 tillsynsbegäran mail.docx", "A 48687-2023")</f>
        <v/>
      </c>
      <c r="Z417">
        <f>HYPERLINK("https://klasma.github.io/Logging_0360/fåglar/A 48687-2023 prioriterade fågelarter.docx", "A 48687-2023")</f>
        <v/>
      </c>
    </row>
    <row r="418" ht="15" customHeight="1">
      <c r="A418" t="inlineStr">
        <is>
          <t>A 48917-2023</t>
        </is>
      </c>
      <c r="B418" s="1" t="n">
        <v>45209</v>
      </c>
      <c r="C418" s="1" t="n">
        <v>45832</v>
      </c>
      <c r="D418" t="inlineStr">
        <is>
          <t>UPPSALA LÄN</t>
        </is>
      </c>
      <c r="E418" t="inlineStr">
        <is>
          <t>TIERP</t>
        </is>
      </c>
      <c r="F418" t="inlineStr">
        <is>
          <t>Bergvik skog öst AB</t>
        </is>
      </c>
      <c r="G418" t="n">
        <v>3.4</v>
      </c>
      <c r="H418" t="n">
        <v>2</v>
      </c>
      <c r="I418" t="n">
        <v>0</v>
      </c>
      <c r="J418" t="n">
        <v>2</v>
      </c>
      <c r="K418" t="n">
        <v>0</v>
      </c>
      <c r="L418" t="n">
        <v>0</v>
      </c>
      <c r="M418" t="n">
        <v>0</v>
      </c>
      <c r="N418" t="n">
        <v>0</v>
      </c>
      <c r="O418" t="n">
        <v>2</v>
      </c>
      <c r="P418" t="n">
        <v>0</v>
      </c>
      <c r="Q418" t="n">
        <v>2</v>
      </c>
      <c r="R418" s="2" t="inlineStr">
        <is>
          <t>Gulsparv
Talltita</t>
        </is>
      </c>
      <c r="S418">
        <f>HYPERLINK("https://klasma.github.io/Logging_0360/artfynd/A 48917-2023 artfynd.xlsx", "A 48917-2023")</f>
        <v/>
      </c>
      <c r="T418">
        <f>HYPERLINK("https://klasma.github.io/Logging_0360/kartor/A 48917-2023 karta.png", "A 48917-2023")</f>
        <v/>
      </c>
      <c r="V418">
        <f>HYPERLINK("https://klasma.github.io/Logging_0360/klagomål/A 48917-2023 FSC-klagomål.docx", "A 48917-2023")</f>
        <v/>
      </c>
      <c r="W418">
        <f>HYPERLINK("https://klasma.github.io/Logging_0360/klagomålsmail/A 48917-2023 FSC-klagomål mail.docx", "A 48917-2023")</f>
        <v/>
      </c>
      <c r="X418">
        <f>HYPERLINK("https://klasma.github.io/Logging_0360/tillsyn/A 48917-2023 tillsynsbegäran.docx", "A 48917-2023")</f>
        <v/>
      </c>
      <c r="Y418">
        <f>HYPERLINK("https://klasma.github.io/Logging_0360/tillsynsmail/A 48917-2023 tillsynsbegäran mail.docx", "A 48917-2023")</f>
        <v/>
      </c>
      <c r="Z418">
        <f>HYPERLINK("https://klasma.github.io/Logging_0360/fåglar/A 48917-2023 prioriterade fågelarter.docx", "A 48917-2023")</f>
        <v/>
      </c>
    </row>
    <row r="419" ht="15" customHeight="1">
      <c r="A419" t="inlineStr">
        <is>
          <t>A 50105-2023</t>
        </is>
      </c>
      <c r="B419" s="1" t="n">
        <v>45215</v>
      </c>
      <c r="C419" s="1" t="n">
        <v>45832</v>
      </c>
      <c r="D419" t="inlineStr">
        <is>
          <t>UPPSALA LÄN</t>
        </is>
      </c>
      <c r="E419" t="inlineStr">
        <is>
          <t>ENKÖPING</t>
        </is>
      </c>
      <c r="G419" t="n">
        <v>8.5</v>
      </c>
      <c r="H419" t="n">
        <v>0</v>
      </c>
      <c r="I419" t="n">
        <v>0</v>
      </c>
      <c r="J419" t="n">
        <v>1</v>
      </c>
      <c r="K419" t="n">
        <v>1</v>
      </c>
      <c r="L419" t="n">
        <v>0</v>
      </c>
      <c r="M419" t="n">
        <v>0</v>
      </c>
      <c r="N419" t="n">
        <v>0</v>
      </c>
      <c r="O419" t="n">
        <v>2</v>
      </c>
      <c r="P419" t="n">
        <v>1</v>
      </c>
      <c r="Q419" t="n">
        <v>2</v>
      </c>
      <c r="R419" s="2" t="inlineStr">
        <is>
          <t>Smalskaftslav
Ullticka</t>
        </is>
      </c>
      <c r="S419">
        <f>HYPERLINK("https://klasma.github.io/Logging_0381/artfynd/A 50105-2023 artfynd.xlsx", "A 50105-2023")</f>
        <v/>
      </c>
      <c r="T419">
        <f>HYPERLINK("https://klasma.github.io/Logging_0381/kartor/A 50105-2023 karta.png", "A 50105-2023")</f>
        <v/>
      </c>
      <c r="V419">
        <f>HYPERLINK("https://klasma.github.io/Logging_0381/klagomål/A 50105-2023 FSC-klagomål.docx", "A 50105-2023")</f>
        <v/>
      </c>
      <c r="W419">
        <f>HYPERLINK("https://klasma.github.io/Logging_0381/klagomålsmail/A 50105-2023 FSC-klagomål mail.docx", "A 50105-2023")</f>
        <v/>
      </c>
      <c r="X419">
        <f>HYPERLINK("https://klasma.github.io/Logging_0381/tillsyn/A 50105-2023 tillsynsbegäran.docx", "A 50105-2023")</f>
        <v/>
      </c>
      <c r="Y419">
        <f>HYPERLINK("https://klasma.github.io/Logging_0381/tillsynsmail/A 50105-2023 tillsynsbegäran mail.docx", "A 50105-2023")</f>
        <v/>
      </c>
    </row>
    <row r="420" ht="15" customHeight="1">
      <c r="A420" t="inlineStr">
        <is>
          <t>A 51749-2023</t>
        </is>
      </c>
      <c r="B420" s="1" t="n">
        <v>45222</v>
      </c>
      <c r="C420" s="1" t="n">
        <v>45832</v>
      </c>
      <c r="D420" t="inlineStr">
        <is>
          <t>UPPSALA LÄN</t>
        </is>
      </c>
      <c r="E420" t="inlineStr">
        <is>
          <t>UPPSALA</t>
        </is>
      </c>
      <c r="G420" t="n">
        <v>3.6</v>
      </c>
      <c r="H420" t="n">
        <v>1</v>
      </c>
      <c r="I420" t="n">
        <v>0</v>
      </c>
      <c r="J420" t="n">
        <v>1</v>
      </c>
      <c r="K420" t="n">
        <v>0</v>
      </c>
      <c r="L420" t="n">
        <v>0</v>
      </c>
      <c r="M420" t="n">
        <v>0</v>
      </c>
      <c r="N420" t="n">
        <v>0</v>
      </c>
      <c r="O420" t="n">
        <v>1</v>
      </c>
      <c r="P420" t="n">
        <v>0</v>
      </c>
      <c r="Q420" t="n">
        <v>2</v>
      </c>
      <c r="R420" s="2" t="inlineStr">
        <is>
          <t>Säfferot
Gullviva</t>
        </is>
      </c>
      <c r="S420">
        <f>HYPERLINK("https://klasma.github.io/Logging_0380/artfynd/A 51749-2023 artfynd.xlsx", "A 51749-2023")</f>
        <v/>
      </c>
      <c r="T420">
        <f>HYPERLINK("https://klasma.github.io/Logging_0380/kartor/A 51749-2023 karta.png", "A 51749-2023")</f>
        <v/>
      </c>
      <c r="V420">
        <f>HYPERLINK("https://klasma.github.io/Logging_0380/klagomål/A 51749-2023 FSC-klagomål.docx", "A 51749-2023")</f>
        <v/>
      </c>
      <c r="W420">
        <f>HYPERLINK("https://klasma.github.io/Logging_0380/klagomålsmail/A 51749-2023 FSC-klagomål mail.docx", "A 51749-2023")</f>
        <v/>
      </c>
      <c r="X420">
        <f>HYPERLINK("https://klasma.github.io/Logging_0380/tillsyn/A 51749-2023 tillsynsbegäran.docx", "A 51749-2023")</f>
        <v/>
      </c>
      <c r="Y420">
        <f>HYPERLINK("https://klasma.github.io/Logging_0380/tillsynsmail/A 51749-2023 tillsynsbegäran mail.docx", "A 51749-2023")</f>
        <v/>
      </c>
    </row>
    <row r="421" ht="15" customHeight="1">
      <c r="A421" t="inlineStr">
        <is>
          <t>A 54436-2023</t>
        </is>
      </c>
      <c r="B421" s="1" t="n">
        <v>45233</v>
      </c>
      <c r="C421" s="1" t="n">
        <v>45832</v>
      </c>
      <c r="D421" t="inlineStr">
        <is>
          <t>UPPSALA LÄN</t>
        </is>
      </c>
      <c r="E421" t="inlineStr">
        <is>
          <t>TIERP</t>
        </is>
      </c>
      <c r="F421" t="inlineStr">
        <is>
          <t>Bergvik skog öst AB</t>
        </is>
      </c>
      <c r="G421" t="n">
        <v>30.2</v>
      </c>
      <c r="H421" t="n">
        <v>1</v>
      </c>
      <c r="I421" t="n">
        <v>1</v>
      </c>
      <c r="J421" t="n">
        <v>1</v>
      </c>
      <c r="K421" t="n">
        <v>0</v>
      </c>
      <c r="L421" t="n">
        <v>0</v>
      </c>
      <c r="M421" t="n">
        <v>0</v>
      </c>
      <c r="N421" t="n">
        <v>0</v>
      </c>
      <c r="O421" t="n">
        <v>1</v>
      </c>
      <c r="P421" t="n">
        <v>0</v>
      </c>
      <c r="Q421" t="n">
        <v>2</v>
      </c>
      <c r="R421" s="2" t="inlineStr">
        <is>
          <t>Slåtterfibbla
Tvåblad</t>
        </is>
      </c>
      <c r="S421">
        <f>HYPERLINK("https://klasma.github.io/Logging_0360/artfynd/A 54436-2023 artfynd.xlsx", "A 54436-2023")</f>
        <v/>
      </c>
      <c r="T421">
        <f>HYPERLINK("https://klasma.github.io/Logging_0360/kartor/A 54436-2023 karta.png", "A 54436-2023")</f>
        <v/>
      </c>
      <c r="V421">
        <f>HYPERLINK("https://klasma.github.io/Logging_0360/klagomål/A 54436-2023 FSC-klagomål.docx", "A 54436-2023")</f>
        <v/>
      </c>
      <c r="W421">
        <f>HYPERLINK("https://klasma.github.io/Logging_0360/klagomålsmail/A 54436-2023 FSC-klagomål mail.docx", "A 54436-2023")</f>
        <v/>
      </c>
      <c r="X421">
        <f>HYPERLINK("https://klasma.github.io/Logging_0360/tillsyn/A 54436-2023 tillsynsbegäran.docx", "A 54436-2023")</f>
        <v/>
      </c>
      <c r="Y421">
        <f>HYPERLINK("https://klasma.github.io/Logging_0360/tillsynsmail/A 54436-2023 tillsynsbegäran mail.docx", "A 54436-2023")</f>
        <v/>
      </c>
    </row>
    <row r="422" ht="15" customHeight="1">
      <c r="A422" t="inlineStr">
        <is>
          <t>A 55508-2023</t>
        </is>
      </c>
      <c r="B422" s="1" t="n">
        <v>45238</v>
      </c>
      <c r="C422" s="1" t="n">
        <v>45832</v>
      </c>
      <c r="D422" t="inlineStr">
        <is>
          <t>UPPSALA LÄN</t>
        </is>
      </c>
      <c r="E422" t="inlineStr">
        <is>
          <t>ÖSTHAMMAR</t>
        </is>
      </c>
      <c r="G422" t="n">
        <v>3.4</v>
      </c>
      <c r="H422" t="n">
        <v>1</v>
      </c>
      <c r="I422" t="n">
        <v>1</v>
      </c>
      <c r="J422" t="n">
        <v>1</v>
      </c>
      <c r="K422" t="n">
        <v>0</v>
      </c>
      <c r="L422" t="n">
        <v>0</v>
      </c>
      <c r="M422" t="n">
        <v>0</v>
      </c>
      <c r="N422" t="n">
        <v>0</v>
      </c>
      <c r="O422" t="n">
        <v>1</v>
      </c>
      <c r="P422" t="n">
        <v>0</v>
      </c>
      <c r="Q422" t="n">
        <v>2</v>
      </c>
      <c r="R422" s="2" t="inlineStr">
        <is>
          <t>Svart taggsvamp
Guckusko</t>
        </is>
      </c>
      <c r="S422">
        <f>HYPERLINK("https://klasma.github.io/Logging_0382/artfynd/A 55508-2023 artfynd.xlsx", "A 55508-2023")</f>
        <v/>
      </c>
      <c r="T422">
        <f>HYPERLINK("https://klasma.github.io/Logging_0382/kartor/A 55508-2023 karta.png", "A 55508-2023")</f>
        <v/>
      </c>
      <c r="V422">
        <f>HYPERLINK("https://klasma.github.io/Logging_0382/klagomål/A 55508-2023 FSC-klagomål.docx", "A 55508-2023")</f>
        <v/>
      </c>
      <c r="W422">
        <f>HYPERLINK("https://klasma.github.io/Logging_0382/klagomålsmail/A 55508-2023 FSC-klagomål mail.docx", "A 55508-2023")</f>
        <v/>
      </c>
      <c r="X422">
        <f>HYPERLINK("https://klasma.github.io/Logging_0382/tillsyn/A 55508-2023 tillsynsbegäran.docx", "A 55508-2023")</f>
        <v/>
      </c>
      <c r="Y422">
        <f>HYPERLINK("https://klasma.github.io/Logging_0382/tillsynsmail/A 55508-2023 tillsynsbegäran mail.docx", "A 55508-2023")</f>
        <v/>
      </c>
    </row>
    <row r="423" ht="15" customHeight="1">
      <c r="A423" t="inlineStr">
        <is>
          <t>A 55385-2023</t>
        </is>
      </c>
      <c r="B423" s="1" t="n">
        <v>45238</v>
      </c>
      <c r="C423" s="1" t="n">
        <v>45832</v>
      </c>
      <c r="D423" t="inlineStr">
        <is>
          <t>UPPSALA LÄN</t>
        </is>
      </c>
      <c r="E423" t="inlineStr">
        <is>
          <t>ÖSTHAMMAR</t>
        </is>
      </c>
      <c r="G423" t="n">
        <v>3</v>
      </c>
      <c r="H423" t="n">
        <v>1</v>
      </c>
      <c r="I423" t="n">
        <v>2</v>
      </c>
      <c r="J423" t="n">
        <v>0</v>
      </c>
      <c r="K423" t="n">
        <v>0</v>
      </c>
      <c r="L423" t="n">
        <v>0</v>
      </c>
      <c r="M423" t="n">
        <v>0</v>
      </c>
      <c r="N423" t="n">
        <v>0</v>
      </c>
      <c r="O423" t="n">
        <v>0</v>
      </c>
      <c r="P423" t="n">
        <v>0</v>
      </c>
      <c r="Q423" t="n">
        <v>2</v>
      </c>
      <c r="R423" s="2" t="inlineStr">
        <is>
          <t>Guckusko
Korallblylav</t>
        </is>
      </c>
      <c r="S423">
        <f>HYPERLINK("https://klasma.github.io/Logging_0382/artfynd/A 55385-2023 artfynd.xlsx", "A 55385-2023")</f>
        <v/>
      </c>
      <c r="T423">
        <f>HYPERLINK("https://klasma.github.io/Logging_0382/kartor/A 55385-2023 karta.png", "A 55385-2023")</f>
        <v/>
      </c>
      <c r="V423">
        <f>HYPERLINK("https://klasma.github.io/Logging_0382/klagomål/A 55385-2023 FSC-klagomål.docx", "A 55385-2023")</f>
        <v/>
      </c>
      <c r="W423">
        <f>HYPERLINK("https://klasma.github.io/Logging_0382/klagomålsmail/A 55385-2023 FSC-klagomål mail.docx", "A 55385-2023")</f>
        <v/>
      </c>
      <c r="X423">
        <f>HYPERLINK("https://klasma.github.io/Logging_0382/tillsyn/A 55385-2023 tillsynsbegäran.docx", "A 55385-2023")</f>
        <v/>
      </c>
      <c r="Y423">
        <f>HYPERLINK("https://klasma.github.io/Logging_0382/tillsynsmail/A 55385-2023 tillsynsbegäran mail.docx", "A 55385-2023")</f>
        <v/>
      </c>
    </row>
    <row r="424" ht="15" customHeight="1">
      <c r="A424" t="inlineStr">
        <is>
          <t>A 59283-2023</t>
        </is>
      </c>
      <c r="B424" s="1" t="n">
        <v>45253</v>
      </c>
      <c r="C424" s="1" t="n">
        <v>45832</v>
      </c>
      <c r="D424" t="inlineStr">
        <is>
          <t>UPPSALA LÄN</t>
        </is>
      </c>
      <c r="E424" t="inlineStr">
        <is>
          <t>ÖSTHAMMAR</t>
        </is>
      </c>
      <c r="G424" t="n">
        <v>2</v>
      </c>
      <c r="H424" t="n">
        <v>0</v>
      </c>
      <c r="I424" t="n">
        <v>0</v>
      </c>
      <c r="J424" t="n">
        <v>0</v>
      </c>
      <c r="K424" t="n">
        <v>2</v>
      </c>
      <c r="L424" t="n">
        <v>0</v>
      </c>
      <c r="M424" t="n">
        <v>0</v>
      </c>
      <c r="N424" t="n">
        <v>0</v>
      </c>
      <c r="O424" t="n">
        <v>2</v>
      </c>
      <c r="P424" t="n">
        <v>2</v>
      </c>
      <c r="Q424" t="n">
        <v>2</v>
      </c>
      <c r="R424" s="2" t="inlineStr">
        <is>
          <t>Koppartaggsvamp
Spricktaggsvamp</t>
        </is>
      </c>
      <c r="S424">
        <f>HYPERLINK("https://klasma.github.io/Logging_0382/artfynd/A 59283-2023 artfynd.xlsx", "A 59283-2023")</f>
        <v/>
      </c>
      <c r="T424">
        <f>HYPERLINK("https://klasma.github.io/Logging_0382/kartor/A 59283-2023 karta.png", "A 59283-2023")</f>
        <v/>
      </c>
      <c r="V424">
        <f>HYPERLINK("https://klasma.github.io/Logging_0382/klagomål/A 59283-2023 FSC-klagomål.docx", "A 59283-2023")</f>
        <v/>
      </c>
      <c r="W424">
        <f>HYPERLINK("https://klasma.github.io/Logging_0382/klagomålsmail/A 59283-2023 FSC-klagomål mail.docx", "A 59283-2023")</f>
        <v/>
      </c>
      <c r="X424">
        <f>HYPERLINK("https://klasma.github.io/Logging_0382/tillsyn/A 59283-2023 tillsynsbegäran.docx", "A 59283-2023")</f>
        <v/>
      </c>
      <c r="Y424">
        <f>HYPERLINK("https://klasma.github.io/Logging_0382/tillsynsmail/A 59283-2023 tillsynsbegäran mail.docx", "A 59283-2023")</f>
        <v/>
      </c>
    </row>
    <row r="425" ht="15" customHeight="1">
      <c r="A425" t="inlineStr">
        <is>
          <t>A 59949-2023</t>
        </is>
      </c>
      <c r="B425" s="1" t="n">
        <v>45257</v>
      </c>
      <c r="C425" s="1" t="n">
        <v>45832</v>
      </c>
      <c r="D425" t="inlineStr">
        <is>
          <t>UPPSALA LÄN</t>
        </is>
      </c>
      <c r="E425" t="inlineStr">
        <is>
          <t>TIERP</t>
        </is>
      </c>
      <c r="G425" t="n">
        <v>1.3</v>
      </c>
      <c r="H425" t="n">
        <v>0</v>
      </c>
      <c r="I425" t="n">
        <v>2</v>
      </c>
      <c r="J425" t="n">
        <v>0</v>
      </c>
      <c r="K425" t="n">
        <v>0</v>
      </c>
      <c r="L425" t="n">
        <v>0</v>
      </c>
      <c r="M425" t="n">
        <v>0</v>
      </c>
      <c r="N425" t="n">
        <v>0</v>
      </c>
      <c r="O425" t="n">
        <v>0</v>
      </c>
      <c r="P425" t="n">
        <v>0</v>
      </c>
      <c r="Q425" t="n">
        <v>2</v>
      </c>
      <c r="R425" s="2" t="inlineStr">
        <is>
          <t>Fjällig taggsvamp s.str.
Svavelriska</t>
        </is>
      </c>
      <c r="S425">
        <f>HYPERLINK("https://klasma.github.io/Logging_0360/artfynd/A 59949-2023 artfynd.xlsx", "A 59949-2023")</f>
        <v/>
      </c>
      <c r="T425">
        <f>HYPERLINK("https://klasma.github.io/Logging_0360/kartor/A 59949-2023 karta.png", "A 59949-2023")</f>
        <v/>
      </c>
      <c r="V425">
        <f>HYPERLINK("https://klasma.github.io/Logging_0360/klagomål/A 59949-2023 FSC-klagomål.docx", "A 59949-2023")</f>
        <v/>
      </c>
      <c r="W425">
        <f>HYPERLINK("https://klasma.github.io/Logging_0360/klagomålsmail/A 59949-2023 FSC-klagomål mail.docx", "A 59949-2023")</f>
        <v/>
      </c>
      <c r="X425">
        <f>HYPERLINK("https://klasma.github.io/Logging_0360/tillsyn/A 59949-2023 tillsynsbegäran.docx", "A 59949-2023")</f>
        <v/>
      </c>
      <c r="Y425">
        <f>HYPERLINK("https://klasma.github.io/Logging_0360/tillsynsmail/A 59949-2023 tillsynsbegäran mail.docx", "A 59949-2023")</f>
        <v/>
      </c>
    </row>
    <row r="426" ht="15" customHeight="1">
      <c r="A426" t="inlineStr">
        <is>
          <t>A 60458-2023</t>
        </is>
      </c>
      <c r="B426" s="1" t="n">
        <v>45259</v>
      </c>
      <c r="C426" s="1" t="n">
        <v>45832</v>
      </c>
      <c r="D426" t="inlineStr">
        <is>
          <t>UPPSALA LÄN</t>
        </is>
      </c>
      <c r="E426" t="inlineStr">
        <is>
          <t>ÄLVKARLEBY</t>
        </is>
      </c>
      <c r="F426" t="inlineStr">
        <is>
          <t>Bergvik skog öst AB</t>
        </is>
      </c>
      <c r="G426" t="n">
        <v>2.2</v>
      </c>
      <c r="H426" t="n">
        <v>1</v>
      </c>
      <c r="I426" t="n">
        <v>0</v>
      </c>
      <c r="J426" t="n">
        <v>0</v>
      </c>
      <c r="K426" t="n">
        <v>0</v>
      </c>
      <c r="L426" t="n">
        <v>2</v>
      </c>
      <c r="M426" t="n">
        <v>0</v>
      </c>
      <c r="N426" t="n">
        <v>0</v>
      </c>
      <c r="O426" t="n">
        <v>2</v>
      </c>
      <c r="P426" t="n">
        <v>2</v>
      </c>
      <c r="Q426" t="n">
        <v>2</v>
      </c>
      <c r="R426" s="2" t="inlineStr">
        <is>
          <t>Bredgentiana
Fältgentiana</t>
        </is>
      </c>
      <c r="S426">
        <f>HYPERLINK("https://klasma.github.io/Logging_0319/artfynd/A 60458-2023 artfynd.xlsx", "A 60458-2023")</f>
        <v/>
      </c>
      <c r="T426">
        <f>HYPERLINK("https://klasma.github.io/Logging_0319/kartor/A 60458-2023 karta.png", "A 60458-2023")</f>
        <v/>
      </c>
      <c r="V426">
        <f>HYPERLINK("https://klasma.github.io/Logging_0319/klagomål/A 60458-2023 FSC-klagomål.docx", "A 60458-2023")</f>
        <v/>
      </c>
      <c r="W426">
        <f>HYPERLINK("https://klasma.github.io/Logging_0319/klagomålsmail/A 60458-2023 FSC-klagomål mail.docx", "A 60458-2023")</f>
        <v/>
      </c>
      <c r="X426">
        <f>HYPERLINK("https://klasma.github.io/Logging_0319/tillsyn/A 60458-2023 tillsynsbegäran.docx", "A 60458-2023")</f>
        <v/>
      </c>
      <c r="Y426">
        <f>HYPERLINK("https://klasma.github.io/Logging_0319/tillsynsmail/A 60458-2023 tillsynsbegäran mail.docx", "A 60458-2023")</f>
        <v/>
      </c>
    </row>
    <row r="427" ht="15" customHeight="1">
      <c r="A427" t="inlineStr">
        <is>
          <t>A 60703-2023</t>
        </is>
      </c>
      <c r="B427" s="1" t="n">
        <v>45260</v>
      </c>
      <c r="C427" s="1" t="n">
        <v>45832</v>
      </c>
      <c r="D427" t="inlineStr">
        <is>
          <t>UPPSALA LÄN</t>
        </is>
      </c>
      <c r="E427" t="inlineStr">
        <is>
          <t>UPPSALA</t>
        </is>
      </c>
      <c r="G427" t="n">
        <v>1.6</v>
      </c>
      <c r="H427" t="n">
        <v>0</v>
      </c>
      <c r="I427" t="n">
        <v>2</v>
      </c>
      <c r="J427" t="n">
        <v>0</v>
      </c>
      <c r="K427" t="n">
        <v>0</v>
      </c>
      <c r="L427" t="n">
        <v>0</v>
      </c>
      <c r="M427" t="n">
        <v>0</v>
      </c>
      <c r="N427" t="n">
        <v>0</v>
      </c>
      <c r="O427" t="n">
        <v>0</v>
      </c>
      <c r="P427" t="n">
        <v>0</v>
      </c>
      <c r="Q427" t="n">
        <v>2</v>
      </c>
      <c r="R427" s="2" t="inlineStr">
        <is>
          <t>Kantjordstjärna
Svavelriska</t>
        </is>
      </c>
      <c r="S427">
        <f>HYPERLINK("https://klasma.github.io/Logging_0380/artfynd/A 60703-2023 artfynd.xlsx", "A 60703-2023")</f>
        <v/>
      </c>
      <c r="T427">
        <f>HYPERLINK("https://klasma.github.io/Logging_0380/kartor/A 60703-2023 karta.png", "A 60703-2023")</f>
        <v/>
      </c>
      <c r="V427">
        <f>HYPERLINK("https://klasma.github.io/Logging_0380/klagomål/A 60703-2023 FSC-klagomål.docx", "A 60703-2023")</f>
        <v/>
      </c>
      <c r="W427">
        <f>HYPERLINK("https://klasma.github.io/Logging_0380/klagomålsmail/A 60703-2023 FSC-klagomål mail.docx", "A 60703-2023")</f>
        <v/>
      </c>
      <c r="X427">
        <f>HYPERLINK("https://klasma.github.io/Logging_0380/tillsyn/A 60703-2023 tillsynsbegäran.docx", "A 60703-2023")</f>
        <v/>
      </c>
      <c r="Y427">
        <f>HYPERLINK("https://klasma.github.io/Logging_0380/tillsynsmail/A 60703-2023 tillsynsbegäran mail.docx", "A 60703-2023")</f>
        <v/>
      </c>
    </row>
    <row r="428" ht="15" customHeight="1">
      <c r="A428" t="inlineStr">
        <is>
          <t>A 60712-2023</t>
        </is>
      </c>
      <c r="B428" s="1" t="n">
        <v>45260</v>
      </c>
      <c r="C428" s="1" t="n">
        <v>45832</v>
      </c>
      <c r="D428" t="inlineStr">
        <is>
          <t>UPPSALA LÄN</t>
        </is>
      </c>
      <c r="E428" t="inlineStr">
        <is>
          <t>UPPSALA</t>
        </is>
      </c>
      <c r="G428" t="n">
        <v>1</v>
      </c>
      <c r="H428" t="n">
        <v>0</v>
      </c>
      <c r="I428" t="n">
        <v>1</v>
      </c>
      <c r="J428" t="n">
        <v>1</v>
      </c>
      <c r="K428" t="n">
        <v>0</v>
      </c>
      <c r="L428" t="n">
        <v>0</v>
      </c>
      <c r="M428" t="n">
        <v>0</v>
      </c>
      <c r="N428" t="n">
        <v>0</v>
      </c>
      <c r="O428" t="n">
        <v>1</v>
      </c>
      <c r="P428" t="n">
        <v>0</v>
      </c>
      <c r="Q428" t="n">
        <v>2</v>
      </c>
      <c r="R428" s="2" t="inlineStr">
        <is>
          <t>Tallticka
Blodticka</t>
        </is>
      </c>
      <c r="S428">
        <f>HYPERLINK("https://klasma.github.io/Logging_0380/artfynd/A 60712-2023 artfynd.xlsx", "A 60712-2023")</f>
        <v/>
      </c>
      <c r="T428">
        <f>HYPERLINK("https://klasma.github.io/Logging_0380/kartor/A 60712-2023 karta.png", "A 60712-2023")</f>
        <v/>
      </c>
      <c r="V428">
        <f>HYPERLINK("https://klasma.github.io/Logging_0380/klagomål/A 60712-2023 FSC-klagomål.docx", "A 60712-2023")</f>
        <v/>
      </c>
      <c r="W428">
        <f>HYPERLINK("https://klasma.github.io/Logging_0380/klagomålsmail/A 60712-2023 FSC-klagomål mail.docx", "A 60712-2023")</f>
        <v/>
      </c>
      <c r="X428">
        <f>HYPERLINK("https://klasma.github.io/Logging_0380/tillsyn/A 60712-2023 tillsynsbegäran.docx", "A 60712-2023")</f>
        <v/>
      </c>
      <c r="Y428">
        <f>HYPERLINK("https://klasma.github.io/Logging_0380/tillsynsmail/A 60712-2023 tillsynsbegäran mail.docx", "A 60712-2023")</f>
        <v/>
      </c>
    </row>
    <row r="429" ht="15" customHeight="1">
      <c r="A429" t="inlineStr">
        <is>
          <t>A 88-2024</t>
        </is>
      </c>
      <c r="B429" s="1" t="n">
        <v>45293</v>
      </c>
      <c r="C429" s="1" t="n">
        <v>45832</v>
      </c>
      <c r="D429" t="inlineStr">
        <is>
          <t>UPPSALA LÄN</t>
        </is>
      </c>
      <c r="E429" t="inlineStr">
        <is>
          <t>UPPSALA</t>
        </is>
      </c>
      <c r="G429" t="n">
        <v>2.1</v>
      </c>
      <c r="H429" t="n">
        <v>0</v>
      </c>
      <c r="I429" t="n">
        <v>0</v>
      </c>
      <c r="J429" t="n">
        <v>1</v>
      </c>
      <c r="K429" t="n">
        <v>0</v>
      </c>
      <c r="L429" t="n">
        <v>1</v>
      </c>
      <c r="M429" t="n">
        <v>0</v>
      </c>
      <c r="N429" t="n">
        <v>0</v>
      </c>
      <c r="O429" t="n">
        <v>2</v>
      </c>
      <c r="P429" t="n">
        <v>1</v>
      </c>
      <c r="Q429" t="n">
        <v>2</v>
      </c>
      <c r="R429" s="2" t="inlineStr">
        <is>
          <t>Ask
Gullklöver</t>
        </is>
      </c>
      <c r="S429">
        <f>HYPERLINK("https://klasma.github.io/Logging_0380/artfynd/A 88-2024 artfynd.xlsx", "A 88-2024")</f>
        <v/>
      </c>
      <c r="T429">
        <f>HYPERLINK("https://klasma.github.io/Logging_0380/kartor/A 88-2024 karta.png", "A 88-2024")</f>
        <v/>
      </c>
      <c r="V429">
        <f>HYPERLINK("https://klasma.github.io/Logging_0380/klagomål/A 88-2024 FSC-klagomål.docx", "A 88-2024")</f>
        <v/>
      </c>
      <c r="W429">
        <f>HYPERLINK("https://klasma.github.io/Logging_0380/klagomålsmail/A 88-2024 FSC-klagomål mail.docx", "A 88-2024")</f>
        <v/>
      </c>
      <c r="X429">
        <f>HYPERLINK("https://klasma.github.io/Logging_0380/tillsyn/A 88-2024 tillsynsbegäran.docx", "A 88-2024")</f>
        <v/>
      </c>
      <c r="Y429">
        <f>HYPERLINK("https://klasma.github.io/Logging_0380/tillsynsmail/A 88-2024 tillsynsbegäran mail.docx", "A 88-2024")</f>
        <v/>
      </c>
    </row>
    <row r="430" ht="15" customHeight="1">
      <c r="A430" t="inlineStr">
        <is>
          <t>A 140-2024</t>
        </is>
      </c>
      <c r="B430" s="1" t="n">
        <v>45294</v>
      </c>
      <c r="C430" s="1" t="n">
        <v>45832</v>
      </c>
      <c r="D430" t="inlineStr">
        <is>
          <t>UPPSALA LÄN</t>
        </is>
      </c>
      <c r="E430" t="inlineStr">
        <is>
          <t>TIERP</t>
        </is>
      </c>
      <c r="G430" t="n">
        <v>2.9</v>
      </c>
      <c r="H430" t="n">
        <v>2</v>
      </c>
      <c r="I430" t="n">
        <v>0</v>
      </c>
      <c r="J430" t="n">
        <v>2</v>
      </c>
      <c r="K430" t="n">
        <v>0</v>
      </c>
      <c r="L430" t="n">
        <v>0</v>
      </c>
      <c r="M430" t="n">
        <v>0</v>
      </c>
      <c r="N430" t="n">
        <v>0</v>
      </c>
      <c r="O430" t="n">
        <v>2</v>
      </c>
      <c r="P430" t="n">
        <v>0</v>
      </c>
      <c r="Q430" t="n">
        <v>2</v>
      </c>
      <c r="R430" s="2" t="inlineStr">
        <is>
          <t>Gulsparv
Ärtsångare</t>
        </is>
      </c>
      <c r="S430">
        <f>HYPERLINK("https://klasma.github.io/Logging_0360/artfynd/A 140-2024 artfynd.xlsx", "A 140-2024")</f>
        <v/>
      </c>
      <c r="T430">
        <f>HYPERLINK("https://klasma.github.io/Logging_0360/kartor/A 140-2024 karta.png", "A 140-2024")</f>
        <v/>
      </c>
      <c r="V430">
        <f>HYPERLINK("https://klasma.github.io/Logging_0360/klagomål/A 140-2024 FSC-klagomål.docx", "A 140-2024")</f>
        <v/>
      </c>
      <c r="W430">
        <f>HYPERLINK("https://klasma.github.io/Logging_0360/klagomålsmail/A 140-2024 FSC-klagomål mail.docx", "A 140-2024")</f>
        <v/>
      </c>
      <c r="X430">
        <f>HYPERLINK("https://klasma.github.io/Logging_0360/tillsyn/A 140-2024 tillsynsbegäran.docx", "A 140-2024")</f>
        <v/>
      </c>
      <c r="Y430">
        <f>HYPERLINK("https://klasma.github.io/Logging_0360/tillsynsmail/A 140-2024 tillsynsbegäran mail.docx", "A 140-2024")</f>
        <v/>
      </c>
      <c r="Z430">
        <f>HYPERLINK("https://klasma.github.io/Logging_0360/fåglar/A 140-2024 prioriterade fågelarter.docx", "A 140-2024")</f>
        <v/>
      </c>
    </row>
    <row r="431" ht="15" customHeight="1">
      <c r="A431" t="inlineStr">
        <is>
          <t>A 425-2024</t>
        </is>
      </c>
      <c r="B431" s="1" t="n">
        <v>45296</v>
      </c>
      <c r="C431" s="1" t="n">
        <v>45832</v>
      </c>
      <c r="D431" t="inlineStr">
        <is>
          <t>UPPSALA LÄN</t>
        </is>
      </c>
      <c r="E431" t="inlineStr">
        <is>
          <t>ENKÖPING</t>
        </is>
      </c>
      <c r="G431" t="n">
        <v>8.300000000000001</v>
      </c>
      <c r="H431" t="n">
        <v>2</v>
      </c>
      <c r="I431" t="n">
        <v>0</v>
      </c>
      <c r="J431" t="n">
        <v>0</v>
      </c>
      <c r="K431" t="n">
        <v>0</v>
      </c>
      <c r="L431" t="n">
        <v>0</v>
      </c>
      <c r="M431" t="n">
        <v>0</v>
      </c>
      <c r="N431" t="n">
        <v>0</v>
      </c>
      <c r="O431" t="n">
        <v>0</v>
      </c>
      <c r="P431" t="n">
        <v>0</v>
      </c>
      <c r="Q431" t="n">
        <v>2</v>
      </c>
      <c r="R431" s="2" t="inlineStr">
        <is>
          <t>Grönsiska
Orre</t>
        </is>
      </c>
      <c r="S431">
        <f>HYPERLINK("https://klasma.github.io/Logging_0381/artfynd/A 425-2024 artfynd.xlsx", "A 425-2024")</f>
        <v/>
      </c>
      <c r="T431">
        <f>HYPERLINK("https://klasma.github.io/Logging_0381/kartor/A 425-2024 karta.png", "A 425-2024")</f>
        <v/>
      </c>
      <c r="V431">
        <f>HYPERLINK("https://klasma.github.io/Logging_0381/klagomål/A 425-2024 FSC-klagomål.docx", "A 425-2024")</f>
        <v/>
      </c>
      <c r="W431">
        <f>HYPERLINK("https://klasma.github.io/Logging_0381/klagomålsmail/A 425-2024 FSC-klagomål mail.docx", "A 425-2024")</f>
        <v/>
      </c>
      <c r="X431">
        <f>HYPERLINK("https://klasma.github.io/Logging_0381/tillsyn/A 425-2024 tillsynsbegäran.docx", "A 425-2024")</f>
        <v/>
      </c>
      <c r="Y431">
        <f>HYPERLINK("https://klasma.github.io/Logging_0381/tillsynsmail/A 425-2024 tillsynsbegäran mail.docx", "A 425-2024")</f>
        <v/>
      </c>
      <c r="Z431">
        <f>HYPERLINK("https://klasma.github.io/Logging_0381/fåglar/A 425-2024 prioriterade fågelarter.docx", "A 425-2024")</f>
        <v/>
      </c>
    </row>
    <row r="432" ht="15" customHeight="1">
      <c r="A432" t="inlineStr">
        <is>
          <t>A 2554-2024</t>
        </is>
      </c>
      <c r="B432" s="1" t="n">
        <v>45313</v>
      </c>
      <c r="C432" s="1" t="n">
        <v>45832</v>
      </c>
      <c r="D432" t="inlineStr">
        <is>
          <t>UPPSALA LÄN</t>
        </is>
      </c>
      <c r="E432" t="inlineStr">
        <is>
          <t>HEBY</t>
        </is>
      </c>
      <c r="G432" t="n">
        <v>2.4</v>
      </c>
      <c r="H432" t="n">
        <v>1</v>
      </c>
      <c r="I432" t="n">
        <v>0</v>
      </c>
      <c r="J432" t="n">
        <v>1</v>
      </c>
      <c r="K432" t="n">
        <v>1</v>
      </c>
      <c r="L432" t="n">
        <v>0</v>
      </c>
      <c r="M432" t="n">
        <v>0</v>
      </c>
      <c r="N432" t="n">
        <v>0</v>
      </c>
      <c r="O432" t="n">
        <v>2</v>
      </c>
      <c r="P432" t="n">
        <v>1</v>
      </c>
      <c r="Q432" t="n">
        <v>2</v>
      </c>
      <c r="R432" s="2" t="inlineStr">
        <is>
          <t>Knärot
Motaggsvamp</t>
        </is>
      </c>
      <c r="S432">
        <f>HYPERLINK("https://klasma.github.io/Logging_0331/artfynd/A 2554-2024 artfynd.xlsx", "A 2554-2024")</f>
        <v/>
      </c>
      <c r="T432">
        <f>HYPERLINK("https://klasma.github.io/Logging_0331/kartor/A 2554-2024 karta.png", "A 2554-2024")</f>
        <v/>
      </c>
      <c r="U432">
        <f>HYPERLINK("https://klasma.github.io/Logging_0331/knärot/A 2554-2024 karta knärot.png", "A 2554-2024")</f>
        <v/>
      </c>
      <c r="V432">
        <f>HYPERLINK("https://klasma.github.io/Logging_0331/klagomål/A 2554-2024 FSC-klagomål.docx", "A 2554-2024")</f>
        <v/>
      </c>
      <c r="W432">
        <f>HYPERLINK("https://klasma.github.io/Logging_0331/klagomålsmail/A 2554-2024 FSC-klagomål mail.docx", "A 2554-2024")</f>
        <v/>
      </c>
      <c r="X432">
        <f>HYPERLINK("https://klasma.github.io/Logging_0331/tillsyn/A 2554-2024 tillsynsbegäran.docx", "A 2554-2024")</f>
        <v/>
      </c>
      <c r="Y432">
        <f>HYPERLINK("https://klasma.github.io/Logging_0331/tillsynsmail/A 2554-2024 tillsynsbegäran mail.docx", "A 2554-2024")</f>
        <v/>
      </c>
    </row>
    <row r="433" ht="15" customHeight="1">
      <c r="A433" t="inlineStr">
        <is>
          <t>A 5185-2024</t>
        </is>
      </c>
      <c r="B433" s="1" t="n">
        <v>45330</v>
      </c>
      <c r="C433" s="1" t="n">
        <v>45832</v>
      </c>
      <c r="D433" t="inlineStr">
        <is>
          <t>UPPSALA LÄN</t>
        </is>
      </c>
      <c r="E433" t="inlineStr">
        <is>
          <t>UPPSALA</t>
        </is>
      </c>
      <c r="F433" t="inlineStr">
        <is>
          <t>Övriga Aktiebolag</t>
        </is>
      </c>
      <c r="G433" t="n">
        <v>13.1</v>
      </c>
      <c r="H433" t="n">
        <v>0</v>
      </c>
      <c r="I433" t="n">
        <v>1</v>
      </c>
      <c r="J433" t="n">
        <v>1</v>
      </c>
      <c r="K433" t="n">
        <v>0</v>
      </c>
      <c r="L433" t="n">
        <v>0</v>
      </c>
      <c r="M433" t="n">
        <v>0</v>
      </c>
      <c r="N433" t="n">
        <v>0</v>
      </c>
      <c r="O433" t="n">
        <v>1</v>
      </c>
      <c r="P433" t="n">
        <v>0</v>
      </c>
      <c r="Q433" t="n">
        <v>2</v>
      </c>
      <c r="R433" s="2" t="inlineStr">
        <is>
          <t>Skogsklocka
Sotlav</t>
        </is>
      </c>
      <c r="S433">
        <f>HYPERLINK("https://klasma.github.io/Logging_0380/artfynd/A 5185-2024 artfynd.xlsx", "A 5185-2024")</f>
        <v/>
      </c>
      <c r="T433">
        <f>HYPERLINK("https://klasma.github.io/Logging_0380/kartor/A 5185-2024 karta.png", "A 5185-2024")</f>
        <v/>
      </c>
      <c r="V433">
        <f>HYPERLINK("https://klasma.github.io/Logging_0380/klagomål/A 5185-2024 FSC-klagomål.docx", "A 5185-2024")</f>
        <v/>
      </c>
      <c r="W433">
        <f>HYPERLINK("https://klasma.github.io/Logging_0380/klagomålsmail/A 5185-2024 FSC-klagomål mail.docx", "A 5185-2024")</f>
        <v/>
      </c>
      <c r="X433">
        <f>HYPERLINK("https://klasma.github.io/Logging_0380/tillsyn/A 5185-2024 tillsynsbegäran.docx", "A 5185-2024")</f>
        <v/>
      </c>
      <c r="Y433">
        <f>HYPERLINK("https://klasma.github.io/Logging_0380/tillsynsmail/A 5185-2024 tillsynsbegäran mail.docx", "A 5185-2024")</f>
        <v/>
      </c>
    </row>
    <row r="434" ht="15" customHeight="1">
      <c r="A434" t="inlineStr">
        <is>
          <t>A 9646-2024</t>
        </is>
      </c>
      <c r="B434" s="1" t="n">
        <v>45362</v>
      </c>
      <c r="C434" s="1" t="n">
        <v>45832</v>
      </c>
      <c r="D434" t="inlineStr">
        <is>
          <t>UPPSALA LÄN</t>
        </is>
      </c>
      <c r="E434" t="inlineStr">
        <is>
          <t>ÖSTHAMMAR</t>
        </is>
      </c>
      <c r="G434" t="n">
        <v>1.6</v>
      </c>
      <c r="H434" t="n">
        <v>0</v>
      </c>
      <c r="I434" t="n">
        <v>0</v>
      </c>
      <c r="J434" t="n">
        <v>1</v>
      </c>
      <c r="K434" t="n">
        <v>1</v>
      </c>
      <c r="L434" t="n">
        <v>0</v>
      </c>
      <c r="M434" t="n">
        <v>0</v>
      </c>
      <c r="N434" t="n">
        <v>0</v>
      </c>
      <c r="O434" t="n">
        <v>2</v>
      </c>
      <c r="P434" t="n">
        <v>1</v>
      </c>
      <c r="Q434" t="n">
        <v>2</v>
      </c>
      <c r="R434" s="2" t="inlineStr">
        <is>
          <t>Violgubbe
Gultoppig fingersvamp</t>
        </is>
      </c>
      <c r="S434">
        <f>HYPERLINK("https://klasma.github.io/Logging_0382/artfynd/A 9646-2024 artfynd.xlsx", "A 9646-2024")</f>
        <v/>
      </c>
      <c r="T434">
        <f>HYPERLINK("https://klasma.github.io/Logging_0382/kartor/A 9646-2024 karta.png", "A 9646-2024")</f>
        <v/>
      </c>
      <c r="V434">
        <f>HYPERLINK("https://klasma.github.io/Logging_0382/klagomål/A 9646-2024 FSC-klagomål.docx", "A 9646-2024")</f>
        <v/>
      </c>
      <c r="W434">
        <f>HYPERLINK("https://klasma.github.io/Logging_0382/klagomålsmail/A 9646-2024 FSC-klagomål mail.docx", "A 9646-2024")</f>
        <v/>
      </c>
      <c r="X434">
        <f>HYPERLINK("https://klasma.github.io/Logging_0382/tillsyn/A 9646-2024 tillsynsbegäran.docx", "A 9646-2024")</f>
        <v/>
      </c>
      <c r="Y434">
        <f>HYPERLINK("https://klasma.github.io/Logging_0382/tillsynsmail/A 9646-2024 tillsynsbegäran mail.docx", "A 9646-2024")</f>
        <v/>
      </c>
    </row>
    <row r="435" ht="15" customHeight="1">
      <c r="A435" t="inlineStr">
        <is>
          <t>A 11230-2024</t>
        </is>
      </c>
      <c r="B435" s="1" t="n">
        <v>45371</v>
      </c>
      <c r="C435" s="1" t="n">
        <v>45832</v>
      </c>
      <c r="D435" t="inlineStr">
        <is>
          <t>UPPSALA LÄN</t>
        </is>
      </c>
      <c r="E435" t="inlineStr">
        <is>
          <t>UPPSALA</t>
        </is>
      </c>
      <c r="F435" t="inlineStr">
        <is>
          <t>Kommuner</t>
        </is>
      </c>
      <c r="G435" t="n">
        <v>2.1</v>
      </c>
      <c r="H435" t="n">
        <v>0</v>
      </c>
      <c r="I435" t="n">
        <v>1</v>
      </c>
      <c r="J435" t="n">
        <v>1</v>
      </c>
      <c r="K435" t="n">
        <v>0</v>
      </c>
      <c r="L435" t="n">
        <v>0</v>
      </c>
      <c r="M435" t="n">
        <v>0</v>
      </c>
      <c r="N435" t="n">
        <v>0</v>
      </c>
      <c r="O435" t="n">
        <v>1</v>
      </c>
      <c r="P435" t="n">
        <v>0</v>
      </c>
      <c r="Q435" t="n">
        <v>2</v>
      </c>
      <c r="R435" s="2" t="inlineStr">
        <is>
          <t>Tallticka
Fällmossa</t>
        </is>
      </c>
      <c r="S435">
        <f>HYPERLINK("https://klasma.github.io/Logging_0380/artfynd/A 11230-2024 artfynd.xlsx", "A 11230-2024")</f>
        <v/>
      </c>
      <c r="T435">
        <f>HYPERLINK("https://klasma.github.io/Logging_0380/kartor/A 11230-2024 karta.png", "A 11230-2024")</f>
        <v/>
      </c>
      <c r="V435">
        <f>HYPERLINK("https://klasma.github.io/Logging_0380/klagomål/A 11230-2024 FSC-klagomål.docx", "A 11230-2024")</f>
        <v/>
      </c>
      <c r="W435">
        <f>HYPERLINK("https://klasma.github.io/Logging_0380/klagomålsmail/A 11230-2024 FSC-klagomål mail.docx", "A 11230-2024")</f>
        <v/>
      </c>
      <c r="X435">
        <f>HYPERLINK("https://klasma.github.io/Logging_0380/tillsyn/A 11230-2024 tillsynsbegäran.docx", "A 11230-2024")</f>
        <v/>
      </c>
      <c r="Y435">
        <f>HYPERLINK("https://klasma.github.io/Logging_0380/tillsynsmail/A 11230-2024 tillsynsbegäran mail.docx", "A 11230-2024")</f>
        <v/>
      </c>
    </row>
    <row r="436" ht="15" customHeight="1">
      <c r="A436" t="inlineStr">
        <is>
          <t>A 11224-2024</t>
        </is>
      </c>
      <c r="B436" s="1" t="n">
        <v>45371</v>
      </c>
      <c r="C436" s="1" t="n">
        <v>45832</v>
      </c>
      <c r="D436" t="inlineStr">
        <is>
          <t>UPPSALA LÄN</t>
        </is>
      </c>
      <c r="E436" t="inlineStr">
        <is>
          <t>UPPSALA</t>
        </is>
      </c>
      <c r="F436" t="inlineStr">
        <is>
          <t>Kommuner</t>
        </is>
      </c>
      <c r="G436" t="n">
        <v>1.6</v>
      </c>
      <c r="H436" t="n">
        <v>2</v>
      </c>
      <c r="I436" t="n">
        <v>0</v>
      </c>
      <c r="J436" t="n">
        <v>0</v>
      </c>
      <c r="K436" t="n">
        <v>0</v>
      </c>
      <c r="L436" t="n">
        <v>0</v>
      </c>
      <c r="M436" t="n">
        <v>0</v>
      </c>
      <c r="N436" t="n">
        <v>0</v>
      </c>
      <c r="O436" t="n">
        <v>0</v>
      </c>
      <c r="P436" t="n">
        <v>0</v>
      </c>
      <c r="Q436" t="n">
        <v>2</v>
      </c>
      <c r="R436" s="2" t="inlineStr">
        <is>
          <t>Vanlig padda
Blåsippa</t>
        </is>
      </c>
      <c r="S436">
        <f>HYPERLINK("https://klasma.github.io/Logging_0380/artfynd/A 11224-2024 artfynd.xlsx", "A 11224-2024")</f>
        <v/>
      </c>
      <c r="T436">
        <f>HYPERLINK("https://klasma.github.io/Logging_0380/kartor/A 11224-2024 karta.png", "A 11224-2024")</f>
        <v/>
      </c>
      <c r="V436">
        <f>HYPERLINK("https://klasma.github.io/Logging_0380/klagomål/A 11224-2024 FSC-klagomål.docx", "A 11224-2024")</f>
        <v/>
      </c>
      <c r="W436">
        <f>HYPERLINK("https://klasma.github.io/Logging_0380/klagomålsmail/A 11224-2024 FSC-klagomål mail.docx", "A 11224-2024")</f>
        <v/>
      </c>
      <c r="X436">
        <f>HYPERLINK("https://klasma.github.io/Logging_0380/tillsyn/A 11224-2024 tillsynsbegäran.docx", "A 11224-2024")</f>
        <v/>
      </c>
      <c r="Y436">
        <f>HYPERLINK("https://klasma.github.io/Logging_0380/tillsynsmail/A 11224-2024 tillsynsbegäran mail.docx", "A 11224-2024")</f>
        <v/>
      </c>
    </row>
    <row r="437" ht="15" customHeight="1">
      <c r="A437" t="inlineStr">
        <is>
          <t>A 11449-2024</t>
        </is>
      </c>
      <c r="B437" s="1" t="n">
        <v>45372</v>
      </c>
      <c r="C437" s="1" t="n">
        <v>45832</v>
      </c>
      <c r="D437" t="inlineStr">
        <is>
          <t>UPPSALA LÄN</t>
        </is>
      </c>
      <c r="E437" t="inlineStr">
        <is>
          <t>TIERP</t>
        </is>
      </c>
      <c r="G437" t="n">
        <v>1.9</v>
      </c>
      <c r="H437" t="n">
        <v>0</v>
      </c>
      <c r="I437" t="n">
        <v>1</v>
      </c>
      <c r="J437" t="n">
        <v>1</v>
      </c>
      <c r="K437" t="n">
        <v>0</v>
      </c>
      <c r="L437" t="n">
        <v>0</v>
      </c>
      <c r="M437" t="n">
        <v>0</v>
      </c>
      <c r="N437" t="n">
        <v>0</v>
      </c>
      <c r="O437" t="n">
        <v>1</v>
      </c>
      <c r="P437" t="n">
        <v>0</v>
      </c>
      <c r="Q437" t="n">
        <v>2</v>
      </c>
      <c r="R437" s="2" t="inlineStr">
        <is>
          <t>Blek fingersvamp
Rödgul trumpetsvamp</t>
        </is>
      </c>
      <c r="S437">
        <f>HYPERLINK("https://klasma.github.io/Logging_0360/artfynd/A 11449-2024 artfynd.xlsx", "A 11449-2024")</f>
        <v/>
      </c>
      <c r="T437">
        <f>HYPERLINK("https://klasma.github.io/Logging_0360/kartor/A 11449-2024 karta.png", "A 11449-2024")</f>
        <v/>
      </c>
      <c r="V437">
        <f>HYPERLINK("https://klasma.github.io/Logging_0360/klagomål/A 11449-2024 FSC-klagomål.docx", "A 11449-2024")</f>
        <v/>
      </c>
      <c r="W437">
        <f>HYPERLINK("https://klasma.github.io/Logging_0360/klagomålsmail/A 11449-2024 FSC-klagomål mail.docx", "A 11449-2024")</f>
        <v/>
      </c>
      <c r="X437">
        <f>HYPERLINK("https://klasma.github.io/Logging_0360/tillsyn/A 11449-2024 tillsynsbegäran.docx", "A 11449-2024")</f>
        <v/>
      </c>
      <c r="Y437">
        <f>HYPERLINK("https://klasma.github.io/Logging_0360/tillsynsmail/A 11449-2024 tillsynsbegäran mail.docx", "A 11449-2024")</f>
        <v/>
      </c>
    </row>
    <row r="438" ht="15" customHeight="1">
      <c r="A438" t="inlineStr">
        <is>
          <t>A 11695-2024</t>
        </is>
      </c>
      <c r="B438" s="1" t="n">
        <v>45373</v>
      </c>
      <c r="C438" s="1" t="n">
        <v>45832</v>
      </c>
      <c r="D438" t="inlineStr">
        <is>
          <t>UPPSALA LÄN</t>
        </is>
      </c>
      <c r="E438" t="inlineStr">
        <is>
          <t>ÖSTHAMMAR</t>
        </is>
      </c>
      <c r="G438" t="n">
        <v>2</v>
      </c>
      <c r="H438" t="n">
        <v>0</v>
      </c>
      <c r="I438" t="n">
        <v>2</v>
      </c>
      <c r="J438" t="n">
        <v>0</v>
      </c>
      <c r="K438" t="n">
        <v>0</v>
      </c>
      <c r="L438" t="n">
        <v>0</v>
      </c>
      <c r="M438" t="n">
        <v>0</v>
      </c>
      <c r="N438" t="n">
        <v>0</v>
      </c>
      <c r="O438" t="n">
        <v>0</v>
      </c>
      <c r="P438" t="n">
        <v>0</v>
      </c>
      <c r="Q438" t="n">
        <v>2</v>
      </c>
      <c r="R438" s="2" t="inlineStr">
        <is>
          <t>Blåmossa
Fjällig taggsvamp s.str.</t>
        </is>
      </c>
      <c r="S438">
        <f>HYPERLINK("https://klasma.github.io/Logging_0382/artfynd/A 11695-2024 artfynd.xlsx", "A 11695-2024")</f>
        <v/>
      </c>
      <c r="T438">
        <f>HYPERLINK("https://klasma.github.io/Logging_0382/kartor/A 11695-2024 karta.png", "A 11695-2024")</f>
        <v/>
      </c>
      <c r="V438">
        <f>HYPERLINK("https://klasma.github.io/Logging_0382/klagomål/A 11695-2024 FSC-klagomål.docx", "A 11695-2024")</f>
        <v/>
      </c>
      <c r="W438">
        <f>HYPERLINK("https://klasma.github.io/Logging_0382/klagomålsmail/A 11695-2024 FSC-klagomål mail.docx", "A 11695-2024")</f>
        <v/>
      </c>
      <c r="X438">
        <f>HYPERLINK("https://klasma.github.io/Logging_0382/tillsyn/A 11695-2024 tillsynsbegäran.docx", "A 11695-2024")</f>
        <v/>
      </c>
      <c r="Y438">
        <f>HYPERLINK("https://klasma.github.io/Logging_0382/tillsynsmail/A 11695-2024 tillsynsbegäran mail.docx", "A 11695-2024")</f>
        <v/>
      </c>
    </row>
    <row r="439" ht="15" customHeight="1">
      <c r="A439" t="inlineStr">
        <is>
          <t>A 12039-2024</t>
        </is>
      </c>
      <c r="B439" s="1" t="n">
        <v>45377</v>
      </c>
      <c r="C439" s="1" t="n">
        <v>45832</v>
      </c>
      <c r="D439" t="inlineStr">
        <is>
          <t>UPPSALA LÄN</t>
        </is>
      </c>
      <c r="E439" t="inlineStr">
        <is>
          <t>UPPSALA</t>
        </is>
      </c>
      <c r="F439" t="inlineStr">
        <is>
          <t>Allmännings- och besparingsskogar</t>
        </is>
      </c>
      <c r="G439" t="n">
        <v>3.9</v>
      </c>
      <c r="H439" t="n">
        <v>1</v>
      </c>
      <c r="I439" t="n">
        <v>1</v>
      </c>
      <c r="J439" t="n">
        <v>1</v>
      </c>
      <c r="K439" t="n">
        <v>0</v>
      </c>
      <c r="L439" t="n">
        <v>0</v>
      </c>
      <c r="M439" t="n">
        <v>0</v>
      </c>
      <c r="N439" t="n">
        <v>0</v>
      </c>
      <c r="O439" t="n">
        <v>1</v>
      </c>
      <c r="P439" t="n">
        <v>0</v>
      </c>
      <c r="Q439" t="n">
        <v>2</v>
      </c>
      <c r="R439" s="2" t="inlineStr">
        <is>
          <t>Platt spretmossa
Grön sköldmossa</t>
        </is>
      </c>
      <c r="S439">
        <f>HYPERLINK("https://klasma.github.io/Logging_0380/artfynd/A 12039-2024 artfynd.xlsx", "A 12039-2024")</f>
        <v/>
      </c>
      <c r="T439">
        <f>HYPERLINK("https://klasma.github.io/Logging_0380/kartor/A 12039-2024 karta.png", "A 12039-2024")</f>
        <v/>
      </c>
      <c r="V439">
        <f>HYPERLINK("https://klasma.github.io/Logging_0380/klagomål/A 12039-2024 FSC-klagomål.docx", "A 12039-2024")</f>
        <v/>
      </c>
      <c r="W439">
        <f>HYPERLINK("https://klasma.github.io/Logging_0380/klagomålsmail/A 12039-2024 FSC-klagomål mail.docx", "A 12039-2024")</f>
        <v/>
      </c>
      <c r="X439">
        <f>HYPERLINK("https://klasma.github.io/Logging_0380/tillsyn/A 12039-2024 tillsynsbegäran.docx", "A 12039-2024")</f>
        <v/>
      </c>
      <c r="Y439">
        <f>HYPERLINK("https://klasma.github.io/Logging_0380/tillsynsmail/A 12039-2024 tillsynsbegäran mail.docx", "A 12039-2024")</f>
        <v/>
      </c>
    </row>
    <row r="440" ht="15" customHeight="1">
      <c r="A440" t="inlineStr">
        <is>
          <t>A 12971-2024</t>
        </is>
      </c>
      <c r="B440" s="1" t="n">
        <v>45385</v>
      </c>
      <c r="C440" s="1" t="n">
        <v>45832</v>
      </c>
      <c r="D440" t="inlineStr">
        <is>
          <t>UPPSALA LÄN</t>
        </is>
      </c>
      <c r="E440" t="inlineStr">
        <is>
          <t>TIERP</t>
        </is>
      </c>
      <c r="G440" t="n">
        <v>21.4</v>
      </c>
      <c r="H440" t="n">
        <v>2</v>
      </c>
      <c r="I440" t="n">
        <v>0</v>
      </c>
      <c r="J440" t="n">
        <v>2</v>
      </c>
      <c r="K440" t="n">
        <v>0</v>
      </c>
      <c r="L440" t="n">
        <v>0</v>
      </c>
      <c r="M440" t="n">
        <v>0</v>
      </c>
      <c r="N440" t="n">
        <v>0</v>
      </c>
      <c r="O440" t="n">
        <v>2</v>
      </c>
      <c r="P440" t="n">
        <v>0</v>
      </c>
      <c r="Q440" t="n">
        <v>2</v>
      </c>
      <c r="R440" s="2" t="inlineStr">
        <is>
          <t>Entita
Rödvingetrast</t>
        </is>
      </c>
      <c r="S440">
        <f>HYPERLINK("https://klasma.github.io/Logging_0360/artfynd/A 12971-2024 artfynd.xlsx", "A 12971-2024")</f>
        <v/>
      </c>
      <c r="T440">
        <f>HYPERLINK("https://klasma.github.io/Logging_0360/kartor/A 12971-2024 karta.png", "A 12971-2024")</f>
        <v/>
      </c>
      <c r="V440">
        <f>HYPERLINK("https://klasma.github.io/Logging_0360/klagomål/A 12971-2024 FSC-klagomål.docx", "A 12971-2024")</f>
        <v/>
      </c>
      <c r="W440">
        <f>HYPERLINK("https://klasma.github.io/Logging_0360/klagomålsmail/A 12971-2024 FSC-klagomål mail.docx", "A 12971-2024")</f>
        <v/>
      </c>
      <c r="X440">
        <f>HYPERLINK("https://klasma.github.io/Logging_0360/tillsyn/A 12971-2024 tillsynsbegäran.docx", "A 12971-2024")</f>
        <v/>
      </c>
      <c r="Y440">
        <f>HYPERLINK("https://klasma.github.io/Logging_0360/tillsynsmail/A 12971-2024 tillsynsbegäran mail.docx", "A 12971-2024")</f>
        <v/>
      </c>
      <c r="Z440">
        <f>HYPERLINK("https://klasma.github.io/Logging_0360/fåglar/A 12971-2024 prioriterade fågelarter.docx", "A 12971-2024")</f>
        <v/>
      </c>
    </row>
    <row r="441" ht="15" customHeight="1">
      <c r="A441" t="inlineStr">
        <is>
          <t>A 15040-2024</t>
        </is>
      </c>
      <c r="B441" s="1" t="n">
        <v>45399</v>
      </c>
      <c r="C441" s="1" t="n">
        <v>45832</v>
      </c>
      <c r="D441" t="inlineStr">
        <is>
          <t>UPPSALA LÄN</t>
        </is>
      </c>
      <c r="E441" t="inlineStr">
        <is>
          <t>TIERP</t>
        </is>
      </c>
      <c r="G441" t="n">
        <v>7.2</v>
      </c>
      <c r="H441" t="n">
        <v>1</v>
      </c>
      <c r="I441" t="n">
        <v>2</v>
      </c>
      <c r="J441" t="n">
        <v>0</v>
      </c>
      <c r="K441" t="n">
        <v>0</v>
      </c>
      <c r="L441" t="n">
        <v>0</v>
      </c>
      <c r="M441" t="n">
        <v>0</v>
      </c>
      <c r="N441" t="n">
        <v>0</v>
      </c>
      <c r="O441" t="n">
        <v>0</v>
      </c>
      <c r="P441" t="n">
        <v>0</v>
      </c>
      <c r="Q441" t="n">
        <v>2</v>
      </c>
      <c r="R441" s="2" t="inlineStr">
        <is>
          <t>Granbräken
Grönkulla</t>
        </is>
      </c>
      <c r="S441">
        <f>HYPERLINK("https://klasma.github.io/Logging_0360/artfynd/A 15040-2024 artfynd.xlsx", "A 15040-2024")</f>
        <v/>
      </c>
      <c r="T441">
        <f>HYPERLINK("https://klasma.github.io/Logging_0360/kartor/A 15040-2024 karta.png", "A 15040-2024")</f>
        <v/>
      </c>
      <c r="V441">
        <f>HYPERLINK("https://klasma.github.io/Logging_0360/klagomål/A 15040-2024 FSC-klagomål.docx", "A 15040-2024")</f>
        <v/>
      </c>
      <c r="W441">
        <f>HYPERLINK("https://klasma.github.io/Logging_0360/klagomålsmail/A 15040-2024 FSC-klagomål mail.docx", "A 15040-2024")</f>
        <v/>
      </c>
      <c r="X441">
        <f>HYPERLINK("https://klasma.github.io/Logging_0360/tillsyn/A 15040-2024 tillsynsbegäran.docx", "A 15040-2024")</f>
        <v/>
      </c>
      <c r="Y441">
        <f>HYPERLINK("https://klasma.github.io/Logging_0360/tillsynsmail/A 15040-2024 tillsynsbegäran mail.docx", "A 15040-2024")</f>
        <v/>
      </c>
    </row>
    <row r="442" ht="15" customHeight="1">
      <c r="A442" t="inlineStr">
        <is>
          <t>A 18347-2024</t>
        </is>
      </c>
      <c r="B442" s="1" t="n">
        <v>45422</v>
      </c>
      <c r="C442" s="1" t="n">
        <v>45832</v>
      </c>
      <c r="D442" t="inlineStr">
        <is>
          <t>UPPSALA LÄN</t>
        </is>
      </c>
      <c r="E442" t="inlineStr">
        <is>
          <t>UPPSALA</t>
        </is>
      </c>
      <c r="F442" t="inlineStr">
        <is>
          <t>Holmen skog AB</t>
        </is>
      </c>
      <c r="G442" t="n">
        <v>3.5</v>
      </c>
      <c r="H442" t="n">
        <v>1</v>
      </c>
      <c r="I442" t="n">
        <v>1</v>
      </c>
      <c r="J442" t="n">
        <v>0</v>
      </c>
      <c r="K442" t="n">
        <v>0</v>
      </c>
      <c r="L442" t="n">
        <v>0</v>
      </c>
      <c r="M442" t="n">
        <v>0</v>
      </c>
      <c r="N442" t="n">
        <v>0</v>
      </c>
      <c r="O442" t="n">
        <v>0</v>
      </c>
      <c r="P442" t="n">
        <v>0</v>
      </c>
      <c r="Q442" t="n">
        <v>2</v>
      </c>
      <c r="R442" s="2" t="inlineStr">
        <is>
          <t>Fällmossa
Blåsippa</t>
        </is>
      </c>
      <c r="S442">
        <f>HYPERLINK("https://klasma.github.io/Logging_0380/artfynd/A 18347-2024 artfynd.xlsx", "A 18347-2024")</f>
        <v/>
      </c>
      <c r="T442">
        <f>HYPERLINK("https://klasma.github.io/Logging_0380/kartor/A 18347-2024 karta.png", "A 18347-2024")</f>
        <v/>
      </c>
      <c r="V442">
        <f>HYPERLINK("https://klasma.github.io/Logging_0380/klagomål/A 18347-2024 FSC-klagomål.docx", "A 18347-2024")</f>
        <v/>
      </c>
      <c r="W442">
        <f>HYPERLINK("https://klasma.github.io/Logging_0380/klagomålsmail/A 18347-2024 FSC-klagomål mail.docx", "A 18347-2024")</f>
        <v/>
      </c>
      <c r="X442">
        <f>HYPERLINK("https://klasma.github.io/Logging_0380/tillsyn/A 18347-2024 tillsynsbegäran.docx", "A 18347-2024")</f>
        <v/>
      </c>
      <c r="Y442">
        <f>HYPERLINK("https://klasma.github.io/Logging_0380/tillsynsmail/A 18347-2024 tillsynsbegäran mail.docx", "A 18347-2024")</f>
        <v/>
      </c>
    </row>
    <row r="443" ht="15" customHeight="1">
      <c r="A443" t="inlineStr">
        <is>
          <t>A 18539-2024</t>
        </is>
      </c>
      <c r="B443" s="1" t="n">
        <v>45425</v>
      </c>
      <c r="C443" s="1" t="n">
        <v>45832</v>
      </c>
      <c r="D443" t="inlineStr">
        <is>
          <t>UPPSALA LÄN</t>
        </is>
      </c>
      <c r="E443" t="inlineStr">
        <is>
          <t>ÖSTHAMMAR</t>
        </is>
      </c>
      <c r="G443" t="n">
        <v>4.7</v>
      </c>
      <c r="H443" t="n">
        <v>0</v>
      </c>
      <c r="I443" t="n">
        <v>2</v>
      </c>
      <c r="J443" t="n">
        <v>0</v>
      </c>
      <c r="K443" t="n">
        <v>0</v>
      </c>
      <c r="L443" t="n">
        <v>0</v>
      </c>
      <c r="M443" t="n">
        <v>0</v>
      </c>
      <c r="N443" t="n">
        <v>0</v>
      </c>
      <c r="O443" t="n">
        <v>0</v>
      </c>
      <c r="P443" t="n">
        <v>0</v>
      </c>
      <c r="Q443" t="n">
        <v>2</v>
      </c>
      <c r="R443" s="2" t="inlineStr">
        <is>
          <t>Bronshjon
Vågbandad barkbock</t>
        </is>
      </c>
      <c r="S443">
        <f>HYPERLINK("https://klasma.github.io/Logging_0382/artfynd/A 18539-2024 artfynd.xlsx", "A 18539-2024")</f>
        <v/>
      </c>
      <c r="T443">
        <f>HYPERLINK("https://klasma.github.io/Logging_0382/kartor/A 18539-2024 karta.png", "A 18539-2024")</f>
        <v/>
      </c>
      <c r="V443">
        <f>HYPERLINK("https://klasma.github.io/Logging_0382/klagomål/A 18539-2024 FSC-klagomål.docx", "A 18539-2024")</f>
        <v/>
      </c>
      <c r="W443">
        <f>HYPERLINK("https://klasma.github.io/Logging_0382/klagomålsmail/A 18539-2024 FSC-klagomål mail.docx", "A 18539-2024")</f>
        <v/>
      </c>
      <c r="X443">
        <f>HYPERLINK("https://klasma.github.io/Logging_0382/tillsyn/A 18539-2024 tillsynsbegäran.docx", "A 18539-2024")</f>
        <v/>
      </c>
      <c r="Y443">
        <f>HYPERLINK("https://klasma.github.io/Logging_0382/tillsynsmail/A 18539-2024 tillsynsbegäran mail.docx", "A 18539-2024")</f>
        <v/>
      </c>
    </row>
    <row r="444" ht="15" customHeight="1">
      <c r="A444" t="inlineStr">
        <is>
          <t>A 20710-2024</t>
        </is>
      </c>
      <c r="B444" s="1" t="n">
        <v>45436</v>
      </c>
      <c r="C444" s="1" t="n">
        <v>45832</v>
      </c>
      <c r="D444" t="inlineStr">
        <is>
          <t>UPPSALA LÄN</t>
        </is>
      </c>
      <c r="E444" t="inlineStr">
        <is>
          <t>TIERP</t>
        </is>
      </c>
      <c r="F444" t="inlineStr">
        <is>
          <t>Bergvik skog öst AB</t>
        </is>
      </c>
      <c r="G444" t="n">
        <v>21.4</v>
      </c>
      <c r="H444" t="n">
        <v>1</v>
      </c>
      <c r="I444" t="n">
        <v>1</v>
      </c>
      <c r="J444" t="n">
        <v>0</v>
      </c>
      <c r="K444" t="n">
        <v>0</v>
      </c>
      <c r="L444" t="n">
        <v>0</v>
      </c>
      <c r="M444" t="n">
        <v>0</v>
      </c>
      <c r="N444" t="n">
        <v>0</v>
      </c>
      <c r="O444" t="n">
        <v>0</v>
      </c>
      <c r="P444" t="n">
        <v>0</v>
      </c>
      <c r="Q444" t="n">
        <v>2</v>
      </c>
      <c r="R444" s="2" t="inlineStr">
        <is>
          <t>Underviol
Gullviva</t>
        </is>
      </c>
      <c r="S444">
        <f>HYPERLINK("https://klasma.github.io/Logging_0360/artfynd/A 20710-2024 artfynd.xlsx", "A 20710-2024")</f>
        <v/>
      </c>
      <c r="T444">
        <f>HYPERLINK("https://klasma.github.io/Logging_0360/kartor/A 20710-2024 karta.png", "A 20710-2024")</f>
        <v/>
      </c>
      <c r="V444">
        <f>HYPERLINK("https://klasma.github.io/Logging_0360/klagomål/A 20710-2024 FSC-klagomål.docx", "A 20710-2024")</f>
        <v/>
      </c>
      <c r="W444">
        <f>HYPERLINK("https://klasma.github.io/Logging_0360/klagomålsmail/A 20710-2024 FSC-klagomål mail.docx", "A 20710-2024")</f>
        <v/>
      </c>
      <c r="X444">
        <f>HYPERLINK("https://klasma.github.io/Logging_0360/tillsyn/A 20710-2024 tillsynsbegäran.docx", "A 20710-2024")</f>
        <v/>
      </c>
      <c r="Y444">
        <f>HYPERLINK("https://klasma.github.io/Logging_0360/tillsynsmail/A 20710-2024 tillsynsbegäran mail.docx", "A 20710-2024")</f>
        <v/>
      </c>
    </row>
    <row r="445" ht="15" customHeight="1">
      <c r="A445" t="inlineStr">
        <is>
          <t>A 22529-2024</t>
        </is>
      </c>
      <c r="B445" s="1" t="n">
        <v>45447</v>
      </c>
      <c r="C445" s="1" t="n">
        <v>45832</v>
      </c>
      <c r="D445" t="inlineStr">
        <is>
          <t>UPPSALA LÄN</t>
        </is>
      </c>
      <c r="E445" t="inlineStr">
        <is>
          <t>KNIVSTA</t>
        </is>
      </c>
      <c r="G445" t="n">
        <v>13.7</v>
      </c>
      <c r="H445" t="n">
        <v>2</v>
      </c>
      <c r="I445" t="n">
        <v>0</v>
      </c>
      <c r="J445" t="n">
        <v>0</v>
      </c>
      <c r="K445" t="n">
        <v>0</v>
      </c>
      <c r="L445" t="n">
        <v>0</v>
      </c>
      <c r="M445" t="n">
        <v>0</v>
      </c>
      <c r="N445" t="n">
        <v>0</v>
      </c>
      <c r="O445" t="n">
        <v>0</v>
      </c>
      <c r="P445" t="n">
        <v>0</v>
      </c>
      <c r="Q445" t="n">
        <v>2</v>
      </c>
      <c r="R445" s="2" t="inlineStr">
        <is>
          <t>Fläcknycklar
Revlummer</t>
        </is>
      </c>
      <c r="S445">
        <f>HYPERLINK("https://klasma.github.io/Logging_0330/artfynd/A 22529-2024 artfynd.xlsx", "A 22529-2024")</f>
        <v/>
      </c>
      <c r="T445">
        <f>HYPERLINK("https://klasma.github.io/Logging_0330/kartor/A 22529-2024 karta.png", "A 22529-2024")</f>
        <v/>
      </c>
      <c r="V445">
        <f>HYPERLINK("https://klasma.github.io/Logging_0330/klagomål/A 22529-2024 FSC-klagomål.docx", "A 22529-2024")</f>
        <v/>
      </c>
      <c r="W445">
        <f>HYPERLINK("https://klasma.github.io/Logging_0330/klagomålsmail/A 22529-2024 FSC-klagomål mail.docx", "A 22529-2024")</f>
        <v/>
      </c>
      <c r="X445">
        <f>HYPERLINK("https://klasma.github.io/Logging_0330/tillsyn/A 22529-2024 tillsynsbegäran.docx", "A 22529-2024")</f>
        <v/>
      </c>
      <c r="Y445">
        <f>HYPERLINK("https://klasma.github.io/Logging_0330/tillsynsmail/A 22529-2024 tillsynsbegäran mail.docx", "A 22529-2024")</f>
        <v/>
      </c>
    </row>
    <row r="446" ht="15" customHeight="1">
      <c r="A446" t="inlineStr">
        <is>
          <t>A 24323-2024</t>
        </is>
      </c>
      <c r="B446" s="1" t="n">
        <v>45457</v>
      </c>
      <c r="C446" s="1" t="n">
        <v>45832</v>
      </c>
      <c r="D446" t="inlineStr">
        <is>
          <t>UPPSALA LÄN</t>
        </is>
      </c>
      <c r="E446" t="inlineStr">
        <is>
          <t>ENKÖPING</t>
        </is>
      </c>
      <c r="G446" t="n">
        <v>6.3</v>
      </c>
      <c r="H446" t="n">
        <v>2</v>
      </c>
      <c r="I446" t="n">
        <v>0</v>
      </c>
      <c r="J446" t="n">
        <v>1</v>
      </c>
      <c r="K446" t="n">
        <v>0</v>
      </c>
      <c r="L446" t="n">
        <v>0</v>
      </c>
      <c r="M446" t="n">
        <v>0</v>
      </c>
      <c r="N446" t="n">
        <v>0</v>
      </c>
      <c r="O446" t="n">
        <v>1</v>
      </c>
      <c r="P446" t="n">
        <v>0</v>
      </c>
      <c r="Q446" t="n">
        <v>2</v>
      </c>
      <c r="R446" s="2" t="inlineStr">
        <is>
          <t>Spillkråka
Mattlummer</t>
        </is>
      </c>
      <c r="S446">
        <f>HYPERLINK("https://klasma.github.io/Logging_0381/artfynd/A 24323-2024 artfynd.xlsx", "A 24323-2024")</f>
        <v/>
      </c>
      <c r="T446">
        <f>HYPERLINK("https://klasma.github.io/Logging_0381/kartor/A 24323-2024 karta.png", "A 24323-2024")</f>
        <v/>
      </c>
      <c r="V446">
        <f>HYPERLINK("https://klasma.github.io/Logging_0381/klagomål/A 24323-2024 FSC-klagomål.docx", "A 24323-2024")</f>
        <v/>
      </c>
      <c r="W446">
        <f>HYPERLINK("https://klasma.github.io/Logging_0381/klagomålsmail/A 24323-2024 FSC-klagomål mail.docx", "A 24323-2024")</f>
        <v/>
      </c>
      <c r="X446">
        <f>HYPERLINK("https://klasma.github.io/Logging_0381/tillsyn/A 24323-2024 tillsynsbegäran.docx", "A 24323-2024")</f>
        <v/>
      </c>
      <c r="Y446">
        <f>HYPERLINK("https://klasma.github.io/Logging_0381/tillsynsmail/A 24323-2024 tillsynsbegäran mail.docx", "A 24323-2024")</f>
        <v/>
      </c>
      <c r="Z446">
        <f>HYPERLINK("https://klasma.github.io/Logging_0381/fåglar/A 24323-2024 prioriterade fågelarter.docx", "A 24323-2024")</f>
        <v/>
      </c>
    </row>
    <row r="447" ht="15" customHeight="1">
      <c r="A447" t="inlineStr">
        <is>
          <t>A 26277-2024</t>
        </is>
      </c>
      <c r="B447" s="1" t="n">
        <v>45468</v>
      </c>
      <c r="C447" s="1" t="n">
        <v>45832</v>
      </c>
      <c r="D447" t="inlineStr">
        <is>
          <t>UPPSALA LÄN</t>
        </is>
      </c>
      <c r="E447" t="inlineStr">
        <is>
          <t>ÖSTHAMMAR</t>
        </is>
      </c>
      <c r="G447" t="n">
        <v>3.5</v>
      </c>
      <c r="H447" t="n">
        <v>1</v>
      </c>
      <c r="I447" t="n">
        <v>2</v>
      </c>
      <c r="J447" t="n">
        <v>0</v>
      </c>
      <c r="K447" t="n">
        <v>0</v>
      </c>
      <c r="L447" t="n">
        <v>0</v>
      </c>
      <c r="M447" t="n">
        <v>0</v>
      </c>
      <c r="N447" t="n">
        <v>0</v>
      </c>
      <c r="O447" t="n">
        <v>0</v>
      </c>
      <c r="P447" t="n">
        <v>0</v>
      </c>
      <c r="Q447" t="n">
        <v>2</v>
      </c>
      <c r="R447" s="2" t="inlineStr">
        <is>
          <t>Nästrot
Sårläka</t>
        </is>
      </c>
      <c r="S447">
        <f>HYPERLINK("https://klasma.github.io/Logging_0382/artfynd/A 26277-2024 artfynd.xlsx", "A 26277-2024")</f>
        <v/>
      </c>
      <c r="T447">
        <f>HYPERLINK("https://klasma.github.io/Logging_0382/kartor/A 26277-2024 karta.png", "A 26277-2024")</f>
        <v/>
      </c>
      <c r="V447">
        <f>HYPERLINK("https://klasma.github.io/Logging_0382/klagomål/A 26277-2024 FSC-klagomål.docx", "A 26277-2024")</f>
        <v/>
      </c>
      <c r="W447">
        <f>HYPERLINK("https://klasma.github.io/Logging_0382/klagomålsmail/A 26277-2024 FSC-klagomål mail.docx", "A 26277-2024")</f>
        <v/>
      </c>
      <c r="X447">
        <f>HYPERLINK("https://klasma.github.io/Logging_0382/tillsyn/A 26277-2024 tillsynsbegäran.docx", "A 26277-2024")</f>
        <v/>
      </c>
      <c r="Y447">
        <f>HYPERLINK("https://klasma.github.io/Logging_0382/tillsynsmail/A 26277-2024 tillsynsbegäran mail.docx", "A 26277-2024")</f>
        <v/>
      </c>
    </row>
    <row r="448" ht="15" customHeight="1">
      <c r="A448" t="inlineStr">
        <is>
          <t>A 27502-2024</t>
        </is>
      </c>
      <c r="B448" s="1" t="n">
        <v>45474</v>
      </c>
      <c r="C448" s="1" t="n">
        <v>45832</v>
      </c>
      <c r="D448" t="inlineStr">
        <is>
          <t>UPPSALA LÄN</t>
        </is>
      </c>
      <c r="E448" t="inlineStr">
        <is>
          <t>UPPSALA</t>
        </is>
      </c>
      <c r="G448" t="n">
        <v>13.6</v>
      </c>
      <c r="H448" t="n">
        <v>2</v>
      </c>
      <c r="I448" t="n">
        <v>0</v>
      </c>
      <c r="J448" t="n">
        <v>1</v>
      </c>
      <c r="K448" t="n">
        <v>1</v>
      </c>
      <c r="L448" t="n">
        <v>0</v>
      </c>
      <c r="M448" t="n">
        <v>0</v>
      </c>
      <c r="N448" t="n">
        <v>0</v>
      </c>
      <c r="O448" t="n">
        <v>2</v>
      </c>
      <c r="P448" t="n">
        <v>1</v>
      </c>
      <c r="Q448" t="n">
        <v>2</v>
      </c>
      <c r="R448" s="2" t="inlineStr">
        <is>
          <t>Knärot
Talltita</t>
        </is>
      </c>
      <c r="S448">
        <f>HYPERLINK("https://klasma.github.io/Logging_0380/artfynd/A 27502-2024 artfynd.xlsx", "A 27502-2024")</f>
        <v/>
      </c>
      <c r="T448">
        <f>HYPERLINK("https://klasma.github.io/Logging_0380/kartor/A 27502-2024 karta.png", "A 27502-2024")</f>
        <v/>
      </c>
      <c r="U448">
        <f>HYPERLINK("https://klasma.github.io/Logging_0380/knärot/A 27502-2024 karta knärot.png", "A 27502-2024")</f>
        <v/>
      </c>
      <c r="V448">
        <f>HYPERLINK("https://klasma.github.io/Logging_0380/klagomål/A 27502-2024 FSC-klagomål.docx", "A 27502-2024")</f>
        <v/>
      </c>
      <c r="W448">
        <f>HYPERLINK("https://klasma.github.io/Logging_0380/klagomålsmail/A 27502-2024 FSC-klagomål mail.docx", "A 27502-2024")</f>
        <v/>
      </c>
      <c r="X448">
        <f>HYPERLINK("https://klasma.github.io/Logging_0380/tillsyn/A 27502-2024 tillsynsbegäran.docx", "A 27502-2024")</f>
        <v/>
      </c>
      <c r="Y448">
        <f>HYPERLINK("https://klasma.github.io/Logging_0380/tillsynsmail/A 27502-2024 tillsynsbegäran mail.docx", "A 27502-2024")</f>
        <v/>
      </c>
      <c r="Z448">
        <f>HYPERLINK("https://klasma.github.io/Logging_0380/fåglar/A 27502-2024 prioriterade fågelarter.docx", "A 27502-2024")</f>
        <v/>
      </c>
    </row>
    <row r="449" ht="15" customHeight="1">
      <c r="A449" t="inlineStr">
        <is>
          <t>A 30943-2024</t>
        </is>
      </c>
      <c r="B449" s="1" t="n">
        <v>45499</v>
      </c>
      <c r="C449" s="1" t="n">
        <v>45832</v>
      </c>
      <c r="D449" t="inlineStr">
        <is>
          <t>UPPSALA LÄN</t>
        </is>
      </c>
      <c r="E449" t="inlineStr">
        <is>
          <t>ÖSTHAMMAR</t>
        </is>
      </c>
      <c r="G449" t="n">
        <v>4.5</v>
      </c>
      <c r="H449" t="n">
        <v>0</v>
      </c>
      <c r="I449" t="n">
        <v>2</v>
      </c>
      <c r="J449" t="n">
        <v>0</v>
      </c>
      <c r="K449" t="n">
        <v>0</v>
      </c>
      <c r="L449" t="n">
        <v>0</v>
      </c>
      <c r="M449" t="n">
        <v>0</v>
      </c>
      <c r="N449" t="n">
        <v>0</v>
      </c>
      <c r="O449" t="n">
        <v>0</v>
      </c>
      <c r="P449" t="n">
        <v>0</v>
      </c>
      <c r="Q449" t="n">
        <v>2</v>
      </c>
      <c r="R449" s="2" t="inlineStr">
        <is>
          <t>Tibast
Underviol</t>
        </is>
      </c>
      <c r="S449">
        <f>HYPERLINK("https://klasma.github.io/Logging_0382/artfynd/A 30943-2024 artfynd.xlsx", "A 30943-2024")</f>
        <v/>
      </c>
      <c r="T449">
        <f>HYPERLINK("https://klasma.github.io/Logging_0382/kartor/A 30943-2024 karta.png", "A 30943-2024")</f>
        <v/>
      </c>
      <c r="V449">
        <f>HYPERLINK("https://klasma.github.io/Logging_0382/klagomål/A 30943-2024 FSC-klagomål.docx", "A 30943-2024")</f>
        <v/>
      </c>
      <c r="W449">
        <f>HYPERLINK("https://klasma.github.io/Logging_0382/klagomålsmail/A 30943-2024 FSC-klagomål mail.docx", "A 30943-2024")</f>
        <v/>
      </c>
      <c r="X449">
        <f>HYPERLINK("https://klasma.github.io/Logging_0382/tillsyn/A 30943-2024 tillsynsbegäran.docx", "A 30943-2024")</f>
        <v/>
      </c>
      <c r="Y449">
        <f>HYPERLINK("https://klasma.github.io/Logging_0382/tillsynsmail/A 30943-2024 tillsynsbegäran mail.docx", "A 30943-2024")</f>
        <v/>
      </c>
    </row>
    <row r="450" ht="15" customHeight="1">
      <c r="A450" t="inlineStr">
        <is>
          <t>A 31770-2024</t>
        </is>
      </c>
      <c r="B450" s="1" t="n">
        <v>45509</v>
      </c>
      <c r="C450" s="1" t="n">
        <v>45832</v>
      </c>
      <c r="D450" t="inlineStr">
        <is>
          <t>UPPSALA LÄN</t>
        </is>
      </c>
      <c r="E450" t="inlineStr">
        <is>
          <t>HEBY</t>
        </is>
      </c>
      <c r="G450" t="n">
        <v>5</v>
      </c>
      <c r="H450" t="n">
        <v>0</v>
      </c>
      <c r="I450" t="n">
        <v>0</v>
      </c>
      <c r="J450" t="n">
        <v>1</v>
      </c>
      <c r="K450" t="n">
        <v>1</v>
      </c>
      <c r="L450" t="n">
        <v>0</v>
      </c>
      <c r="M450" t="n">
        <v>0</v>
      </c>
      <c r="N450" t="n">
        <v>0</v>
      </c>
      <c r="O450" t="n">
        <v>2</v>
      </c>
      <c r="P450" t="n">
        <v>1</v>
      </c>
      <c r="Q450" t="n">
        <v>2</v>
      </c>
      <c r="R450" s="2" t="inlineStr">
        <is>
          <t>Lammticka
Motaggsvamp</t>
        </is>
      </c>
      <c r="S450">
        <f>HYPERLINK("https://klasma.github.io/Logging_0331/artfynd/A 31770-2024 artfynd.xlsx", "A 31770-2024")</f>
        <v/>
      </c>
      <c r="T450">
        <f>HYPERLINK("https://klasma.github.io/Logging_0331/kartor/A 31770-2024 karta.png", "A 31770-2024")</f>
        <v/>
      </c>
      <c r="V450">
        <f>HYPERLINK("https://klasma.github.io/Logging_0331/klagomål/A 31770-2024 FSC-klagomål.docx", "A 31770-2024")</f>
        <v/>
      </c>
      <c r="W450">
        <f>HYPERLINK("https://klasma.github.io/Logging_0331/klagomålsmail/A 31770-2024 FSC-klagomål mail.docx", "A 31770-2024")</f>
        <v/>
      </c>
      <c r="X450">
        <f>HYPERLINK("https://klasma.github.io/Logging_0331/tillsyn/A 31770-2024 tillsynsbegäran.docx", "A 31770-2024")</f>
        <v/>
      </c>
      <c r="Y450">
        <f>HYPERLINK("https://klasma.github.io/Logging_0331/tillsynsmail/A 31770-2024 tillsynsbegäran mail.docx", "A 31770-2024")</f>
        <v/>
      </c>
    </row>
    <row r="451" ht="15" customHeight="1">
      <c r="A451" t="inlineStr">
        <is>
          <t>A 35927-2024</t>
        </is>
      </c>
      <c r="B451" s="1" t="n">
        <v>45533</v>
      </c>
      <c r="C451" s="1" t="n">
        <v>45832</v>
      </c>
      <c r="D451" t="inlineStr">
        <is>
          <t>UPPSALA LÄN</t>
        </is>
      </c>
      <c r="E451" t="inlineStr">
        <is>
          <t>ÖSTHAMMAR</t>
        </is>
      </c>
      <c r="F451" t="inlineStr">
        <is>
          <t>Övriga Aktiebolag</t>
        </is>
      </c>
      <c r="G451" t="n">
        <v>13.1</v>
      </c>
      <c r="H451" t="n">
        <v>0</v>
      </c>
      <c r="I451" t="n">
        <v>2</v>
      </c>
      <c r="J451" t="n">
        <v>0</v>
      </c>
      <c r="K451" t="n">
        <v>0</v>
      </c>
      <c r="L451" t="n">
        <v>0</v>
      </c>
      <c r="M451" t="n">
        <v>0</v>
      </c>
      <c r="N451" t="n">
        <v>0</v>
      </c>
      <c r="O451" t="n">
        <v>0</v>
      </c>
      <c r="P451" t="n">
        <v>0</v>
      </c>
      <c r="Q451" t="n">
        <v>2</v>
      </c>
      <c r="R451" s="2" t="inlineStr">
        <is>
          <t>Fjällig taggsvamp s.str.
Vårärt</t>
        </is>
      </c>
      <c r="S451">
        <f>HYPERLINK("https://klasma.github.io/Logging_0382/artfynd/A 35927-2024 artfynd.xlsx", "A 35927-2024")</f>
        <v/>
      </c>
      <c r="T451">
        <f>HYPERLINK("https://klasma.github.io/Logging_0382/kartor/A 35927-2024 karta.png", "A 35927-2024")</f>
        <v/>
      </c>
      <c r="V451">
        <f>HYPERLINK("https://klasma.github.io/Logging_0382/klagomål/A 35927-2024 FSC-klagomål.docx", "A 35927-2024")</f>
        <v/>
      </c>
      <c r="W451">
        <f>HYPERLINK("https://klasma.github.io/Logging_0382/klagomålsmail/A 35927-2024 FSC-klagomål mail.docx", "A 35927-2024")</f>
        <v/>
      </c>
      <c r="X451">
        <f>HYPERLINK("https://klasma.github.io/Logging_0382/tillsyn/A 35927-2024 tillsynsbegäran.docx", "A 35927-2024")</f>
        <v/>
      </c>
      <c r="Y451">
        <f>HYPERLINK("https://klasma.github.io/Logging_0382/tillsynsmail/A 35927-2024 tillsynsbegäran mail.docx", "A 35927-2024")</f>
        <v/>
      </c>
    </row>
    <row r="452" ht="15" customHeight="1">
      <c r="A452" t="inlineStr">
        <is>
          <t>A 38958-2024</t>
        </is>
      </c>
      <c r="B452" s="1" t="n">
        <v>45548</v>
      </c>
      <c r="C452" s="1" t="n">
        <v>45832</v>
      </c>
      <c r="D452" t="inlineStr">
        <is>
          <t>UPPSALA LÄN</t>
        </is>
      </c>
      <c r="E452" t="inlineStr">
        <is>
          <t>UPPSALA</t>
        </is>
      </c>
      <c r="G452" t="n">
        <v>9.300000000000001</v>
      </c>
      <c r="H452" t="n">
        <v>0</v>
      </c>
      <c r="I452" t="n">
        <v>1</v>
      </c>
      <c r="J452" t="n">
        <v>1</v>
      </c>
      <c r="K452" t="n">
        <v>0</v>
      </c>
      <c r="L452" t="n">
        <v>0</v>
      </c>
      <c r="M452" t="n">
        <v>0</v>
      </c>
      <c r="N452" t="n">
        <v>0</v>
      </c>
      <c r="O452" t="n">
        <v>1</v>
      </c>
      <c r="P452" t="n">
        <v>0</v>
      </c>
      <c r="Q452" t="n">
        <v>2</v>
      </c>
      <c r="R452" s="2" t="inlineStr">
        <is>
          <t>Ullticka
Kattfotslav</t>
        </is>
      </c>
      <c r="S452">
        <f>HYPERLINK("https://klasma.github.io/Logging_0380/artfynd/A 38958-2024 artfynd.xlsx", "A 38958-2024")</f>
        <v/>
      </c>
      <c r="T452">
        <f>HYPERLINK("https://klasma.github.io/Logging_0380/kartor/A 38958-2024 karta.png", "A 38958-2024")</f>
        <v/>
      </c>
      <c r="V452">
        <f>HYPERLINK("https://klasma.github.io/Logging_0380/klagomål/A 38958-2024 FSC-klagomål.docx", "A 38958-2024")</f>
        <v/>
      </c>
      <c r="W452">
        <f>HYPERLINK("https://klasma.github.io/Logging_0380/klagomålsmail/A 38958-2024 FSC-klagomål mail.docx", "A 38958-2024")</f>
        <v/>
      </c>
      <c r="X452">
        <f>HYPERLINK("https://klasma.github.io/Logging_0380/tillsyn/A 38958-2024 tillsynsbegäran.docx", "A 38958-2024")</f>
        <v/>
      </c>
      <c r="Y452">
        <f>HYPERLINK("https://klasma.github.io/Logging_0380/tillsynsmail/A 38958-2024 tillsynsbegäran mail.docx", "A 38958-2024")</f>
        <v/>
      </c>
    </row>
    <row r="453" ht="15" customHeight="1">
      <c r="A453" t="inlineStr">
        <is>
          <t>A 39018-2024</t>
        </is>
      </c>
      <c r="B453" s="1" t="n">
        <v>45548</v>
      </c>
      <c r="C453" s="1" t="n">
        <v>45832</v>
      </c>
      <c r="D453" t="inlineStr">
        <is>
          <t>UPPSALA LÄN</t>
        </is>
      </c>
      <c r="E453" t="inlineStr">
        <is>
          <t>TIERP</t>
        </is>
      </c>
      <c r="F453" t="inlineStr">
        <is>
          <t>Bergvik skog öst AB</t>
        </is>
      </c>
      <c r="G453" t="n">
        <v>19.1</v>
      </c>
      <c r="H453" t="n">
        <v>2</v>
      </c>
      <c r="I453" t="n">
        <v>0</v>
      </c>
      <c r="J453" t="n">
        <v>2</v>
      </c>
      <c r="K453" t="n">
        <v>0</v>
      </c>
      <c r="L453" t="n">
        <v>0</v>
      </c>
      <c r="M453" t="n">
        <v>0</v>
      </c>
      <c r="N453" t="n">
        <v>0</v>
      </c>
      <c r="O453" t="n">
        <v>2</v>
      </c>
      <c r="P453" t="n">
        <v>0</v>
      </c>
      <c r="Q453" t="n">
        <v>2</v>
      </c>
      <c r="R453" s="2" t="inlineStr">
        <is>
          <t>Rödvingetrast
Talltita</t>
        </is>
      </c>
      <c r="S453">
        <f>HYPERLINK("https://klasma.github.io/Logging_0360/artfynd/A 39018-2024 artfynd.xlsx", "A 39018-2024")</f>
        <v/>
      </c>
      <c r="T453">
        <f>HYPERLINK("https://klasma.github.io/Logging_0360/kartor/A 39018-2024 karta.png", "A 39018-2024")</f>
        <v/>
      </c>
      <c r="V453">
        <f>HYPERLINK("https://klasma.github.io/Logging_0360/klagomål/A 39018-2024 FSC-klagomål.docx", "A 39018-2024")</f>
        <v/>
      </c>
      <c r="W453">
        <f>HYPERLINK("https://klasma.github.io/Logging_0360/klagomålsmail/A 39018-2024 FSC-klagomål mail.docx", "A 39018-2024")</f>
        <v/>
      </c>
      <c r="X453">
        <f>HYPERLINK("https://klasma.github.io/Logging_0360/tillsyn/A 39018-2024 tillsynsbegäran.docx", "A 39018-2024")</f>
        <v/>
      </c>
      <c r="Y453">
        <f>HYPERLINK("https://klasma.github.io/Logging_0360/tillsynsmail/A 39018-2024 tillsynsbegäran mail.docx", "A 39018-2024")</f>
        <v/>
      </c>
      <c r="Z453">
        <f>HYPERLINK("https://klasma.github.io/Logging_0360/fåglar/A 39018-2024 prioriterade fågelarter.docx", "A 39018-2024")</f>
        <v/>
      </c>
    </row>
    <row r="454" ht="15" customHeight="1">
      <c r="A454" t="inlineStr">
        <is>
          <t>A 40687-2024</t>
        </is>
      </c>
      <c r="B454" s="1" t="n">
        <v>45558</v>
      </c>
      <c r="C454" s="1" t="n">
        <v>45832</v>
      </c>
      <c r="D454" t="inlineStr">
        <is>
          <t>UPPSALA LÄN</t>
        </is>
      </c>
      <c r="E454" t="inlineStr">
        <is>
          <t>ÄLVKARLEBY</t>
        </is>
      </c>
      <c r="F454" t="inlineStr">
        <is>
          <t>Bergvik skog väst AB</t>
        </is>
      </c>
      <c r="G454" t="n">
        <v>14.1</v>
      </c>
      <c r="H454" t="n">
        <v>0</v>
      </c>
      <c r="I454" t="n">
        <v>1</v>
      </c>
      <c r="J454" t="n">
        <v>1</v>
      </c>
      <c r="K454" t="n">
        <v>0</v>
      </c>
      <c r="L454" t="n">
        <v>0</v>
      </c>
      <c r="M454" t="n">
        <v>0</v>
      </c>
      <c r="N454" t="n">
        <v>0</v>
      </c>
      <c r="O454" t="n">
        <v>1</v>
      </c>
      <c r="P454" t="n">
        <v>0</v>
      </c>
      <c r="Q454" t="n">
        <v>2</v>
      </c>
      <c r="R454" s="2" t="inlineStr">
        <is>
          <t>Skogsklocka
Trådfräken</t>
        </is>
      </c>
      <c r="S454">
        <f>HYPERLINK("https://klasma.github.io/Logging_0319/artfynd/A 40687-2024 artfynd.xlsx", "A 40687-2024")</f>
        <v/>
      </c>
      <c r="T454">
        <f>HYPERLINK("https://klasma.github.io/Logging_0319/kartor/A 40687-2024 karta.png", "A 40687-2024")</f>
        <v/>
      </c>
      <c r="V454">
        <f>HYPERLINK("https://klasma.github.io/Logging_0319/klagomål/A 40687-2024 FSC-klagomål.docx", "A 40687-2024")</f>
        <v/>
      </c>
      <c r="W454">
        <f>HYPERLINK("https://klasma.github.io/Logging_0319/klagomålsmail/A 40687-2024 FSC-klagomål mail.docx", "A 40687-2024")</f>
        <v/>
      </c>
      <c r="X454">
        <f>HYPERLINK("https://klasma.github.io/Logging_0319/tillsyn/A 40687-2024 tillsynsbegäran.docx", "A 40687-2024")</f>
        <v/>
      </c>
      <c r="Y454">
        <f>HYPERLINK("https://klasma.github.io/Logging_0319/tillsynsmail/A 40687-2024 tillsynsbegäran mail.docx", "A 40687-2024")</f>
        <v/>
      </c>
    </row>
    <row r="455" ht="15" customHeight="1">
      <c r="A455" t="inlineStr">
        <is>
          <t>A 43643-2024</t>
        </is>
      </c>
      <c r="B455" s="1" t="n">
        <v>45569</v>
      </c>
      <c r="C455" s="1" t="n">
        <v>45832</v>
      </c>
      <c r="D455" t="inlineStr">
        <is>
          <t>UPPSALA LÄN</t>
        </is>
      </c>
      <c r="E455" t="inlineStr">
        <is>
          <t>TIERP</t>
        </is>
      </c>
      <c r="F455" t="inlineStr">
        <is>
          <t>Bergvik skog öst AB</t>
        </is>
      </c>
      <c r="G455" t="n">
        <v>16.3</v>
      </c>
      <c r="H455" t="n">
        <v>2</v>
      </c>
      <c r="I455" t="n">
        <v>0</v>
      </c>
      <c r="J455" t="n">
        <v>2</v>
      </c>
      <c r="K455" t="n">
        <v>0</v>
      </c>
      <c r="L455" t="n">
        <v>0</v>
      </c>
      <c r="M455" t="n">
        <v>0</v>
      </c>
      <c r="N455" t="n">
        <v>0</v>
      </c>
      <c r="O455" t="n">
        <v>2</v>
      </c>
      <c r="P455" t="n">
        <v>0</v>
      </c>
      <c r="Q455" t="n">
        <v>2</v>
      </c>
      <c r="R455" s="2" t="inlineStr">
        <is>
          <t>Gulsparv
Järpe</t>
        </is>
      </c>
      <c r="S455">
        <f>HYPERLINK("https://klasma.github.io/Logging_0360/artfynd/A 43643-2024 artfynd.xlsx", "A 43643-2024")</f>
        <v/>
      </c>
      <c r="T455">
        <f>HYPERLINK("https://klasma.github.io/Logging_0360/kartor/A 43643-2024 karta.png", "A 43643-2024")</f>
        <v/>
      </c>
      <c r="V455">
        <f>HYPERLINK("https://klasma.github.io/Logging_0360/klagomål/A 43643-2024 FSC-klagomål.docx", "A 43643-2024")</f>
        <v/>
      </c>
      <c r="W455">
        <f>HYPERLINK("https://klasma.github.io/Logging_0360/klagomålsmail/A 43643-2024 FSC-klagomål mail.docx", "A 43643-2024")</f>
        <v/>
      </c>
      <c r="X455">
        <f>HYPERLINK("https://klasma.github.io/Logging_0360/tillsyn/A 43643-2024 tillsynsbegäran.docx", "A 43643-2024")</f>
        <v/>
      </c>
      <c r="Y455">
        <f>HYPERLINK("https://klasma.github.io/Logging_0360/tillsynsmail/A 43643-2024 tillsynsbegäran mail.docx", "A 43643-2024")</f>
        <v/>
      </c>
      <c r="Z455">
        <f>HYPERLINK("https://klasma.github.io/Logging_0360/fåglar/A 43643-2024 prioriterade fågelarter.docx", "A 43643-2024")</f>
        <v/>
      </c>
    </row>
    <row r="456" ht="15" customHeight="1">
      <c r="A456" t="inlineStr">
        <is>
          <t>A 43645-2024</t>
        </is>
      </c>
      <c r="B456" s="1" t="n">
        <v>45569</v>
      </c>
      <c r="C456" s="1" t="n">
        <v>45832</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43645-2024 artfynd.xlsx", "A 43645-2024")</f>
        <v/>
      </c>
      <c r="T456">
        <f>HYPERLINK("https://klasma.github.io/Logging_0360/kartor/A 43645-2024 karta.png", "A 43645-2024")</f>
        <v/>
      </c>
      <c r="V456">
        <f>HYPERLINK("https://klasma.github.io/Logging_0360/klagomål/A 43645-2024 FSC-klagomål.docx", "A 43645-2024")</f>
        <v/>
      </c>
      <c r="W456">
        <f>HYPERLINK("https://klasma.github.io/Logging_0360/klagomålsmail/A 43645-2024 FSC-klagomål mail.docx", "A 43645-2024")</f>
        <v/>
      </c>
      <c r="X456">
        <f>HYPERLINK("https://klasma.github.io/Logging_0360/tillsyn/A 43645-2024 tillsynsbegäran.docx", "A 43645-2024")</f>
        <v/>
      </c>
      <c r="Y456">
        <f>HYPERLINK("https://klasma.github.io/Logging_0360/tillsynsmail/A 43645-2024 tillsynsbegäran mail.docx", "A 43645-2024")</f>
        <v/>
      </c>
      <c r="Z456">
        <f>HYPERLINK("https://klasma.github.io/Logging_0360/fåglar/A 43645-2024 prioriterade fågelarter.docx", "A 43645-2024")</f>
        <v/>
      </c>
    </row>
    <row r="457" ht="15" customHeight="1">
      <c r="A457" t="inlineStr">
        <is>
          <t>A 43642-2024</t>
        </is>
      </c>
      <c r="B457" s="1" t="n">
        <v>45569</v>
      </c>
      <c r="C457" s="1" t="n">
        <v>45832</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43642-2024 artfynd.xlsx", "A 43642-2024")</f>
        <v/>
      </c>
      <c r="T457">
        <f>HYPERLINK("https://klasma.github.io/Logging_0360/kartor/A 43642-2024 karta.png", "A 43642-2024")</f>
        <v/>
      </c>
      <c r="V457">
        <f>HYPERLINK("https://klasma.github.io/Logging_0360/klagomål/A 43642-2024 FSC-klagomål.docx", "A 43642-2024")</f>
        <v/>
      </c>
      <c r="W457">
        <f>HYPERLINK("https://klasma.github.io/Logging_0360/klagomålsmail/A 43642-2024 FSC-klagomål mail.docx", "A 43642-2024")</f>
        <v/>
      </c>
      <c r="X457">
        <f>HYPERLINK("https://klasma.github.io/Logging_0360/tillsyn/A 43642-2024 tillsynsbegäran.docx", "A 43642-2024")</f>
        <v/>
      </c>
      <c r="Y457">
        <f>HYPERLINK("https://klasma.github.io/Logging_0360/tillsynsmail/A 43642-2024 tillsynsbegäran mail.docx", "A 43642-2024")</f>
        <v/>
      </c>
      <c r="Z457">
        <f>HYPERLINK("https://klasma.github.io/Logging_0360/fåglar/A 43642-2024 prioriterade fågelarter.docx", "A 43642-2024")</f>
        <v/>
      </c>
    </row>
    <row r="458" ht="15" customHeight="1">
      <c r="A458" t="inlineStr">
        <is>
          <t>A 44284-2024</t>
        </is>
      </c>
      <c r="B458" s="1" t="n">
        <v>45573</v>
      </c>
      <c r="C458" s="1" t="n">
        <v>45832</v>
      </c>
      <c r="D458" t="inlineStr">
        <is>
          <t>UPPSALA LÄN</t>
        </is>
      </c>
      <c r="E458" t="inlineStr">
        <is>
          <t>HEBY</t>
        </is>
      </c>
      <c r="G458" t="n">
        <v>3</v>
      </c>
      <c r="H458" t="n">
        <v>0</v>
      </c>
      <c r="I458" t="n">
        <v>0</v>
      </c>
      <c r="J458" t="n">
        <v>2</v>
      </c>
      <c r="K458" t="n">
        <v>0</v>
      </c>
      <c r="L458" t="n">
        <v>0</v>
      </c>
      <c r="M458" t="n">
        <v>0</v>
      </c>
      <c r="N458" t="n">
        <v>0</v>
      </c>
      <c r="O458" t="n">
        <v>2</v>
      </c>
      <c r="P458" t="n">
        <v>0</v>
      </c>
      <c r="Q458" t="n">
        <v>2</v>
      </c>
      <c r="R458" s="2" t="inlineStr">
        <is>
          <t>Dvärgbägarlav
Vedskivlav</t>
        </is>
      </c>
      <c r="S458">
        <f>HYPERLINK("https://klasma.github.io/Logging_0331/artfynd/A 44284-2024 artfynd.xlsx", "A 44284-2024")</f>
        <v/>
      </c>
      <c r="T458">
        <f>HYPERLINK("https://klasma.github.io/Logging_0331/kartor/A 44284-2024 karta.png", "A 44284-2024")</f>
        <v/>
      </c>
      <c r="V458">
        <f>HYPERLINK("https://klasma.github.io/Logging_0331/klagomål/A 44284-2024 FSC-klagomål.docx", "A 44284-2024")</f>
        <v/>
      </c>
      <c r="W458">
        <f>HYPERLINK("https://klasma.github.io/Logging_0331/klagomålsmail/A 44284-2024 FSC-klagomål mail.docx", "A 44284-2024")</f>
        <v/>
      </c>
      <c r="X458">
        <f>HYPERLINK("https://klasma.github.io/Logging_0331/tillsyn/A 44284-2024 tillsynsbegäran.docx", "A 44284-2024")</f>
        <v/>
      </c>
      <c r="Y458">
        <f>HYPERLINK("https://klasma.github.io/Logging_0331/tillsynsmail/A 44284-2024 tillsynsbegäran mail.docx", "A 44284-2024")</f>
        <v/>
      </c>
    </row>
    <row r="459" ht="15" customHeight="1">
      <c r="A459" t="inlineStr">
        <is>
          <t>A 46577-2024</t>
        </is>
      </c>
      <c r="B459" s="1" t="n">
        <v>45582</v>
      </c>
      <c r="C459" s="1" t="n">
        <v>45832</v>
      </c>
      <c r="D459" t="inlineStr">
        <is>
          <t>UPPSALA LÄN</t>
        </is>
      </c>
      <c r="E459" t="inlineStr">
        <is>
          <t>ÖSTHAMMAR</t>
        </is>
      </c>
      <c r="F459" t="inlineStr">
        <is>
          <t>Bergvik skog väst AB</t>
        </is>
      </c>
      <c r="G459" t="n">
        <v>7.1</v>
      </c>
      <c r="H459" t="n">
        <v>1</v>
      </c>
      <c r="I459" t="n">
        <v>2</v>
      </c>
      <c r="J459" t="n">
        <v>0</v>
      </c>
      <c r="K459" t="n">
        <v>0</v>
      </c>
      <c r="L459" t="n">
        <v>0</v>
      </c>
      <c r="M459" t="n">
        <v>0</v>
      </c>
      <c r="N459" t="n">
        <v>0</v>
      </c>
      <c r="O459" t="n">
        <v>0</v>
      </c>
      <c r="P459" t="n">
        <v>0</v>
      </c>
      <c r="Q459" t="n">
        <v>2</v>
      </c>
      <c r="R459" s="2" t="inlineStr">
        <is>
          <t>Skogsknipprot
Tibast</t>
        </is>
      </c>
      <c r="S459">
        <f>HYPERLINK("https://klasma.github.io/Logging_0382/artfynd/A 46577-2024 artfynd.xlsx", "A 46577-2024")</f>
        <v/>
      </c>
      <c r="T459">
        <f>HYPERLINK("https://klasma.github.io/Logging_0382/kartor/A 46577-2024 karta.png", "A 46577-2024")</f>
        <v/>
      </c>
      <c r="V459">
        <f>HYPERLINK("https://klasma.github.io/Logging_0382/klagomål/A 46577-2024 FSC-klagomål.docx", "A 46577-2024")</f>
        <v/>
      </c>
      <c r="W459">
        <f>HYPERLINK("https://klasma.github.io/Logging_0382/klagomålsmail/A 46577-2024 FSC-klagomål mail.docx", "A 46577-2024")</f>
        <v/>
      </c>
      <c r="X459">
        <f>HYPERLINK("https://klasma.github.io/Logging_0382/tillsyn/A 46577-2024 tillsynsbegäran.docx", "A 46577-2024")</f>
        <v/>
      </c>
      <c r="Y459">
        <f>HYPERLINK("https://klasma.github.io/Logging_0382/tillsynsmail/A 46577-2024 tillsynsbegäran mail.docx", "A 46577-2024")</f>
        <v/>
      </c>
    </row>
    <row r="460" ht="15" customHeight="1">
      <c r="A460" t="inlineStr">
        <is>
          <t>A 47976-2024</t>
        </is>
      </c>
      <c r="B460" s="1" t="n">
        <v>45589</v>
      </c>
      <c r="C460" s="1" t="n">
        <v>45832</v>
      </c>
      <c r="D460" t="inlineStr">
        <is>
          <t>UPPSALA LÄN</t>
        </is>
      </c>
      <c r="E460" t="inlineStr">
        <is>
          <t>ÄLVKARLEBY</t>
        </is>
      </c>
      <c r="F460" t="inlineStr">
        <is>
          <t>Bergvik skog väst AB</t>
        </is>
      </c>
      <c r="G460" t="n">
        <v>14.6</v>
      </c>
      <c r="H460" t="n">
        <v>1</v>
      </c>
      <c r="I460" t="n">
        <v>1</v>
      </c>
      <c r="J460" t="n">
        <v>0</v>
      </c>
      <c r="K460" t="n">
        <v>0</v>
      </c>
      <c r="L460" t="n">
        <v>1</v>
      </c>
      <c r="M460" t="n">
        <v>0</v>
      </c>
      <c r="N460" t="n">
        <v>0</v>
      </c>
      <c r="O460" t="n">
        <v>1</v>
      </c>
      <c r="P460" t="n">
        <v>1</v>
      </c>
      <c r="Q460" t="n">
        <v>2</v>
      </c>
      <c r="R460" s="2" t="inlineStr">
        <is>
          <t>Ask
Skogsknipprot</t>
        </is>
      </c>
      <c r="S460">
        <f>HYPERLINK("https://klasma.github.io/Logging_0319/artfynd/A 47976-2024 artfynd.xlsx", "A 47976-2024")</f>
        <v/>
      </c>
      <c r="T460">
        <f>HYPERLINK("https://klasma.github.io/Logging_0319/kartor/A 47976-2024 karta.png", "A 47976-2024")</f>
        <v/>
      </c>
      <c r="V460">
        <f>HYPERLINK("https://klasma.github.io/Logging_0319/klagomål/A 47976-2024 FSC-klagomål.docx", "A 47976-2024")</f>
        <v/>
      </c>
      <c r="W460">
        <f>HYPERLINK("https://klasma.github.io/Logging_0319/klagomålsmail/A 47976-2024 FSC-klagomål mail.docx", "A 47976-2024")</f>
        <v/>
      </c>
      <c r="X460">
        <f>HYPERLINK("https://klasma.github.io/Logging_0319/tillsyn/A 47976-2024 tillsynsbegäran.docx", "A 47976-2024")</f>
        <v/>
      </c>
      <c r="Y460">
        <f>HYPERLINK("https://klasma.github.io/Logging_0319/tillsynsmail/A 47976-2024 tillsynsbegäran mail.docx", "A 47976-2024")</f>
        <v/>
      </c>
    </row>
    <row r="461" ht="15" customHeight="1">
      <c r="A461" t="inlineStr">
        <is>
          <t>A 50458-2024</t>
        </is>
      </c>
      <c r="B461" s="1" t="n">
        <v>45601</v>
      </c>
      <c r="C461" s="1" t="n">
        <v>45832</v>
      </c>
      <c r="D461" t="inlineStr">
        <is>
          <t>UPPSALA LÄN</t>
        </is>
      </c>
      <c r="E461" t="inlineStr">
        <is>
          <t>HEBY</t>
        </is>
      </c>
      <c r="G461" t="n">
        <v>3.1</v>
      </c>
      <c r="H461" t="n">
        <v>2</v>
      </c>
      <c r="I461" t="n">
        <v>0</v>
      </c>
      <c r="J461" t="n">
        <v>0</v>
      </c>
      <c r="K461" t="n">
        <v>1</v>
      </c>
      <c r="L461" t="n">
        <v>0</v>
      </c>
      <c r="M461" t="n">
        <v>0</v>
      </c>
      <c r="N461" t="n">
        <v>0</v>
      </c>
      <c r="O461" t="n">
        <v>1</v>
      </c>
      <c r="P461" t="n">
        <v>1</v>
      </c>
      <c r="Q461" t="n">
        <v>2</v>
      </c>
      <c r="R461" s="2" t="inlineStr">
        <is>
          <t>Knärot
Blåsippa</t>
        </is>
      </c>
      <c r="S461">
        <f>HYPERLINK("https://klasma.github.io/Logging_0331/artfynd/A 50458-2024 artfynd.xlsx", "A 50458-2024")</f>
        <v/>
      </c>
      <c r="T461">
        <f>HYPERLINK("https://klasma.github.io/Logging_0331/kartor/A 50458-2024 karta.png", "A 50458-2024")</f>
        <v/>
      </c>
      <c r="U461">
        <f>HYPERLINK("https://klasma.github.io/Logging_0331/knärot/A 50458-2024 karta knärot.png", "A 50458-2024")</f>
        <v/>
      </c>
      <c r="V461">
        <f>HYPERLINK("https://klasma.github.io/Logging_0331/klagomål/A 50458-2024 FSC-klagomål.docx", "A 50458-2024")</f>
        <v/>
      </c>
      <c r="W461">
        <f>HYPERLINK("https://klasma.github.io/Logging_0331/klagomålsmail/A 50458-2024 FSC-klagomål mail.docx", "A 50458-2024")</f>
        <v/>
      </c>
      <c r="X461">
        <f>HYPERLINK("https://klasma.github.io/Logging_0331/tillsyn/A 50458-2024 tillsynsbegäran.docx", "A 50458-2024")</f>
        <v/>
      </c>
      <c r="Y461">
        <f>HYPERLINK("https://klasma.github.io/Logging_0331/tillsynsmail/A 50458-2024 tillsynsbegäran mail.docx", "A 50458-2024")</f>
        <v/>
      </c>
    </row>
    <row r="462" ht="15" customHeight="1">
      <c r="A462" t="inlineStr">
        <is>
          <t>A 54032-2024</t>
        </is>
      </c>
      <c r="B462" s="1" t="n">
        <v>45616</v>
      </c>
      <c r="C462" s="1" t="n">
        <v>45832</v>
      </c>
      <c r="D462" t="inlineStr">
        <is>
          <t>UPPSALA LÄN</t>
        </is>
      </c>
      <c r="E462" t="inlineStr">
        <is>
          <t>ÖSTHAMMAR</t>
        </is>
      </c>
      <c r="G462" t="n">
        <v>2</v>
      </c>
      <c r="H462" t="n">
        <v>1</v>
      </c>
      <c r="I462" t="n">
        <v>1</v>
      </c>
      <c r="J462" t="n">
        <v>0</v>
      </c>
      <c r="K462" t="n">
        <v>0</v>
      </c>
      <c r="L462" t="n">
        <v>0</v>
      </c>
      <c r="M462" t="n">
        <v>0</v>
      </c>
      <c r="N462" t="n">
        <v>0</v>
      </c>
      <c r="O462" t="n">
        <v>0</v>
      </c>
      <c r="P462" t="n">
        <v>0</v>
      </c>
      <c r="Q462" t="n">
        <v>2</v>
      </c>
      <c r="R462" s="2" t="inlineStr">
        <is>
          <t>Vedticka
Blåsippa</t>
        </is>
      </c>
      <c r="S462">
        <f>HYPERLINK("https://klasma.github.io/Logging_0382/artfynd/A 54032-2024 artfynd.xlsx", "A 54032-2024")</f>
        <v/>
      </c>
      <c r="T462">
        <f>HYPERLINK("https://klasma.github.io/Logging_0382/kartor/A 54032-2024 karta.png", "A 54032-2024")</f>
        <v/>
      </c>
      <c r="V462">
        <f>HYPERLINK("https://klasma.github.io/Logging_0382/klagomål/A 54032-2024 FSC-klagomål.docx", "A 54032-2024")</f>
        <v/>
      </c>
      <c r="W462">
        <f>HYPERLINK("https://klasma.github.io/Logging_0382/klagomålsmail/A 54032-2024 FSC-klagomål mail.docx", "A 54032-2024")</f>
        <v/>
      </c>
      <c r="X462">
        <f>HYPERLINK("https://klasma.github.io/Logging_0382/tillsyn/A 54032-2024 tillsynsbegäran.docx", "A 54032-2024")</f>
        <v/>
      </c>
      <c r="Y462">
        <f>HYPERLINK("https://klasma.github.io/Logging_0382/tillsynsmail/A 54032-2024 tillsynsbegäran mail.docx", "A 54032-2024")</f>
        <v/>
      </c>
    </row>
    <row r="463" ht="15" customHeight="1">
      <c r="A463" t="inlineStr">
        <is>
          <t>A 54814-2024</t>
        </is>
      </c>
      <c r="B463" s="1" t="n">
        <v>45618</v>
      </c>
      <c r="C463" s="1" t="n">
        <v>45832</v>
      </c>
      <c r="D463" t="inlineStr">
        <is>
          <t>UPPSALA LÄN</t>
        </is>
      </c>
      <c r="E463" t="inlineStr">
        <is>
          <t>HEBY</t>
        </is>
      </c>
      <c r="G463" t="n">
        <v>2.5</v>
      </c>
      <c r="H463" t="n">
        <v>2</v>
      </c>
      <c r="I463" t="n">
        <v>0</v>
      </c>
      <c r="J463" t="n">
        <v>1</v>
      </c>
      <c r="K463" t="n">
        <v>1</v>
      </c>
      <c r="L463" t="n">
        <v>0</v>
      </c>
      <c r="M463" t="n">
        <v>0</v>
      </c>
      <c r="N463" t="n">
        <v>0</v>
      </c>
      <c r="O463" t="n">
        <v>2</v>
      </c>
      <c r="P463" t="n">
        <v>1</v>
      </c>
      <c r="Q463" t="n">
        <v>2</v>
      </c>
      <c r="R463" s="2" t="inlineStr">
        <is>
          <t>Knärot
Talltita</t>
        </is>
      </c>
      <c r="S463">
        <f>HYPERLINK("https://klasma.github.io/Logging_0331/artfynd/A 54814-2024 artfynd.xlsx", "A 54814-2024")</f>
        <v/>
      </c>
      <c r="T463">
        <f>HYPERLINK("https://klasma.github.io/Logging_0331/kartor/A 54814-2024 karta.png", "A 54814-2024")</f>
        <v/>
      </c>
      <c r="U463">
        <f>HYPERLINK("https://klasma.github.io/Logging_0331/knärot/A 54814-2024 karta knärot.png", "A 54814-2024")</f>
        <v/>
      </c>
      <c r="V463">
        <f>HYPERLINK("https://klasma.github.io/Logging_0331/klagomål/A 54814-2024 FSC-klagomål.docx", "A 54814-2024")</f>
        <v/>
      </c>
      <c r="W463">
        <f>HYPERLINK("https://klasma.github.io/Logging_0331/klagomålsmail/A 54814-2024 FSC-klagomål mail.docx", "A 54814-2024")</f>
        <v/>
      </c>
      <c r="X463">
        <f>HYPERLINK("https://klasma.github.io/Logging_0331/tillsyn/A 54814-2024 tillsynsbegäran.docx", "A 54814-2024")</f>
        <v/>
      </c>
      <c r="Y463">
        <f>HYPERLINK("https://klasma.github.io/Logging_0331/tillsynsmail/A 54814-2024 tillsynsbegäran mail.docx", "A 54814-2024")</f>
        <v/>
      </c>
      <c r="Z463">
        <f>HYPERLINK("https://klasma.github.io/Logging_0331/fåglar/A 54814-2024 prioriterade fågelarter.docx", "A 54814-2024")</f>
        <v/>
      </c>
    </row>
    <row r="464" ht="15" customHeight="1">
      <c r="A464" t="inlineStr">
        <is>
          <t>A 55143-2024</t>
        </is>
      </c>
      <c r="B464" s="1" t="n">
        <v>45621</v>
      </c>
      <c r="C464" s="1" t="n">
        <v>45832</v>
      </c>
      <c r="D464" t="inlineStr">
        <is>
          <t>UPPSALA LÄN</t>
        </is>
      </c>
      <c r="E464" t="inlineStr">
        <is>
          <t>ÄLVKARLEBY</t>
        </is>
      </c>
      <c r="F464" t="inlineStr">
        <is>
          <t>Bergvik skog väst AB</t>
        </is>
      </c>
      <c r="G464" t="n">
        <v>9.5</v>
      </c>
      <c r="H464" t="n">
        <v>1</v>
      </c>
      <c r="I464" t="n">
        <v>1</v>
      </c>
      <c r="J464" t="n">
        <v>0</v>
      </c>
      <c r="K464" t="n">
        <v>1</v>
      </c>
      <c r="L464" t="n">
        <v>0</v>
      </c>
      <c r="M464" t="n">
        <v>0</v>
      </c>
      <c r="N464" t="n">
        <v>0</v>
      </c>
      <c r="O464" t="n">
        <v>1</v>
      </c>
      <c r="P464" t="n">
        <v>1</v>
      </c>
      <c r="Q464" t="n">
        <v>2</v>
      </c>
      <c r="R464" s="2" t="inlineStr">
        <is>
          <t>Stor låsbräken
Ögonpyrola</t>
        </is>
      </c>
      <c r="S464">
        <f>HYPERLINK("https://klasma.github.io/Logging_0319/artfynd/A 55143-2024 artfynd.xlsx", "A 55143-2024")</f>
        <v/>
      </c>
      <c r="T464">
        <f>HYPERLINK("https://klasma.github.io/Logging_0319/kartor/A 55143-2024 karta.png", "A 55143-2024")</f>
        <v/>
      </c>
      <c r="V464">
        <f>HYPERLINK("https://klasma.github.io/Logging_0319/klagomål/A 55143-2024 FSC-klagomål.docx", "A 55143-2024")</f>
        <v/>
      </c>
      <c r="W464">
        <f>HYPERLINK("https://klasma.github.io/Logging_0319/klagomålsmail/A 55143-2024 FSC-klagomål mail.docx", "A 55143-2024")</f>
        <v/>
      </c>
      <c r="X464">
        <f>HYPERLINK("https://klasma.github.io/Logging_0319/tillsyn/A 55143-2024 tillsynsbegäran.docx", "A 55143-2024")</f>
        <v/>
      </c>
      <c r="Y464">
        <f>HYPERLINK("https://klasma.github.io/Logging_0319/tillsynsmail/A 55143-2024 tillsynsbegäran mail.docx", "A 55143-2024")</f>
        <v/>
      </c>
    </row>
    <row r="465" ht="15" customHeight="1">
      <c r="A465" t="inlineStr">
        <is>
          <t>A 55567-2024</t>
        </is>
      </c>
      <c r="B465" s="1" t="n">
        <v>45622</v>
      </c>
      <c r="C465" s="1" t="n">
        <v>45832</v>
      </c>
      <c r="D465" t="inlineStr">
        <is>
          <t>UPPSALA LÄN</t>
        </is>
      </c>
      <c r="E465" t="inlineStr">
        <is>
          <t>ÄLVKARLEBY</t>
        </is>
      </c>
      <c r="F465" t="inlineStr">
        <is>
          <t>Bergvik skog väst AB</t>
        </is>
      </c>
      <c r="G465" t="n">
        <v>2.7</v>
      </c>
      <c r="H465" t="n">
        <v>1</v>
      </c>
      <c r="I465" t="n">
        <v>0</v>
      </c>
      <c r="J465" t="n">
        <v>1</v>
      </c>
      <c r="K465" t="n">
        <v>1</v>
      </c>
      <c r="L465" t="n">
        <v>0</v>
      </c>
      <c r="M465" t="n">
        <v>0</v>
      </c>
      <c r="N465" t="n">
        <v>0</v>
      </c>
      <c r="O465" t="n">
        <v>2</v>
      </c>
      <c r="P465" t="n">
        <v>1</v>
      </c>
      <c r="Q465" t="n">
        <v>2</v>
      </c>
      <c r="R465" s="2" t="inlineStr">
        <is>
          <t>Knärot
Vedtrappmossa</t>
        </is>
      </c>
      <c r="S465">
        <f>HYPERLINK("https://klasma.github.io/Logging_0319/artfynd/A 55567-2024 artfynd.xlsx", "A 55567-2024")</f>
        <v/>
      </c>
      <c r="T465">
        <f>HYPERLINK("https://klasma.github.io/Logging_0319/kartor/A 55567-2024 karta.png", "A 55567-2024")</f>
        <v/>
      </c>
      <c r="U465">
        <f>HYPERLINK("https://klasma.github.io/Logging_0319/knärot/A 55567-2024 karta knärot.png", "A 55567-2024")</f>
        <v/>
      </c>
      <c r="V465">
        <f>HYPERLINK("https://klasma.github.io/Logging_0319/klagomål/A 55567-2024 FSC-klagomål.docx", "A 55567-2024")</f>
        <v/>
      </c>
      <c r="W465">
        <f>HYPERLINK("https://klasma.github.io/Logging_0319/klagomålsmail/A 55567-2024 FSC-klagomål mail.docx", "A 55567-2024")</f>
        <v/>
      </c>
      <c r="X465">
        <f>HYPERLINK("https://klasma.github.io/Logging_0319/tillsyn/A 55567-2024 tillsynsbegäran.docx", "A 55567-2024")</f>
        <v/>
      </c>
      <c r="Y465">
        <f>HYPERLINK("https://klasma.github.io/Logging_0319/tillsynsmail/A 55567-2024 tillsynsbegäran mail.docx", "A 55567-2024")</f>
        <v/>
      </c>
    </row>
    <row r="466" ht="15" customHeight="1">
      <c r="A466" t="inlineStr">
        <is>
          <t>A 58146-2024</t>
        </is>
      </c>
      <c r="B466" s="1" t="n">
        <v>45632</v>
      </c>
      <c r="C466" s="1" t="n">
        <v>45832</v>
      </c>
      <c r="D466" t="inlineStr">
        <is>
          <t>UPPSALA LÄN</t>
        </is>
      </c>
      <c r="E466" t="inlineStr">
        <is>
          <t>TIERP</t>
        </is>
      </c>
      <c r="G466" t="n">
        <v>11.8</v>
      </c>
      <c r="H466" t="n">
        <v>1</v>
      </c>
      <c r="I466" t="n">
        <v>1</v>
      </c>
      <c r="J466" t="n">
        <v>0</v>
      </c>
      <c r="K466" t="n">
        <v>0</v>
      </c>
      <c r="L466" t="n">
        <v>0</v>
      </c>
      <c r="M466" t="n">
        <v>0</v>
      </c>
      <c r="N466" t="n">
        <v>0</v>
      </c>
      <c r="O466" t="n">
        <v>0</v>
      </c>
      <c r="P466" t="n">
        <v>0</v>
      </c>
      <c r="Q466" t="n">
        <v>2</v>
      </c>
      <c r="R466" s="2" t="inlineStr">
        <is>
          <t>Vårärt
Blåsippa</t>
        </is>
      </c>
      <c r="S466">
        <f>HYPERLINK("https://klasma.github.io/Logging_0360/artfynd/A 58146-2024 artfynd.xlsx", "A 58146-2024")</f>
        <v/>
      </c>
      <c r="T466">
        <f>HYPERLINK("https://klasma.github.io/Logging_0360/kartor/A 58146-2024 karta.png", "A 58146-2024")</f>
        <v/>
      </c>
      <c r="V466">
        <f>HYPERLINK("https://klasma.github.io/Logging_0360/klagomål/A 58146-2024 FSC-klagomål.docx", "A 58146-2024")</f>
        <v/>
      </c>
      <c r="W466">
        <f>HYPERLINK("https://klasma.github.io/Logging_0360/klagomålsmail/A 58146-2024 FSC-klagomål mail.docx", "A 58146-2024")</f>
        <v/>
      </c>
      <c r="X466">
        <f>HYPERLINK("https://klasma.github.io/Logging_0360/tillsyn/A 58146-2024 tillsynsbegäran.docx", "A 58146-2024")</f>
        <v/>
      </c>
      <c r="Y466">
        <f>HYPERLINK("https://klasma.github.io/Logging_0360/tillsynsmail/A 58146-2024 tillsynsbegäran mail.docx", "A 58146-2024")</f>
        <v/>
      </c>
    </row>
    <row r="467" ht="15" customHeight="1">
      <c r="A467" t="inlineStr">
        <is>
          <t>A 61511-2024</t>
        </is>
      </c>
      <c r="B467" s="1" t="n">
        <v>45646</v>
      </c>
      <c r="C467" s="1" t="n">
        <v>45832</v>
      </c>
      <c r="D467" t="inlineStr">
        <is>
          <t>UPPSALA LÄN</t>
        </is>
      </c>
      <c r="E467" t="inlineStr">
        <is>
          <t>UPPSALA</t>
        </is>
      </c>
      <c r="F467" t="inlineStr">
        <is>
          <t>Bergvik skog väst AB</t>
        </is>
      </c>
      <c r="G467" t="n">
        <v>25.1</v>
      </c>
      <c r="H467" t="n">
        <v>0</v>
      </c>
      <c r="I467" t="n">
        <v>1</v>
      </c>
      <c r="J467" t="n">
        <v>0</v>
      </c>
      <c r="K467" t="n">
        <v>1</v>
      </c>
      <c r="L467" t="n">
        <v>0</v>
      </c>
      <c r="M467" t="n">
        <v>0</v>
      </c>
      <c r="N467" t="n">
        <v>0</v>
      </c>
      <c r="O467" t="n">
        <v>1</v>
      </c>
      <c r="P467" t="n">
        <v>1</v>
      </c>
      <c r="Q467" t="n">
        <v>2</v>
      </c>
      <c r="R467" s="2" t="inlineStr">
        <is>
          <t>Doftfjällskivling
Kamjordstjärna</t>
        </is>
      </c>
      <c r="S467">
        <f>HYPERLINK("https://klasma.github.io/Logging_0380/artfynd/A 61511-2024 artfynd.xlsx", "A 61511-2024")</f>
        <v/>
      </c>
      <c r="T467">
        <f>HYPERLINK("https://klasma.github.io/Logging_0380/kartor/A 61511-2024 karta.png", "A 61511-2024")</f>
        <v/>
      </c>
      <c r="V467">
        <f>HYPERLINK("https://klasma.github.io/Logging_0380/klagomål/A 61511-2024 FSC-klagomål.docx", "A 61511-2024")</f>
        <v/>
      </c>
      <c r="W467">
        <f>HYPERLINK("https://klasma.github.io/Logging_0380/klagomålsmail/A 61511-2024 FSC-klagomål mail.docx", "A 61511-2024")</f>
        <v/>
      </c>
      <c r="X467">
        <f>HYPERLINK("https://klasma.github.io/Logging_0380/tillsyn/A 61511-2024 tillsynsbegäran.docx", "A 61511-2024")</f>
        <v/>
      </c>
      <c r="Y467">
        <f>HYPERLINK("https://klasma.github.io/Logging_0380/tillsynsmail/A 61511-2024 tillsynsbegäran mail.docx", "A 61511-2024")</f>
        <v/>
      </c>
    </row>
    <row r="468" ht="15" customHeight="1">
      <c r="A468" t="inlineStr">
        <is>
          <t>A 1124-2025</t>
        </is>
      </c>
      <c r="B468" s="1" t="n">
        <v>45666</v>
      </c>
      <c r="C468" s="1" t="n">
        <v>45832</v>
      </c>
      <c r="D468" t="inlineStr">
        <is>
          <t>UPPSALA LÄN</t>
        </is>
      </c>
      <c r="E468" t="inlineStr">
        <is>
          <t>UPPSALA</t>
        </is>
      </c>
      <c r="G468" t="n">
        <v>8.300000000000001</v>
      </c>
      <c r="H468" t="n">
        <v>1</v>
      </c>
      <c r="I468" t="n">
        <v>1</v>
      </c>
      <c r="J468" t="n">
        <v>0</v>
      </c>
      <c r="K468" t="n">
        <v>1</v>
      </c>
      <c r="L468" t="n">
        <v>0</v>
      </c>
      <c r="M468" t="n">
        <v>0</v>
      </c>
      <c r="N468" t="n">
        <v>0</v>
      </c>
      <c r="O468" t="n">
        <v>1</v>
      </c>
      <c r="P468" t="n">
        <v>1</v>
      </c>
      <c r="Q468" t="n">
        <v>2</v>
      </c>
      <c r="R468" s="2" t="inlineStr">
        <is>
          <t>Rynkskinn
Grön sköldmossa</t>
        </is>
      </c>
      <c r="S468">
        <f>HYPERLINK("https://klasma.github.io/Logging_0380/artfynd/A 1124-2025 artfynd.xlsx", "A 1124-2025")</f>
        <v/>
      </c>
      <c r="T468">
        <f>HYPERLINK("https://klasma.github.io/Logging_0380/kartor/A 1124-2025 karta.png", "A 1124-2025")</f>
        <v/>
      </c>
      <c r="V468">
        <f>HYPERLINK("https://klasma.github.io/Logging_0380/klagomål/A 1124-2025 FSC-klagomål.docx", "A 1124-2025")</f>
        <v/>
      </c>
      <c r="W468">
        <f>HYPERLINK("https://klasma.github.io/Logging_0380/klagomålsmail/A 1124-2025 FSC-klagomål mail.docx", "A 1124-2025")</f>
        <v/>
      </c>
      <c r="X468">
        <f>HYPERLINK("https://klasma.github.io/Logging_0380/tillsyn/A 1124-2025 tillsynsbegäran.docx", "A 1124-2025")</f>
        <v/>
      </c>
      <c r="Y468">
        <f>HYPERLINK("https://klasma.github.io/Logging_0380/tillsynsmail/A 1124-2025 tillsynsbegäran mail.docx", "A 1124-2025")</f>
        <v/>
      </c>
    </row>
    <row r="469" ht="15" customHeight="1">
      <c r="A469" t="inlineStr">
        <is>
          <t>A 2916-2025</t>
        </is>
      </c>
      <c r="B469" s="1" t="n">
        <v>45677</v>
      </c>
      <c r="C469" s="1" t="n">
        <v>45832</v>
      </c>
      <c r="D469" t="inlineStr">
        <is>
          <t>UPPSALA LÄN</t>
        </is>
      </c>
      <c r="E469" t="inlineStr">
        <is>
          <t>ÖSTHAMMAR</t>
        </is>
      </c>
      <c r="F469" t="inlineStr">
        <is>
          <t>Allmännings- och besparingsskogar</t>
        </is>
      </c>
      <c r="G469" t="n">
        <v>10.5</v>
      </c>
      <c r="H469" t="n">
        <v>2</v>
      </c>
      <c r="I469" t="n">
        <v>0</v>
      </c>
      <c r="J469" t="n">
        <v>0</v>
      </c>
      <c r="K469" t="n">
        <v>0</v>
      </c>
      <c r="L469" t="n">
        <v>0</v>
      </c>
      <c r="M469" t="n">
        <v>0</v>
      </c>
      <c r="N469" t="n">
        <v>0</v>
      </c>
      <c r="O469" t="n">
        <v>0</v>
      </c>
      <c r="P469" t="n">
        <v>0</v>
      </c>
      <c r="Q469" t="n">
        <v>2</v>
      </c>
      <c r="R469" s="2" t="inlineStr">
        <is>
          <t>Grönvit nattviol
Ängsnycklar × fläcknycklar</t>
        </is>
      </c>
      <c r="S469">
        <f>HYPERLINK("https://klasma.github.io/Logging_0382/artfynd/A 2916-2025 artfynd.xlsx", "A 2916-2025")</f>
        <v/>
      </c>
      <c r="T469">
        <f>HYPERLINK("https://klasma.github.io/Logging_0382/kartor/A 2916-2025 karta.png", "A 2916-2025")</f>
        <v/>
      </c>
      <c r="V469">
        <f>HYPERLINK("https://klasma.github.io/Logging_0382/klagomål/A 2916-2025 FSC-klagomål.docx", "A 2916-2025")</f>
        <v/>
      </c>
      <c r="W469">
        <f>HYPERLINK("https://klasma.github.io/Logging_0382/klagomålsmail/A 2916-2025 FSC-klagomål mail.docx", "A 2916-2025")</f>
        <v/>
      </c>
      <c r="X469">
        <f>HYPERLINK("https://klasma.github.io/Logging_0382/tillsyn/A 2916-2025 tillsynsbegäran.docx", "A 2916-2025")</f>
        <v/>
      </c>
      <c r="Y469">
        <f>HYPERLINK("https://klasma.github.io/Logging_0382/tillsynsmail/A 2916-2025 tillsynsbegäran mail.docx", "A 2916-2025")</f>
        <v/>
      </c>
    </row>
    <row r="470" ht="15" customHeight="1">
      <c r="A470" t="inlineStr">
        <is>
          <t>A 5703-2025</t>
        </is>
      </c>
      <c r="B470" s="1" t="n">
        <v>45694</v>
      </c>
      <c r="C470" s="1" t="n">
        <v>45832</v>
      </c>
      <c r="D470" t="inlineStr">
        <is>
          <t>UPPSALA LÄN</t>
        </is>
      </c>
      <c r="E470" t="inlineStr">
        <is>
          <t>UPPSALA</t>
        </is>
      </c>
      <c r="F470" t="inlineStr">
        <is>
          <t>Bergvik skog öst AB</t>
        </is>
      </c>
      <c r="G470" t="n">
        <v>12.1</v>
      </c>
      <c r="H470" t="n">
        <v>2</v>
      </c>
      <c r="I470" t="n">
        <v>0</v>
      </c>
      <c r="J470" t="n">
        <v>0</v>
      </c>
      <c r="K470" t="n">
        <v>0</v>
      </c>
      <c r="L470" t="n">
        <v>0</v>
      </c>
      <c r="M470" t="n">
        <v>0</v>
      </c>
      <c r="N470" t="n">
        <v>0</v>
      </c>
      <c r="O470" t="n">
        <v>0</v>
      </c>
      <c r="P470" t="n">
        <v>0</v>
      </c>
      <c r="Q470" t="n">
        <v>2</v>
      </c>
      <c r="R470" s="2" t="inlineStr">
        <is>
          <t>Fläcknycklar
Nattviol</t>
        </is>
      </c>
      <c r="S470">
        <f>HYPERLINK("https://klasma.github.io/Logging_0380/artfynd/A 5703-2025 artfynd.xlsx", "A 5703-2025")</f>
        <v/>
      </c>
      <c r="T470">
        <f>HYPERLINK("https://klasma.github.io/Logging_0380/kartor/A 5703-2025 karta.png", "A 5703-2025")</f>
        <v/>
      </c>
      <c r="V470">
        <f>HYPERLINK("https://klasma.github.io/Logging_0380/klagomål/A 5703-2025 FSC-klagomål.docx", "A 5703-2025")</f>
        <v/>
      </c>
      <c r="W470">
        <f>HYPERLINK("https://klasma.github.io/Logging_0380/klagomålsmail/A 5703-2025 FSC-klagomål mail.docx", "A 5703-2025")</f>
        <v/>
      </c>
      <c r="X470">
        <f>HYPERLINK("https://klasma.github.io/Logging_0380/tillsyn/A 5703-2025 tillsynsbegäran.docx", "A 5703-2025")</f>
        <v/>
      </c>
      <c r="Y470">
        <f>HYPERLINK("https://klasma.github.io/Logging_0380/tillsynsmail/A 5703-2025 tillsynsbegäran mail.docx", "A 5703-2025")</f>
        <v/>
      </c>
    </row>
    <row r="471" ht="15" customHeight="1">
      <c r="A471" t="inlineStr">
        <is>
          <t>A 5755-2025</t>
        </is>
      </c>
      <c r="B471" s="1" t="n">
        <v>45694</v>
      </c>
      <c r="C471" s="1" t="n">
        <v>45832</v>
      </c>
      <c r="D471" t="inlineStr">
        <is>
          <t>UPPSALA LÄN</t>
        </is>
      </c>
      <c r="E471" t="inlineStr">
        <is>
          <t>UPPSALA</t>
        </is>
      </c>
      <c r="G471" t="n">
        <v>1.3</v>
      </c>
      <c r="H471" t="n">
        <v>0</v>
      </c>
      <c r="I471" t="n">
        <v>2</v>
      </c>
      <c r="J471" t="n">
        <v>0</v>
      </c>
      <c r="K471" t="n">
        <v>0</v>
      </c>
      <c r="L471" t="n">
        <v>0</v>
      </c>
      <c r="M471" t="n">
        <v>0</v>
      </c>
      <c r="N471" t="n">
        <v>0</v>
      </c>
      <c r="O471" t="n">
        <v>0</v>
      </c>
      <c r="P471" t="n">
        <v>0</v>
      </c>
      <c r="Q471" t="n">
        <v>2</v>
      </c>
      <c r="R471" s="2" t="inlineStr">
        <is>
          <t>Fällmossa
Hasselticka</t>
        </is>
      </c>
      <c r="S471">
        <f>HYPERLINK("https://klasma.github.io/Logging_0380/artfynd/A 5755-2025 artfynd.xlsx", "A 5755-2025")</f>
        <v/>
      </c>
      <c r="T471">
        <f>HYPERLINK("https://klasma.github.io/Logging_0380/kartor/A 5755-2025 karta.png", "A 5755-2025")</f>
        <v/>
      </c>
      <c r="V471">
        <f>HYPERLINK("https://klasma.github.io/Logging_0380/klagomål/A 5755-2025 FSC-klagomål.docx", "A 5755-2025")</f>
        <v/>
      </c>
      <c r="W471">
        <f>HYPERLINK("https://klasma.github.io/Logging_0380/klagomålsmail/A 5755-2025 FSC-klagomål mail.docx", "A 5755-2025")</f>
        <v/>
      </c>
      <c r="X471">
        <f>HYPERLINK("https://klasma.github.io/Logging_0380/tillsyn/A 5755-2025 tillsynsbegäran.docx", "A 5755-2025")</f>
        <v/>
      </c>
      <c r="Y471">
        <f>HYPERLINK("https://klasma.github.io/Logging_0380/tillsynsmail/A 5755-2025 tillsynsbegäran mail.docx", "A 5755-2025")</f>
        <v/>
      </c>
    </row>
    <row r="472" ht="15" customHeight="1">
      <c r="A472" t="inlineStr">
        <is>
          <t>A 6831-2025</t>
        </is>
      </c>
      <c r="B472" s="1" t="n">
        <v>45700</v>
      </c>
      <c r="C472" s="1" t="n">
        <v>45832</v>
      </c>
      <c r="D472" t="inlineStr">
        <is>
          <t>UPPSALA LÄN</t>
        </is>
      </c>
      <c r="E472" t="inlineStr">
        <is>
          <t>TIERP</t>
        </is>
      </c>
      <c r="G472" t="n">
        <v>11.7</v>
      </c>
      <c r="H472" t="n">
        <v>1</v>
      </c>
      <c r="I472" t="n">
        <v>1</v>
      </c>
      <c r="J472" t="n">
        <v>0</v>
      </c>
      <c r="K472" t="n">
        <v>0</v>
      </c>
      <c r="L472" t="n">
        <v>0</v>
      </c>
      <c r="M472" t="n">
        <v>0</v>
      </c>
      <c r="N472" t="n">
        <v>0</v>
      </c>
      <c r="O472" t="n">
        <v>0</v>
      </c>
      <c r="P472" t="n">
        <v>0</v>
      </c>
      <c r="Q472" t="n">
        <v>2</v>
      </c>
      <c r="R472" s="2" t="inlineStr">
        <is>
          <t>Tibast
Revlummer</t>
        </is>
      </c>
      <c r="S472">
        <f>HYPERLINK("https://klasma.github.io/Logging_0360/artfynd/A 6831-2025 artfynd.xlsx", "A 6831-2025")</f>
        <v/>
      </c>
      <c r="T472">
        <f>HYPERLINK("https://klasma.github.io/Logging_0360/kartor/A 6831-2025 karta.png", "A 6831-2025")</f>
        <v/>
      </c>
      <c r="V472">
        <f>HYPERLINK("https://klasma.github.io/Logging_0360/klagomål/A 6831-2025 FSC-klagomål.docx", "A 6831-2025")</f>
        <v/>
      </c>
      <c r="W472">
        <f>HYPERLINK("https://klasma.github.io/Logging_0360/klagomålsmail/A 6831-2025 FSC-klagomål mail.docx", "A 6831-2025")</f>
        <v/>
      </c>
      <c r="X472">
        <f>HYPERLINK("https://klasma.github.io/Logging_0360/tillsyn/A 6831-2025 tillsynsbegäran.docx", "A 6831-2025")</f>
        <v/>
      </c>
      <c r="Y472">
        <f>HYPERLINK("https://klasma.github.io/Logging_0360/tillsynsmail/A 6831-2025 tillsynsbegäran mail.docx", "A 6831-2025")</f>
        <v/>
      </c>
    </row>
    <row r="473" ht="15" customHeight="1">
      <c r="A473" t="inlineStr">
        <is>
          <t>A 9401-2025</t>
        </is>
      </c>
      <c r="B473" s="1" t="n">
        <v>45715</v>
      </c>
      <c r="C473" s="1" t="n">
        <v>45832</v>
      </c>
      <c r="D473" t="inlineStr">
        <is>
          <t>UPPSALA LÄN</t>
        </is>
      </c>
      <c r="E473" t="inlineStr">
        <is>
          <t>UPPSALA</t>
        </is>
      </c>
      <c r="G473" t="n">
        <v>3.1</v>
      </c>
      <c r="H473" t="n">
        <v>2</v>
      </c>
      <c r="I473" t="n">
        <v>0</v>
      </c>
      <c r="J473" t="n">
        <v>0</v>
      </c>
      <c r="K473" t="n">
        <v>0</v>
      </c>
      <c r="L473" t="n">
        <v>0</v>
      </c>
      <c r="M473" t="n">
        <v>0</v>
      </c>
      <c r="N473" t="n">
        <v>0</v>
      </c>
      <c r="O473" t="n">
        <v>0</v>
      </c>
      <c r="P473" t="n">
        <v>0</v>
      </c>
      <c r="Q473" t="n">
        <v>2</v>
      </c>
      <c r="R473" s="2" t="inlineStr">
        <is>
          <t>Vanlig padda
Blåsippa</t>
        </is>
      </c>
      <c r="S473">
        <f>HYPERLINK("https://klasma.github.io/Logging_030380/artfynd/A 9401-2025 artfynd.xlsx", "A 9401-2025")</f>
        <v/>
      </c>
      <c r="T473">
        <f>HYPERLINK("https://klasma.github.io/Logging_030380/kartor/A 9401-2025 karta.png", "A 9401-2025")</f>
        <v/>
      </c>
      <c r="V473">
        <f>HYPERLINK("https://klasma.github.io/Logging_030380/klagomål/A 9401-2025 FSC-klagomål.docx", "A 9401-2025")</f>
        <v/>
      </c>
      <c r="W473">
        <f>HYPERLINK("https://klasma.github.io/Logging_030380/klagomålsmail/A 9401-2025 FSC-klagomål mail.docx", "A 9401-2025")</f>
        <v/>
      </c>
      <c r="X473">
        <f>HYPERLINK("https://klasma.github.io/Logging_030380/tillsyn/A 9401-2025 tillsynsbegäran.docx", "A 9401-2025")</f>
        <v/>
      </c>
      <c r="Y473">
        <f>HYPERLINK("https://klasma.github.io/Logging_030380/tillsynsmail/A 9401-2025 tillsynsbegäran mail.docx", "A 9401-2025")</f>
        <v/>
      </c>
    </row>
    <row r="474" ht="15" customHeight="1">
      <c r="A474" t="inlineStr">
        <is>
          <t>A 17748-2025</t>
        </is>
      </c>
      <c r="B474" s="1" t="n">
        <v>45758</v>
      </c>
      <c r="C474" s="1" t="n">
        <v>45832</v>
      </c>
      <c r="D474" t="inlineStr">
        <is>
          <t>UPPSALA LÄN</t>
        </is>
      </c>
      <c r="E474" t="inlineStr">
        <is>
          <t>TIERP</t>
        </is>
      </c>
      <c r="F474" t="inlineStr">
        <is>
          <t>Bergvik skog öst AB</t>
        </is>
      </c>
      <c r="G474" t="n">
        <v>9.800000000000001</v>
      </c>
      <c r="H474" t="n">
        <v>1</v>
      </c>
      <c r="I474" t="n">
        <v>2</v>
      </c>
      <c r="J474" t="n">
        <v>0</v>
      </c>
      <c r="K474" t="n">
        <v>0</v>
      </c>
      <c r="L474" t="n">
        <v>0</v>
      </c>
      <c r="M474" t="n">
        <v>0</v>
      </c>
      <c r="N474" t="n">
        <v>0</v>
      </c>
      <c r="O474" t="n">
        <v>0</v>
      </c>
      <c r="P474" t="n">
        <v>0</v>
      </c>
      <c r="Q474" t="n">
        <v>2</v>
      </c>
      <c r="R474" s="2" t="inlineStr">
        <is>
          <t>Opalfingersvamp
Skogsknipprot</t>
        </is>
      </c>
      <c r="S474">
        <f>HYPERLINK("https://klasma.github.io/Logging_030360/artfynd/A 17748-2025 artfynd.xlsx", "A 17748-2025")</f>
        <v/>
      </c>
      <c r="T474">
        <f>HYPERLINK("https://klasma.github.io/Logging_030360/kartor/A 17748-2025 karta.png", "A 17748-2025")</f>
        <v/>
      </c>
      <c r="V474">
        <f>HYPERLINK("https://klasma.github.io/Logging_030360/klagomål/A 17748-2025 FSC-klagomål.docx", "A 17748-2025")</f>
        <v/>
      </c>
      <c r="W474">
        <f>HYPERLINK("https://klasma.github.io/Logging_030360/klagomålsmail/A 17748-2025 FSC-klagomål mail.docx", "A 17748-2025")</f>
        <v/>
      </c>
      <c r="X474">
        <f>HYPERLINK("https://klasma.github.io/Logging_030360/tillsyn/A 17748-2025 tillsynsbegäran.docx", "A 17748-2025")</f>
        <v/>
      </c>
      <c r="Y474">
        <f>HYPERLINK("https://klasma.github.io/Logging_030360/tillsynsmail/A 17748-2025 tillsynsbegäran mail.docx", "A 17748-2025")</f>
        <v/>
      </c>
    </row>
    <row r="475" ht="15" customHeight="1">
      <c r="A475" t="inlineStr">
        <is>
          <t>A 18425-2025</t>
        </is>
      </c>
      <c r="B475" s="1" t="n">
        <v>45762</v>
      </c>
      <c r="C475" s="1" t="n">
        <v>45832</v>
      </c>
      <c r="D475" t="inlineStr">
        <is>
          <t>UPPSALA LÄN</t>
        </is>
      </c>
      <c r="E475" t="inlineStr">
        <is>
          <t>UPPSALA</t>
        </is>
      </c>
      <c r="G475" t="n">
        <v>9.800000000000001</v>
      </c>
      <c r="H475" t="n">
        <v>1</v>
      </c>
      <c r="I475" t="n">
        <v>0</v>
      </c>
      <c r="J475" t="n">
        <v>2</v>
      </c>
      <c r="K475" t="n">
        <v>0</v>
      </c>
      <c r="L475" t="n">
        <v>0</v>
      </c>
      <c r="M475" t="n">
        <v>0</v>
      </c>
      <c r="N475" t="n">
        <v>0</v>
      </c>
      <c r="O475" t="n">
        <v>2</v>
      </c>
      <c r="P475" t="n">
        <v>0</v>
      </c>
      <c r="Q475" t="n">
        <v>2</v>
      </c>
      <c r="R475" s="2" t="inlineStr">
        <is>
          <t>Spillkråka
Tallticka</t>
        </is>
      </c>
      <c r="S475">
        <f>HYPERLINK("https://klasma.github.io/Logging_030380/artfynd/A 18425-2025 artfynd.xlsx", "A 18425-2025")</f>
        <v/>
      </c>
      <c r="T475">
        <f>HYPERLINK("https://klasma.github.io/Logging_030380/kartor/A 18425-2025 karta.png", "A 18425-2025")</f>
        <v/>
      </c>
      <c r="V475">
        <f>HYPERLINK("https://klasma.github.io/Logging_030380/klagomål/A 18425-2025 FSC-klagomål.docx", "A 18425-2025")</f>
        <v/>
      </c>
      <c r="W475">
        <f>HYPERLINK("https://klasma.github.io/Logging_030380/klagomålsmail/A 18425-2025 FSC-klagomål mail.docx", "A 18425-2025")</f>
        <v/>
      </c>
      <c r="X475">
        <f>HYPERLINK("https://klasma.github.io/Logging_030380/tillsyn/A 18425-2025 tillsynsbegäran.docx", "A 18425-2025")</f>
        <v/>
      </c>
      <c r="Y475">
        <f>HYPERLINK("https://klasma.github.io/Logging_030380/tillsynsmail/A 18425-2025 tillsynsbegäran mail.docx", "A 18425-2025")</f>
        <v/>
      </c>
      <c r="Z475">
        <f>HYPERLINK("https://klasma.github.io/Logging_030380/fåglar/A 18425-2025 prioriterade fågelarter.docx", "A 18425-2025")</f>
        <v/>
      </c>
    </row>
    <row r="476" ht="15" customHeight="1">
      <c r="A476" t="inlineStr">
        <is>
          <t>A 20553-2025</t>
        </is>
      </c>
      <c r="B476" s="1" t="n">
        <v>45775</v>
      </c>
      <c r="C476" s="1" t="n">
        <v>45832</v>
      </c>
      <c r="D476" t="inlineStr">
        <is>
          <t>UPPSALA LÄN</t>
        </is>
      </c>
      <c r="E476" t="inlineStr">
        <is>
          <t>ÖSTHAMMAR</t>
        </is>
      </c>
      <c r="G476" t="n">
        <v>0.4</v>
      </c>
      <c r="H476" t="n">
        <v>0</v>
      </c>
      <c r="I476" t="n">
        <v>2</v>
      </c>
      <c r="J476" t="n">
        <v>0</v>
      </c>
      <c r="K476" t="n">
        <v>0</v>
      </c>
      <c r="L476" t="n">
        <v>0</v>
      </c>
      <c r="M476" t="n">
        <v>0</v>
      </c>
      <c r="N476" t="n">
        <v>0</v>
      </c>
      <c r="O476" t="n">
        <v>0</v>
      </c>
      <c r="P476" t="n">
        <v>0</v>
      </c>
      <c r="Q476" t="n">
        <v>2</v>
      </c>
      <c r="R476" s="2" t="inlineStr">
        <is>
          <t>Jättesvampmal
Robust tickgnagare</t>
        </is>
      </c>
      <c r="S476">
        <f>HYPERLINK("https://klasma.github.io/Logging_030382/artfynd/A 20553-2025 artfynd.xlsx", "A 20553-2025")</f>
        <v/>
      </c>
      <c r="T476">
        <f>HYPERLINK("https://klasma.github.io/Logging_030382/kartor/A 20553-2025 karta.png", "A 20553-2025")</f>
        <v/>
      </c>
      <c r="V476">
        <f>HYPERLINK("https://klasma.github.io/Logging_030382/klagomål/A 20553-2025 FSC-klagomål.docx", "A 20553-2025")</f>
        <v/>
      </c>
      <c r="W476">
        <f>HYPERLINK("https://klasma.github.io/Logging_030382/klagomålsmail/A 20553-2025 FSC-klagomål mail.docx", "A 20553-2025")</f>
        <v/>
      </c>
      <c r="X476">
        <f>HYPERLINK("https://klasma.github.io/Logging_030382/tillsyn/A 20553-2025 tillsynsbegäran.docx", "A 20553-2025")</f>
        <v/>
      </c>
      <c r="Y476">
        <f>HYPERLINK("https://klasma.github.io/Logging_030382/tillsynsmail/A 20553-2025 tillsynsbegäran mail.docx", "A 20553-2025")</f>
        <v/>
      </c>
    </row>
    <row r="477" ht="15" customHeight="1">
      <c r="A477" t="inlineStr">
        <is>
          <t>A 21007-2025</t>
        </is>
      </c>
      <c r="B477" s="1" t="n">
        <v>45777</v>
      </c>
      <c r="C477" s="1" t="n">
        <v>45832</v>
      </c>
      <c r="D477" t="inlineStr">
        <is>
          <t>UPPSALA LÄN</t>
        </is>
      </c>
      <c r="E477" t="inlineStr">
        <is>
          <t>ÄLVKARLEBY</t>
        </is>
      </c>
      <c r="F477" t="inlineStr">
        <is>
          <t>Bergvik skog väst AB</t>
        </is>
      </c>
      <c r="G477" t="n">
        <v>5.2</v>
      </c>
      <c r="H477" t="n">
        <v>0</v>
      </c>
      <c r="I477" t="n">
        <v>2</v>
      </c>
      <c r="J477" t="n">
        <v>0</v>
      </c>
      <c r="K477" t="n">
        <v>0</v>
      </c>
      <c r="L477" t="n">
        <v>0</v>
      </c>
      <c r="M477" t="n">
        <v>0</v>
      </c>
      <c r="N477" t="n">
        <v>0</v>
      </c>
      <c r="O477" t="n">
        <v>0</v>
      </c>
      <c r="P477" t="n">
        <v>0</v>
      </c>
      <c r="Q477" t="n">
        <v>2</v>
      </c>
      <c r="R477" s="2" t="inlineStr">
        <is>
          <t>Svart trolldruva
Tibast</t>
        </is>
      </c>
      <c r="S477">
        <f>HYPERLINK("https://klasma.github.io/Logging_030319/artfynd/A 21007-2025 artfynd.xlsx", "A 21007-2025")</f>
        <v/>
      </c>
      <c r="T477">
        <f>HYPERLINK("https://klasma.github.io/Logging_030319/kartor/A 21007-2025 karta.png", "A 21007-2025")</f>
        <v/>
      </c>
      <c r="V477">
        <f>HYPERLINK("https://klasma.github.io/Logging_030319/klagomål/A 21007-2025 FSC-klagomål.docx", "A 21007-2025")</f>
        <v/>
      </c>
      <c r="W477">
        <f>HYPERLINK("https://klasma.github.io/Logging_030319/klagomålsmail/A 21007-2025 FSC-klagomål mail.docx", "A 21007-2025")</f>
        <v/>
      </c>
      <c r="X477">
        <f>HYPERLINK("https://klasma.github.io/Logging_030319/tillsyn/A 21007-2025 tillsynsbegäran.docx", "A 21007-2025")</f>
        <v/>
      </c>
      <c r="Y477">
        <f>HYPERLINK("https://klasma.github.io/Logging_030319/tillsynsmail/A 21007-2025 tillsynsbegäran mail.docx", "A 21007-2025")</f>
        <v/>
      </c>
    </row>
    <row r="478" ht="15" customHeight="1">
      <c r="A478" t="inlineStr">
        <is>
          <t>A 21607-2025</t>
        </is>
      </c>
      <c r="B478" s="1" t="n">
        <v>45783</v>
      </c>
      <c r="C478" s="1" t="n">
        <v>45832</v>
      </c>
      <c r="D478" t="inlineStr">
        <is>
          <t>UPPSALA LÄN</t>
        </is>
      </c>
      <c r="E478" t="inlineStr">
        <is>
          <t>TIERP</t>
        </is>
      </c>
      <c r="F478" t="inlineStr">
        <is>
          <t>Bergvik skog öst AB</t>
        </is>
      </c>
      <c r="G478" t="n">
        <v>6.8</v>
      </c>
      <c r="H478" t="n">
        <v>1</v>
      </c>
      <c r="I478" t="n">
        <v>1</v>
      </c>
      <c r="J478" t="n">
        <v>0</v>
      </c>
      <c r="K478" t="n">
        <v>0</v>
      </c>
      <c r="L478" t="n">
        <v>0</v>
      </c>
      <c r="M478" t="n">
        <v>0</v>
      </c>
      <c r="N478" t="n">
        <v>0</v>
      </c>
      <c r="O478" t="n">
        <v>0</v>
      </c>
      <c r="P478" t="n">
        <v>0</v>
      </c>
      <c r="Q478" t="n">
        <v>2</v>
      </c>
      <c r="R478" s="2" t="inlineStr">
        <is>
          <t>Vanlig rörsvepemossa
Revlummer</t>
        </is>
      </c>
      <c r="S478">
        <f>HYPERLINK("https://klasma.github.io/Logging_030360/artfynd/A 21607-2025 artfynd.xlsx", "A 21607-2025")</f>
        <v/>
      </c>
      <c r="T478">
        <f>HYPERLINK("https://klasma.github.io/Logging_030360/kartor/A 21607-2025 karta.png", "A 21607-2025")</f>
        <v/>
      </c>
      <c r="V478">
        <f>HYPERLINK("https://klasma.github.io/Logging_030360/klagomål/A 21607-2025 FSC-klagomål.docx", "A 21607-2025")</f>
        <v/>
      </c>
      <c r="W478">
        <f>HYPERLINK("https://klasma.github.io/Logging_030360/klagomålsmail/A 21607-2025 FSC-klagomål mail.docx", "A 21607-2025")</f>
        <v/>
      </c>
      <c r="X478">
        <f>HYPERLINK("https://klasma.github.io/Logging_030360/tillsyn/A 21607-2025 tillsynsbegäran.docx", "A 21607-2025")</f>
        <v/>
      </c>
      <c r="Y478">
        <f>HYPERLINK("https://klasma.github.io/Logging_030360/tillsynsmail/A 21607-2025 tillsynsbegäran mail.docx", "A 21607-2025")</f>
        <v/>
      </c>
    </row>
    <row r="479" ht="15" customHeight="1">
      <c r="A479" t="inlineStr">
        <is>
          <t>A 25013-2025</t>
        </is>
      </c>
      <c r="B479" s="1" t="n">
        <v>45799</v>
      </c>
      <c r="C479" s="1" t="n">
        <v>45832</v>
      </c>
      <c r="D479" t="inlineStr">
        <is>
          <t>UPPSALA LÄN</t>
        </is>
      </c>
      <c r="E479" t="inlineStr">
        <is>
          <t>TIERP</t>
        </is>
      </c>
      <c r="G479" t="n">
        <v>0.5</v>
      </c>
      <c r="H479" t="n">
        <v>0</v>
      </c>
      <c r="I479" t="n">
        <v>1</v>
      </c>
      <c r="J479" t="n">
        <v>1</v>
      </c>
      <c r="K479" t="n">
        <v>0</v>
      </c>
      <c r="L479" t="n">
        <v>0</v>
      </c>
      <c r="M479" t="n">
        <v>0</v>
      </c>
      <c r="N479" t="n">
        <v>0</v>
      </c>
      <c r="O479" t="n">
        <v>1</v>
      </c>
      <c r="P479" t="n">
        <v>0</v>
      </c>
      <c r="Q479" t="n">
        <v>2</v>
      </c>
      <c r="R479" s="2" t="inlineStr">
        <is>
          <t>Gul taggsvamp
Rödgul trumpetsvamp</t>
        </is>
      </c>
      <c r="S479">
        <f>HYPERLINK("https://klasma.github.io/Logging_030360/artfynd/A 25013-2025 artfynd.xlsx", "A 25013-2025")</f>
        <v/>
      </c>
      <c r="T479">
        <f>HYPERLINK("https://klasma.github.io/Logging_030360/kartor/A 25013-2025 karta.png", "A 25013-2025")</f>
        <v/>
      </c>
      <c r="V479">
        <f>HYPERLINK("https://klasma.github.io/Logging_030360/klagomål/A 25013-2025 FSC-klagomål.docx", "A 25013-2025")</f>
        <v/>
      </c>
      <c r="W479">
        <f>HYPERLINK("https://klasma.github.io/Logging_030360/klagomålsmail/A 25013-2025 FSC-klagomål mail.docx", "A 25013-2025")</f>
        <v/>
      </c>
      <c r="X479">
        <f>HYPERLINK("https://klasma.github.io/Logging_030360/tillsyn/A 25013-2025 tillsynsbegäran.docx", "A 25013-2025")</f>
        <v/>
      </c>
      <c r="Y479">
        <f>HYPERLINK("https://klasma.github.io/Logging_030360/tillsynsmail/A 25013-2025 tillsynsbegäran mail.docx", "A 25013-2025")</f>
        <v/>
      </c>
    </row>
    <row r="480" ht="15" customHeight="1">
      <c r="A480" t="inlineStr">
        <is>
          <t>A 27073-2025</t>
        </is>
      </c>
      <c r="B480" s="1" t="n">
        <v>45811</v>
      </c>
      <c r="C480" s="1" t="n">
        <v>45832</v>
      </c>
      <c r="D480" t="inlineStr">
        <is>
          <t>UPPSALA LÄN</t>
        </is>
      </c>
      <c r="E480" t="inlineStr">
        <is>
          <t>ENKÖPING</t>
        </is>
      </c>
      <c r="G480" t="n">
        <v>4.3</v>
      </c>
      <c r="H480" t="n">
        <v>0</v>
      </c>
      <c r="I480" t="n">
        <v>2</v>
      </c>
      <c r="J480" t="n">
        <v>0</v>
      </c>
      <c r="K480" t="n">
        <v>0</v>
      </c>
      <c r="L480" t="n">
        <v>0</v>
      </c>
      <c r="M480" t="n">
        <v>0</v>
      </c>
      <c r="N480" t="n">
        <v>0</v>
      </c>
      <c r="O480" t="n">
        <v>0</v>
      </c>
      <c r="P480" t="n">
        <v>0</v>
      </c>
      <c r="Q480" t="n">
        <v>2</v>
      </c>
      <c r="R480" s="2" t="inlineStr">
        <is>
          <t>Bågpraktmossa
Kärrkammossa</t>
        </is>
      </c>
      <c r="S480">
        <f>HYPERLINK("https://klasma.github.io/Logging_030381/artfynd/A 27073-2025 artfynd.xlsx", "A 27073-2025")</f>
        <v/>
      </c>
      <c r="T480">
        <f>HYPERLINK("https://klasma.github.io/Logging_030381/kartor/A 27073-2025 karta.png", "A 27073-2025")</f>
        <v/>
      </c>
      <c r="V480">
        <f>HYPERLINK("https://klasma.github.io/Logging_030381/klagomål/A 27073-2025 FSC-klagomål.docx", "A 27073-2025")</f>
        <v/>
      </c>
      <c r="W480">
        <f>HYPERLINK("https://klasma.github.io/Logging_030381/klagomålsmail/A 27073-2025 FSC-klagomål mail.docx", "A 27073-2025")</f>
        <v/>
      </c>
      <c r="X480">
        <f>HYPERLINK("https://klasma.github.io/Logging_030381/tillsyn/A 27073-2025 tillsynsbegäran.docx", "A 27073-2025")</f>
        <v/>
      </c>
      <c r="Y480">
        <f>HYPERLINK("https://klasma.github.io/Logging_030381/tillsynsmail/A 27073-2025 tillsynsbegäran mail.docx", "A 27073-2025")</f>
        <v/>
      </c>
    </row>
    <row r="481" ht="15" customHeight="1">
      <c r="A481" t="inlineStr">
        <is>
          <t>A 27281-2025</t>
        </is>
      </c>
      <c r="B481" s="1" t="n">
        <v>45812</v>
      </c>
      <c r="C481" s="1" t="n">
        <v>45832</v>
      </c>
      <c r="D481" t="inlineStr">
        <is>
          <t>UPPSALA LÄN</t>
        </is>
      </c>
      <c r="E481" t="inlineStr">
        <is>
          <t>UPPSALA</t>
        </is>
      </c>
      <c r="G481" t="n">
        <v>2.8</v>
      </c>
      <c r="H481" t="n">
        <v>0</v>
      </c>
      <c r="I481" t="n">
        <v>0</v>
      </c>
      <c r="J481" t="n">
        <v>2</v>
      </c>
      <c r="K481" t="n">
        <v>0</v>
      </c>
      <c r="L481" t="n">
        <v>0</v>
      </c>
      <c r="M481" t="n">
        <v>0</v>
      </c>
      <c r="N481" t="n">
        <v>0</v>
      </c>
      <c r="O481" t="n">
        <v>2</v>
      </c>
      <c r="P481" t="n">
        <v>0</v>
      </c>
      <c r="Q481" t="n">
        <v>2</v>
      </c>
      <c r="R481" s="2" t="inlineStr">
        <is>
          <t>Ullticka
Vedtrappmossa</t>
        </is>
      </c>
      <c r="S481">
        <f>HYPERLINK("https://klasma.github.io/Logging_030380/artfynd/A 27281-2025 artfynd.xlsx", "A 27281-2025")</f>
        <v/>
      </c>
      <c r="T481">
        <f>HYPERLINK("https://klasma.github.io/Logging_030380/kartor/A 27281-2025 karta.png", "A 27281-2025")</f>
        <v/>
      </c>
      <c r="V481">
        <f>HYPERLINK("https://klasma.github.io/Logging_030380/klagomål/A 27281-2025 FSC-klagomål.docx", "A 27281-2025")</f>
        <v/>
      </c>
      <c r="W481">
        <f>HYPERLINK("https://klasma.github.io/Logging_030380/klagomålsmail/A 27281-2025 FSC-klagomål mail.docx", "A 27281-2025")</f>
        <v/>
      </c>
      <c r="X481">
        <f>HYPERLINK("https://klasma.github.io/Logging_030380/tillsyn/A 27281-2025 tillsynsbegäran.docx", "A 27281-2025")</f>
        <v/>
      </c>
      <c r="Y481">
        <f>HYPERLINK("https://klasma.github.io/Logging_030380/tillsynsmail/A 27281-2025 tillsynsbegäran mail.docx", "A 27281-2025")</f>
        <v/>
      </c>
    </row>
    <row r="482" ht="15" customHeight="1">
      <c r="A482" t="inlineStr">
        <is>
          <t>A 29416-2025</t>
        </is>
      </c>
      <c r="B482" s="1" t="n">
        <v>45824</v>
      </c>
      <c r="C482" s="1" t="n">
        <v>45832</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45832</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45832</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45832</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45832</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45832</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45832</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45832</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45832</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45832</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45832</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45832</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45832</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45832</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45832</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45832</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45832</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45832</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45832</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45832</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45832</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45832</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45832</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45832</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45832</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45832</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45832</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45832</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45832</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45832</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45832</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45832</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45832</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45832</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45832</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45832</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45832</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45832</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45832</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45832</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45832</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45832</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45832</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45832</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45832</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45832</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45832</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45832</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45832</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45832</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45832</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45832</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45832</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45832</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45832</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45832</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45832</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45832</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45832</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45832</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45832</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45832</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45832</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45832</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45832</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45832</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45832</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45832</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45832</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45832</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45832</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45832</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45832</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45832</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45832</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45832</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45832</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45832</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45832</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45832</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45832</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45832</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45832</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45832</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45832</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45832</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45832</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45832</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45832</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45832</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45832</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45832</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45832</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45832</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45832</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45832</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45832</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45832</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45832</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45832</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45832</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45832</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45832</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45832</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45832</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45832</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45832</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45832</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45832</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45832</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45832</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45832</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45832</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45832</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45832</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45832</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45832</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45832</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45832</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45832</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45832</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45832</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45832</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45832</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45832</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45832</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45832</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45832</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45832</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45832</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45832</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45832</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45832</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45832</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45832</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45832</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45832</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45832</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45832</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45832</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45832</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45832</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45832</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45832</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45832</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45832</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45832</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45832</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45832</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45832</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45832</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45832</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45832</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45832</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45832</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45832</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45832</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45832</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45832</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45832</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45832</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45832</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45832</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45832</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45832</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45832</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45832</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45832</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45832</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45832</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45832</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45832</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45832</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45832</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45832</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45832</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45832</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45832</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45832</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45832</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45832</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45832</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45832</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45832</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45832</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45832</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45832</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45832</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45832</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45832</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45832</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45832</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45832</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45832</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45832</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45832</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45832</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45832</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45832</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45832</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45832</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45832</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45832</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45832</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45832</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45832</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45832</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45832</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45832</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45832</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45832</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45832</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45832</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45832</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45832</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45832</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45832</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45832</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45832</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45832</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45832</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45832</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45832</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45832</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45832</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45832</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45832</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45832</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45832</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45832</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45832</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45832</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45832</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45832</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45832</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45832</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45832</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45832</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45832</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45832</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45832</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45832</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45832</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45832</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45832</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45832</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45832</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45832</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45832</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45832</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45832</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45832</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45832</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45832</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45832</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45832</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45832</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45832</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45832</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45832</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45832</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45832</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45832</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45832</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45832</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45832</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45832</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45832</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45832</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45832</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45832</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45832</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45832</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45832</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45832</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45832</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45832</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45832</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45832</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45832</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45832</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45832</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45832</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45832</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45832</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45832</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45832</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45832</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45832</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45832</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45832</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45832</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45832</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45832</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45832</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45832</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45832</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45832</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45832</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45832</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45832</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45832</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45832</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45832</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45832</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45832</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45832</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45832</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45832</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45832</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45832</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45832</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45832</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45832</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45832</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45832</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45832</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45832</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45832</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45832</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45832</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45832</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45832</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45832</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45832</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45832</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45832</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45832</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45832</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45832</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45832</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45832</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45832</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45832</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45832</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45832</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45832</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45832</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45832</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45832</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25608-2025</t>
        </is>
      </c>
      <c r="B822" s="1" t="n">
        <v>45803</v>
      </c>
      <c r="C822" s="1" t="n">
        <v>45832</v>
      </c>
      <c r="D822" t="inlineStr">
        <is>
          <t>UPPSALA LÄN</t>
        </is>
      </c>
      <c r="E822" t="inlineStr">
        <is>
          <t>UPPSALA</t>
        </is>
      </c>
      <c r="F822" t="inlineStr">
        <is>
          <t>Holmen skog AB</t>
        </is>
      </c>
      <c r="G822" t="n">
        <v>3</v>
      </c>
      <c r="H822" t="n">
        <v>0</v>
      </c>
      <c r="I822" t="n">
        <v>1</v>
      </c>
      <c r="J822" t="n">
        <v>0</v>
      </c>
      <c r="K822" t="n">
        <v>0</v>
      </c>
      <c r="L822" t="n">
        <v>0</v>
      </c>
      <c r="M822" t="n">
        <v>0</v>
      </c>
      <c r="N822" t="n">
        <v>0</v>
      </c>
      <c r="O822" t="n">
        <v>0</v>
      </c>
      <c r="P822" t="n">
        <v>0</v>
      </c>
      <c r="Q822" t="n">
        <v>1</v>
      </c>
      <c r="R822" s="2" t="inlineStr">
        <is>
          <t>Stuplav</t>
        </is>
      </c>
      <c r="S822">
        <f>HYPERLINK("https://klasma.github.io/Logging_030380/artfynd/A 25608-2025 artfynd.xlsx", "A 25608-2025")</f>
        <v/>
      </c>
      <c r="T822">
        <f>HYPERLINK("https://klasma.github.io/Logging_030380/kartor/A 25608-2025 karta.png", "A 25608-2025")</f>
        <v/>
      </c>
      <c r="V822">
        <f>HYPERLINK("https://klasma.github.io/Logging_030380/klagomål/A 25608-2025 FSC-klagomål.docx", "A 25608-2025")</f>
        <v/>
      </c>
      <c r="W822">
        <f>HYPERLINK("https://klasma.github.io/Logging_030380/klagomålsmail/A 25608-2025 FSC-klagomål mail.docx", "A 25608-2025")</f>
        <v/>
      </c>
      <c r="X822">
        <f>HYPERLINK("https://klasma.github.io/Logging_030380/tillsyn/A 25608-2025 tillsynsbegäran.docx", "A 25608-2025")</f>
        <v/>
      </c>
      <c r="Y822">
        <f>HYPERLINK("https://klasma.github.io/Logging_030380/tillsynsmail/A 25608-2025 tillsynsbegäran mail.docx", "A 25608-2025")</f>
        <v/>
      </c>
    </row>
    <row r="823" ht="15" customHeight="1">
      <c r="A823" t="inlineStr">
        <is>
          <t>A 25609-2025</t>
        </is>
      </c>
      <c r="B823" s="1" t="n">
        <v>45803</v>
      </c>
      <c r="C823" s="1" t="n">
        <v>45832</v>
      </c>
      <c r="D823" t="inlineStr">
        <is>
          <t>UPPSALA LÄN</t>
        </is>
      </c>
      <c r="E823" t="inlineStr">
        <is>
          <t>UPPSALA</t>
        </is>
      </c>
      <c r="F823" t="inlineStr">
        <is>
          <t>Holmen skog AB</t>
        </is>
      </c>
      <c r="G823" t="n">
        <v>4.5</v>
      </c>
      <c r="H823" t="n">
        <v>1</v>
      </c>
      <c r="I823" t="n">
        <v>0</v>
      </c>
      <c r="J823" t="n">
        <v>0</v>
      </c>
      <c r="K823" t="n">
        <v>0</v>
      </c>
      <c r="L823" t="n">
        <v>0</v>
      </c>
      <c r="M823" t="n">
        <v>0</v>
      </c>
      <c r="N823" t="n">
        <v>0</v>
      </c>
      <c r="O823" t="n">
        <v>0</v>
      </c>
      <c r="P823" t="n">
        <v>0</v>
      </c>
      <c r="Q823" t="n">
        <v>1</v>
      </c>
      <c r="R823" s="2" t="inlineStr">
        <is>
          <t>Blåsippa</t>
        </is>
      </c>
      <c r="S823">
        <f>HYPERLINK("https://klasma.github.io/Logging_030380/artfynd/A 25609-2025 artfynd.xlsx", "A 25609-2025")</f>
        <v/>
      </c>
      <c r="T823">
        <f>HYPERLINK("https://klasma.github.io/Logging_030380/kartor/A 25609-2025 karta.png", "A 25609-2025")</f>
        <v/>
      </c>
      <c r="U823">
        <f>HYPERLINK("https://klasma.github.io/Logging_030380/knärot/A 25609-2025 karta knärot.png", "A 25609-2025")</f>
        <v/>
      </c>
      <c r="V823">
        <f>HYPERLINK("https://klasma.github.io/Logging_030380/klagomål/A 25609-2025 FSC-klagomål.docx", "A 25609-2025")</f>
        <v/>
      </c>
      <c r="W823">
        <f>HYPERLINK("https://klasma.github.io/Logging_030380/klagomålsmail/A 25609-2025 FSC-klagomål mail.docx", "A 25609-2025")</f>
        <v/>
      </c>
      <c r="X823">
        <f>HYPERLINK("https://klasma.github.io/Logging_030380/tillsyn/A 25609-2025 tillsynsbegäran.docx", "A 25609-2025")</f>
        <v/>
      </c>
      <c r="Y823">
        <f>HYPERLINK("https://klasma.github.io/Logging_030380/tillsynsmail/A 25609-2025 tillsynsbegäran mail.docx", "A 25609-2025")</f>
        <v/>
      </c>
    </row>
    <row r="824" ht="15" customHeight="1">
      <c r="A824" t="inlineStr">
        <is>
          <t>A 25660-2025</t>
        </is>
      </c>
      <c r="B824" s="1" t="n">
        <v>45803</v>
      </c>
      <c r="C824" s="1" t="n">
        <v>45832</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26347-2025</t>
        </is>
      </c>
      <c r="B825" s="1" t="n">
        <v>45805</v>
      </c>
      <c r="C825" s="1" t="n">
        <v>45832</v>
      </c>
      <c r="D825" t="inlineStr">
        <is>
          <t>UPPSALA LÄN</t>
        </is>
      </c>
      <c r="E825" t="inlineStr">
        <is>
          <t>ENKÖPING</t>
        </is>
      </c>
      <c r="G825" t="n">
        <v>7.3</v>
      </c>
      <c r="H825" t="n">
        <v>1</v>
      </c>
      <c r="I825" t="n">
        <v>0</v>
      </c>
      <c r="J825" t="n">
        <v>0</v>
      </c>
      <c r="K825" t="n">
        <v>1</v>
      </c>
      <c r="L825" t="n">
        <v>0</v>
      </c>
      <c r="M825" t="n">
        <v>0</v>
      </c>
      <c r="N825" t="n">
        <v>0</v>
      </c>
      <c r="O825" t="n">
        <v>1</v>
      </c>
      <c r="P825" t="n">
        <v>1</v>
      </c>
      <c r="Q825" t="n">
        <v>1</v>
      </c>
      <c r="R825" s="2" t="inlineStr">
        <is>
          <t>Tofsvipa</t>
        </is>
      </c>
      <c r="S825">
        <f>HYPERLINK("https://klasma.github.io/Logging_030381/artfynd/A 26347-2025 artfynd.xlsx", "A 26347-2025")</f>
        <v/>
      </c>
      <c r="T825">
        <f>HYPERLINK("https://klasma.github.io/Logging_030381/kartor/A 26347-2025 karta.png", "A 26347-2025")</f>
        <v/>
      </c>
      <c r="V825">
        <f>HYPERLINK("https://klasma.github.io/Logging_030381/klagomål/A 26347-2025 FSC-klagomål.docx", "A 26347-2025")</f>
        <v/>
      </c>
      <c r="W825">
        <f>HYPERLINK("https://klasma.github.io/Logging_030381/klagomålsmail/A 26347-2025 FSC-klagomål mail.docx", "A 26347-2025")</f>
        <v/>
      </c>
      <c r="X825">
        <f>HYPERLINK("https://klasma.github.io/Logging_030381/tillsyn/A 26347-2025 tillsynsbegäran.docx", "A 26347-2025")</f>
        <v/>
      </c>
      <c r="Y825">
        <f>HYPERLINK("https://klasma.github.io/Logging_030381/tillsynsmail/A 26347-2025 tillsynsbegäran mail.docx", "A 26347-2025")</f>
        <v/>
      </c>
    </row>
    <row r="826" ht="15" customHeight="1">
      <c r="A826" t="inlineStr">
        <is>
          <t>A 26135-2025</t>
        </is>
      </c>
      <c r="B826" s="1" t="n">
        <v>45805</v>
      </c>
      <c r="C826" s="1" t="n">
        <v>45832</v>
      </c>
      <c r="D826" t="inlineStr">
        <is>
          <t>UPPSALA LÄN</t>
        </is>
      </c>
      <c r="E826" t="inlineStr">
        <is>
          <t>UPPSALA</t>
        </is>
      </c>
      <c r="F826" t="inlineStr">
        <is>
          <t>Holmen skog AB</t>
        </is>
      </c>
      <c r="G826" t="n">
        <v>3.1</v>
      </c>
      <c r="H826" t="n">
        <v>0</v>
      </c>
      <c r="I826" t="n">
        <v>0</v>
      </c>
      <c r="J826" t="n">
        <v>1</v>
      </c>
      <c r="K826" t="n">
        <v>0</v>
      </c>
      <c r="L826" t="n">
        <v>0</v>
      </c>
      <c r="M826" t="n">
        <v>0</v>
      </c>
      <c r="N826" t="n">
        <v>0</v>
      </c>
      <c r="O826" t="n">
        <v>1</v>
      </c>
      <c r="P826" t="n">
        <v>0</v>
      </c>
      <c r="Q826" t="n">
        <v>1</v>
      </c>
      <c r="R826" s="2" t="inlineStr">
        <is>
          <t>Vedtrappmossa</t>
        </is>
      </c>
      <c r="S826">
        <f>HYPERLINK("https://klasma.github.io/Logging_030380/artfynd/A 26135-2025 artfynd.xlsx", "A 26135-2025")</f>
        <v/>
      </c>
      <c r="T826">
        <f>HYPERLINK("https://klasma.github.io/Logging_030380/kartor/A 26135-2025 karta.png", "A 26135-2025")</f>
        <v/>
      </c>
      <c r="V826">
        <f>HYPERLINK("https://klasma.github.io/Logging_030380/klagomål/A 26135-2025 FSC-klagomål.docx", "A 26135-2025")</f>
        <v/>
      </c>
      <c r="W826">
        <f>HYPERLINK("https://klasma.github.io/Logging_030380/klagomålsmail/A 26135-2025 FSC-klagomål mail.docx", "A 26135-2025")</f>
        <v/>
      </c>
      <c r="X826">
        <f>HYPERLINK("https://klasma.github.io/Logging_030380/tillsyn/A 26135-2025 tillsynsbegäran.docx", "A 26135-2025")</f>
        <v/>
      </c>
      <c r="Y826">
        <f>HYPERLINK("https://klasma.github.io/Logging_030380/tillsynsmail/A 26135-2025 tillsynsbegäran mail.docx", "A 26135-2025")</f>
        <v/>
      </c>
    </row>
    <row r="827" ht="15" customHeight="1">
      <c r="A827" t="inlineStr">
        <is>
          <t>A 27060-2025</t>
        </is>
      </c>
      <c r="B827" s="1" t="n">
        <v>45811</v>
      </c>
      <c r="C827" s="1" t="n">
        <v>45832</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28056-2025</t>
        </is>
      </c>
      <c r="B828" s="1" t="n">
        <v>45817</v>
      </c>
      <c r="C828" s="1" t="n">
        <v>45832</v>
      </c>
      <c r="D828" t="inlineStr">
        <is>
          <t>UPPSALA LÄN</t>
        </is>
      </c>
      <c r="E828" t="inlineStr">
        <is>
          <t>UPPSALA</t>
        </is>
      </c>
      <c r="G828" t="n">
        <v>19.3</v>
      </c>
      <c r="H828" t="n">
        <v>1</v>
      </c>
      <c r="I828" t="n">
        <v>0</v>
      </c>
      <c r="J828" t="n">
        <v>0</v>
      </c>
      <c r="K828" t="n">
        <v>1</v>
      </c>
      <c r="L828" t="n">
        <v>0</v>
      </c>
      <c r="M828" t="n">
        <v>0</v>
      </c>
      <c r="N828" t="n">
        <v>0</v>
      </c>
      <c r="O828" t="n">
        <v>1</v>
      </c>
      <c r="P828" t="n">
        <v>1</v>
      </c>
      <c r="Q828" t="n">
        <v>1</v>
      </c>
      <c r="R828" s="2" t="inlineStr">
        <is>
          <t>Knärot</t>
        </is>
      </c>
      <c r="S828">
        <f>HYPERLINK("https://klasma.github.io/Logging_030380/artfynd/A 28056-2025 artfynd.xlsx", "A 28056-2025")</f>
        <v/>
      </c>
      <c r="T828">
        <f>HYPERLINK("https://klasma.github.io/Logging_030380/kartor/A 28056-2025 karta.png", "A 28056-2025")</f>
        <v/>
      </c>
      <c r="U828">
        <f>HYPERLINK("https://klasma.github.io/Logging_030380/knärot/A 28056-2025 karta knärot.png", "A 28056-2025")</f>
        <v/>
      </c>
      <c r="V828">
        <f>HYPERLINK("https://klasma.github.io/Logging_030380/klagomål/A 28056-2025 FSC-klagomål.docx", "A 28056-2025")</f>
        <v/>
      </c>
      <c r="W828">
        <f>HYPERLINK("https://klasma.github.io/Logging_030380/klagomålsmail/A 28056-2025 FSC-klagomål mail.docx", "A 28056-2025")</f>
        <v/>
      </c>
      <c r="X828">
        <f>HYPERLINK("https://klasma.github.io/Logging_030380/tillsyn/A 28056-2025 tillsynsbegäran.docx", "A 28056-2025")</f>
        <v/>
      </c>
      <c r="Y828">
        <f>HYPERLINK("https://klasma.github.io/Logging_030380/tillsynsmail/A 28056-2025 tillsynsbegäran mail.docx", "A 28056-2025")</f>
        <v/>
      </c>
    </row>
    <row r="829" ht="15" customHeight="1">
      <c r="A829" t="inlineStr">
        <is>
          <t>A 27824-2025</t>
        </is>
      </c>
      <c r="B829" s="1" t="n">
        <v>45817</v>
      </c>
      <c r="C829" s="1" t="n">
        <v>45832</v>
      </c>
      <c r="D829" t="inlineStr">
        <is>
          <t>UPPSALA LÄN</t>
        </is>
      </c>
      <c r="E829" t="inlineStr">
        <is>
          <t>UPPSALA</t>
        </is>
      </c>
      <c r="F829" t="inlineStr">
        <is>
          <t>Kyrkan</t>
        </is>
      </c>
      <c r="G829" t="n">
        <v>3.3</v>
      </c>
      <c r="H829" t="n">
        <v>0</v>
      </c>
      <c r="I829" t="n">
        <v>1</v>
      </c>
      <c r="J829" t="n">
        <v>0</v>
      </c>
      <c r="K829" t="n">
        <v>0</v>
      </c>
      <c r="L829" t="n">
        <v>0</v>
      </c>
      <c r="M829" t="n">
        <v>0</v>
      </c>
      <c r="N829" t="n">
        <v>0</v>
      </c>
      <c r="O829" t="n">
        <v>0</v>
      </c>
      <c r="P829" t="n">
        <v>0</v>
      </c>
      <c r="Q829" t="n">
        <v>1</v>
      </c>
      <c r="R829" s="2" t="inlineStr">
        <is>
          <t>Sårläka</t>
        </is>
      </c>
      <c r="S829">
        <f>HYPERLINK("https://klasma.github.io/Logging_030380/artfynd/A 27824-2025 artfynd.xlsx", "A 27824-2025")</f>
        <v/>
      </c>
      <c r="T829">
        <f>HYPERLINK("https://klasma.github.io/Logging_030380/kartor/A 27824-2025 karta.png", "A 27824-2025")</f>
        <v/>
      </c>
      <c r="V829">
        <f>HYPERLINK("https://klasma.github.io/Logging_030380/klagomål/A 27824-2025 FSC-klagomål.docx", "A 27824-2025")</f>
        <v/>
      </c>
      <c r="W829">
        <f>HYPERLINK("https://klasma.github.io/Logging_030380/klagomålsmail/A 27824-2025 FSC-klagomål mail.docx", "A 27824-2025")</f>
        <v/>
      </c>
      <c r="X829">
        <f>HYPERLINK("https://klasma.github.io/Logging_030380/tillsyn/A 27824-2025 tillsynsbegäran.docx", "A 27824-2025")</f>
        <v/>
      </c>
      <c r="Y829">
        <f>HYPERLINK("https://klasma.github.io/Logging_030380/tillsynsmail/A 27824-2025 tillsynsbegäran mail.docx", "A 27824-2025")</f>
        <v/>
      </c>
    </row>
    <row r="830" ht="15" customHeight="1">
      <c r="A830" t="inlineStr">
        <is>
          <t>A 28299-2025</t>
        </is>
      </c>
      <c r="B830" s="1" t="n">
        <v>45818</v>
      </c>
      <c r="C830" s="1" t="n">
        <v>45832</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45832</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45832</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45832</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45832</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45832</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45832</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45832</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45832</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45832</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45832</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45832</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45832</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45832</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45832</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45832</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45832</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45832</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45832</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45832</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45832</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45832</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45832</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45832</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45832</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45832</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45832</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45832</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45832</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45832</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45832</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45832</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45832</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45832</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45832</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45832</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45832</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45832</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45832</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45832</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45832</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45832</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45832</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45832</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45832</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45832</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45832</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45832</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45832</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45832</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45832</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45832</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45832</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45832</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45832</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45832</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45832</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45832</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45832</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45832</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45832</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45832</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45832</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45832</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45832</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45832</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45832</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45832</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45832</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45832</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45832</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45832</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45832</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45832</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45832</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45832</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45832</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45832</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45832</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45832</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45832</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45832</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45832</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45832</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45832</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45832</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45832</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45832</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45832</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45832</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45832</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45832</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45832</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45832</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45832</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45832</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45832</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45832</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45832</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45832</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45832</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45832</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45832</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45832</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45832</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45832</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45832</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45832</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45832</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45832</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45832</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45832</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45832</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45832</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45832</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45832</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45832</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45832</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45832</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45832</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45832</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45832</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45832</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45832</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45832</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45832</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45832</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45832</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45832</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45832</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45832</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45832</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45832</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45832</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45832</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45832</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45832</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45832</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45832</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45832</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45832</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45832</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45832</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45832</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45832</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45832</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45832</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45832</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45832</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45832</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45832</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45832</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45832</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45832</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45832</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45832</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45832</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45832</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45832</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45832</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45832</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45832</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45832</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45832</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45832</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45832</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45832</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45832</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45832</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45832</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45832</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45832</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45832</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45832</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45832</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45832</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45832</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45832</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45832</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45832</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45832</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45832</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45832</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45832</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45832</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45832</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45832</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45832</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45832</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45832</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45832</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45832</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45832</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45832</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45832</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45832</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45832</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45832</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45832</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45832</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45832</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45832</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45832</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45832</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45832</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45832</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45832</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45832</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45832</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45832</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45832</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45832</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45832</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45832</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45832</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45832</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45832</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45832</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45832</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45832</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45832</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45832</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45832</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45832</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45832</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45832</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45832</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45832</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45832</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45832</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45832</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45832</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45832</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45832</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45832</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45832</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45832</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45832</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45832</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45832</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45832</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45832</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45832</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45832</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45832</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45832</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45832</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45832</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45832</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45832</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45832</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45832</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45832</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45832</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45832</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45832</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45832</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45832</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45832</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45832</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45832</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45832</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45832</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45832</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45832</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45832</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45832</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45832</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45832</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45832</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45832</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45832</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45832</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45832</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45832</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45832</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45832</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45832</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45832</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45832</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45832</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45832</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45832</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45832</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45832</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45832</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45832</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45832</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45832</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45832</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45832</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45832</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45832</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45832</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45832</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45832</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45832</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45832</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45832</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45832</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45832</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45832</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45832</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45832</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45832</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45832</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45832</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45832</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45832</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45832</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45832</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45832</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45832</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45832</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45832</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45832</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45832</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45832</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45832</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45832</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45832</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45832</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45832</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45832</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45832</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45832</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45832</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45832</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45832</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45832</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45832</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45832</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45832</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45832</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45832</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45832</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45832</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45832</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45832</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45832</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45832</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45832</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45832</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45832</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45832</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45832</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45832</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45832</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45832</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45832</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45832</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45832</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45832</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45832</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45832</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45832</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45832</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45832</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45832</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45832</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45832</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45832</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45832</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45832</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45832</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45832</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45832</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45832</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45832</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45832</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45832</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45832</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45832</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45832</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45832</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45832</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45832</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45832</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45832</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45832</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45832</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45832</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45832</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45832</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45832</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45832</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45832</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45832</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45832</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45832</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45832</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45832</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45832</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45832</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45832</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45832</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45832</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45832</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45832</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45832</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45832</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45832</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45832</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45832</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45832</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45832</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45832</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45832</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45832</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45832</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45832</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45832</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45832</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45832</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45832</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45832</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45832</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45832</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45832</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45832</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45832</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45832</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45832</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45832</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45832</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45832</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45832</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45832</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45832</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45832</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45832</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45832</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45832</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45832</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45832</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45832</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45832</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45832</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45832</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45832</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45832</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45832</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45832</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45832</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45832</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45832</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45832</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45832</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45832</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45832</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45832</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45832</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45832</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45832</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45832</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45832</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45832</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45832</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45832</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45832</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45832</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45832</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45832</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45832</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45832</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45832</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45832</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45832</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45832</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45832</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45832</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45832</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45832</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45832</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45832</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45832</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45832</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45832</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45832</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45832</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45832</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45832</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45832</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45832</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45832</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45832</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45832</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45832</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45832</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45832</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45832</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45832</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45832</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45832</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45832</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45832</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45832</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45832</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45832</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45832</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45832</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45832</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45832</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45832</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45832</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45832</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45832</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45832</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45832</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45832</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45832</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45832</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45832</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45832</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45832</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45832</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45832</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45832</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45832</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45832</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45832</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45832</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45832</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45832</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45832</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45832</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45832</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45832</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45832</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45832</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45832</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45832</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45832</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45832</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45832</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45832</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45832</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45832</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45832</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45832</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45832</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45832</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45832</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45832</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45832</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45832</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45832</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45832</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45832</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45832</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45832</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45832</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45832</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45832</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45832</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45832</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45832</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45832</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45832</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45832</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45832</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45832</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45832</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45832</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45832</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45832</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45832</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45832</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45832</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45832</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45832</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45832</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45832</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45832</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45832</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45832</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45832</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45832</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45832</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45832</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45832</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45832</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45832</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45832</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45832</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45832</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45832</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45832</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45832</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45832</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45832</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45832</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45832</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45832</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45832</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45832</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45832</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45832</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45832</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45832</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45832</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45832</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45832</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45832</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45832</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45832</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45832</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45832</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45832</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45832</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45832</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45832</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45832</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45832</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45832</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45832</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45832</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45832</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45832</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45832</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45832</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45832</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45832</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45832</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45832</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45832</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45832</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45832</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45832</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45832</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45832</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45832</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45832</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45832</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45832</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45832</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45832</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45832</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45832</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45832</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45832</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45832</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45832</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45832</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45832</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45832</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45832</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45832</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45832</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45832</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45832</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45832</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45832</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45832</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45832</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45832</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45832</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45832</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45832</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45832</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45832</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45832</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45832</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45832</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45832</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45832</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45832</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45832</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45832</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45832</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45832</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45832</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45832</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45832</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45832</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45832</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45832</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45832</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45832</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45832</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45832</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45832</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45832</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45832</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45832</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45832</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45832</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45832</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45832</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45832</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45832</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45832</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45832</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45832</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45832</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45832</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45832</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45832</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45832</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45832</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45832</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45832</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45832</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45832</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45832</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45832</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45832</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45832</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45832</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45832</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45832</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45832</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45832</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45832</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45832</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45832</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45832</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45832</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45832</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45832</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45832</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45832</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45832</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45832</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45832</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45832</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45832</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45832</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45832</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45832</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45832</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45832</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45832</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45832</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45832</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45832</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45832</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45832</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45832</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45832</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45832</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45832</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45832</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45832</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45832</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45832</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45832</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45832</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45832</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45832</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45832</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45832</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45832</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45832</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45832</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45832</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45832</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45832</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45832</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45832</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45832</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45832</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45832</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45832</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45832</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45832</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45832</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45832</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45832</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45832</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45832</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45832</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45832</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45832</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45832</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45832</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45832</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45832</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45832</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45832</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45832</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45832</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45832</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45832</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45832</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45832</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45832</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45832</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45832</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45832</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45832</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45832</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45832</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45832</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45832</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45832</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45832</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45832</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45832</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45832</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45832</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45832</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45832</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45832</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45832</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45832</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45832</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45832</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45832</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45832</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45832</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45832</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45832</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45832</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45832</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45832</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45832</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45832</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45832</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45832</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45832</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45832</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45832</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45832</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45832</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45832</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45832</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45832</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45832</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45832</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45832</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45832</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45832</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45832</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45832</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45832</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45832</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45832</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45832</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45832</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45832</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45832</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45832</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45832</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45832</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45832</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45832</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45832</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45832</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45832</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45832</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45832</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45832</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45832</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45832</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45832</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45832</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45832</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45832</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45832</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45832</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45832</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45832</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45832</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45832</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45832</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45832</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45832</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45832</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45832</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45832</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45832</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45832</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45832</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45832</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45832</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45832</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45832</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45832</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45832</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45832</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45832</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45832</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45832</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45832</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45832</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45832</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45832</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45832</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45832</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45832</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45832</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45832</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45832</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45832</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45832</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45832</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45832</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45832</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45832</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45832</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45832</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45832</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45832</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45832</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45832</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45832</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45832</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45832</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45832</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45832</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45832</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45832</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45832</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45832</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45832</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45832</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45832</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45832</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45832</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45832</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45832</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45832</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45832</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45832</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45832</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45832</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45832</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45832</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45832</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45832</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45832</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45832</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45832</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45832</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45832</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45832</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45832</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45832</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45832</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45832</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45832</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45832</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45832</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45832</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45832</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45832</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45832</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45832</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45832</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45832</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45832</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45832</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45832</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45832</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45832</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45832</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45832</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45832</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45832</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45832</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45832</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45832</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45832</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45832</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45832</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45832</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45832</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45832</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45832</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45832</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45832</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45832</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45832</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45832</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45832</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45832</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45832</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45832</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45832</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45832</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45832</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45832</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45832</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45832</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45832</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45832</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45832</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45832</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45832</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45832</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45832</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45832</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45832</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45832</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45832</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45832</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45832</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45832</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45832</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45832</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45832</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45832</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45832</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45832</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45832</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45832</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45832</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45832</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45832</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45832</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45832</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45832</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45832</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45832</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45832</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45832</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45832</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45832</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45832</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45832</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45832</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45832</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45832</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45832</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45832</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45832</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45832</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45832</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45832</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45832</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45832</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45832</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45832</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45832</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45832</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45832</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45832</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45832</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45832</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45832</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45832</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45832</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45832</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45832</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45832</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45832</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45832</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45832</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45832</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45832</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45832</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45832</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45832</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45832</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45832</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45832</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45832</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45832</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45832</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45832</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45832</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45832</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45832</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45832</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45832</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45832</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45832</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45832</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45832</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45832</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45832</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45832</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45832</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45832</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45832</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45832</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45832</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45832</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45832</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45832</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45832</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45832</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45832</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45832</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45832</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45832</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45832</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45832</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45832</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45832</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45832</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45832</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45832</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45832</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45832</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45832</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45832</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45832</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45832</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45832</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45832</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45832</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45832</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45832</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45832</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45832</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45832</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45832</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45832</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45832</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45832</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45832</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45832</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45832</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45832</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45832</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45832</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45832</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45832</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45832</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45832</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45832</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45832</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45832</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45832</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45832</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45832</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45832</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45832</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45832</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45832</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45832</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45832</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45832</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45832</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45832</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45832</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45832</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45832</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45832</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45832</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45832</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45832</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45832</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45832</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45832</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45832</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45832</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45832</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45832</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45832</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45832</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45832</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45832</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45832</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45832</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45832</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45832</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45832</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45832</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45832</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45832</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45832</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45832</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45832</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45832</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45832</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45832</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45832</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45832</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45832</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45832</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45832</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45832</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45832</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45832</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45832</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45832</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45832</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45832</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45832</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45832</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45832</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45832</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45832</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45832</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45832</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45832</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45832</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45832</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45832</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45832</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45832</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45832</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45832</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45832</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45832</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45832</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45832</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45832</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45832</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45832</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45832</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45832</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45832</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45832</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45832</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45832</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45832</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45832</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45832</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45832</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45832</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45832</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45832</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45832</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45832</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45832</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45832</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45832</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45832</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45832</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45832</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45832</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45832</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45832</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45832</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45832</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45832</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45832</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45832</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45832</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45832</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45832</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45832</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45832</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45832</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45832</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45832</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45832</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45832</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45832</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45832</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45832</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45832</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45832</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45832</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45832</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45832</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45832</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45832</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45832</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45832</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45832</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45832</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45832</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45832</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45832</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45832</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45832</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45832</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45832</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45832</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45832</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45832</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45832</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45832</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45832</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45832</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45832</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45832</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45832</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45832</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45832</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45832</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45832</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45832</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45832</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45832</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45832</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45832</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45832</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45832</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45832</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45832</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45832</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45832</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45832</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45832</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45832</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45832</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45832</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45832</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45832</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45832</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45832</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45832</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45832</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45832</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45832</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45832</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45832</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45832</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45832</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45832</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45832</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45832</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45832</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45832</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45832</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45832</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45832</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45832</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45832</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45832</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45832</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45832</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45832</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45832</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45832</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45832</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45832</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45832</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45832</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45832</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45832</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45832</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45832</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45832</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45832</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45832</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45832</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45832</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45832</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45832</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45832</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45832</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45832</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45832</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45832</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45832</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45832</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45832</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45832</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45832</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45832</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45832</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45832</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45832</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45832</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45832</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45832</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45832</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45832</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45832</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45832</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45832</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45832</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45832</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45832</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45832</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45832</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45832</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45832</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45832</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45832</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45832</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45832</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45832</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45832</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45832</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45832</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45832</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45832</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45832</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45832</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45832</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45832</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45832</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45832</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45832</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45832</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45832</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45832</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45832</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45832</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45832</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45832</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45832</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45832</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45832</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45832</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45832</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45832</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45832</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45832</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45832</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45832</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45832</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45832</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45832</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45832</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45832</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45832</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45832</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45832</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45832</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45832</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45832</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45832</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45832</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45832</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45832</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45832</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45832</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45832</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45832</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45832</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45832</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45832</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45832</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45832</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45832</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45832</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45832</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45832</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45832</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45832</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45832</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45832</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45832</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45832</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45832</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45832</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45832</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45832</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45832</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45832</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45832</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45832</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45832</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45832</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45832</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45832</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45832</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45832</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45832</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45832</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45832</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45832</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45832</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45832</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45832</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45832</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45832</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45832</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45832</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45832</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45832</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45832</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45832</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45832</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45832</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45832</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45832</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45832</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45832</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45832</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45832</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45832</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45832</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45832</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45832</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45832</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45832</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45832</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45832</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45832</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45832</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45832</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45832</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45832</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45832</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45832</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45832</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45832</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45832</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45832</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45832</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45832</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45832</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45832</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45832</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45832</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45832</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45832</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45832</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45832</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45832</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45832</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45832</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45832</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45832</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45832</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45832</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45832</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45832</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45832</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45832</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45832</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45832</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45832</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45832</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45832</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45832</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45832</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45832</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45832</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45832</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45832</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45832</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45832</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45832</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45832</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45832</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45832</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45832</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45832</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45832</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45832</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45832</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45832</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45832</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45832</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45832</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45832</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45832</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45832</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45832</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45832</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45832</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45832</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45832</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45832</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45832</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45832</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45832</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45832</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45832</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45832</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45832</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45832</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45832</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45832</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45832</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45832</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45832</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45832</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45832</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45832</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45832</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45832</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45832</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45832</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45832</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45832</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45832</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45832</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45832</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45832</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45832</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45832</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45832</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45832</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45832</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45832</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45832</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45832</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45832</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45832</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45832</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45832</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45832</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45832</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45832</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45832</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45832</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45832</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45832</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45832</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45832</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45832</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45832</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45832</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45832</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45832</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45832</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45832</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45832</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45832</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45832</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45832</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45832</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45832</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45832</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45832</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45832</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45832</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45832</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45832</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45832</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45832</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45832</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45832</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45832</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45832</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45832</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45832</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45832</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45832</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45832</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45832</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45832</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45832</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45832</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45832</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45832</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45832</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45832</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45832</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45832</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45832</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45832</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45832</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45832</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45832</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45832</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45832</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45832</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45832</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45832</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45832</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45832</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45832</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45832</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45832</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45832</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45832</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45832</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45832</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45832</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45832</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45832</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45832</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45832</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45832</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45832</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45832</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45832</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45832</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45832</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45832</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45832</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45832</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45832</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45832</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45832</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45832</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45832</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45832</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45832</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45832</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45832</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45832</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45832</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45832</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45832</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45832</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45832</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45832</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45832</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45832</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45832</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45832</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45832</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45832</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45832</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45832</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45832</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45832</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45832</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45832</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45832</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45832</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45832</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45832</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45832</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45832</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45832</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45832</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45832</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45832</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45832</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45832</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45832</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45832</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45832</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45832</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45832</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45832</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45832</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45832</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45832</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45832</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45832</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45832</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45832</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45832</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45832</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45832</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45832</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45832</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45832</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45832</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45832</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45832</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45832</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45832</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45832</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45832</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45832</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45832</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45832</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45832</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45832</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45832</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45832</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45832</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45832</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45832</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45832</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45832</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45832</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45832</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45832</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45832</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45832</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45832</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45832</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45832</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45832</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45832</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45832</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45832</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45832</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45832</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45832</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45832</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45832</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45832</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45832</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45832</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45832</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45832</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45832</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45832</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45832</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45832</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45832</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45832</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45832</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45832</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45832</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45832</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45832</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45832</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45832</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45832</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45832</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45832</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45832</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45832</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45832</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45832</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45832</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45832</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45832</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45832</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45832</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45832</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45832</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45832</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45832</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45832</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45832</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45832</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45832</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45832</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45832</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45832</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45832</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45832</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45832</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45832</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45832</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45832</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45832</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45832</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45832</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45832</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45832</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45832</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45832</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45832</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45832</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45832</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45832</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45832</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45832</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45832</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45832</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45832</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45832</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45832</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45832</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45832</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45832</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45832</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45832</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45832</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45832</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45832</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45832</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45832</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45832</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45832</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45832</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45832</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45832</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45832</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45832</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45832</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45832</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45832</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45832</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45832</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45832</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45832</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45832</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45832</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45832</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45832</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45832</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45832</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45832</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45832</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45832</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45832</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45832</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45832</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45832</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45832</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45832</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45832</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45832</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45832</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45832</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45832</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45832</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45832</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45832</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45832</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45832</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45832</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45832</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45832</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45832</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45832</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45832</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45832</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45832</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45832</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45832</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45832</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45832</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45832</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45832</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45832</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45832</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45832</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45832</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45832</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45832</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45832</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45832</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45832</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45832</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45832</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45832</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45832</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45832</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45832</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45832</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45832</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45832</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45832</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45832</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45832</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45832</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45832</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45832</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45832</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45832</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45832</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45832</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45832</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45832</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45832</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45832</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45832</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45832</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45832</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45832</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45832</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45832</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45832</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45832</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45832</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45832</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45832</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45832</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45832</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45832</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45832</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45832</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45832</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45832</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45832</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45832</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45832</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45832</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45832</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45832</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45832</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45832</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45832</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45832</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45832</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45832</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45832</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45832</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45832</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45832</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45832</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45832</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45832</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45832</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45832</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45832</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45832</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45832</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45832</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45832</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45832</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45832</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45832</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45832</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45832</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45832</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45832</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45832</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45832</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45832</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45832</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45832</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45832</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45832</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45832</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45832</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45832</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45832</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45832</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45832</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45832</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45832</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45832</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45832</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45832</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45832</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45832</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45832</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45832</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45832</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45832</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45832</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45832</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45832</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45832</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45832</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45832</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45832</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45832</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45832</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45832</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45832</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45832</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45832</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45832</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45832</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45832</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45832</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45832</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45832</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45832</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45832</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45832</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45832</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45832</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45832</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45832</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45832</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45832</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45832</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45832</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45832</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45832</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45832</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45832</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45832</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45832</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45832</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45832</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45832</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45832</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45832</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45832</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45832</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45832</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45832</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45832</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45832</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45832</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45832</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45832</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45832</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45832</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45832</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45832</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45832</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45832</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45832</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45832</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45832</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45832</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45832</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45832</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45832</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45832</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45832</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45832</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45832</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45832</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45832</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45832</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45832</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45832</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45832</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45832</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45832</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45832</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45832</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45832</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45832</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45832</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45832</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45832</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45832</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45832</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45832</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45832</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45832</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45832</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45832</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45832</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45832</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45832</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45832</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45832</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45832</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45832</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45832</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45832</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45832</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45832</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45832</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45832</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45832</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45832</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45832</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45832</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45832</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45832</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45832</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45832</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45832</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45832</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45832</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45832</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45832</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45832</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45832</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45832</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45832</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45832</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45832</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45832</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45832</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45832</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45832</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45832</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45832</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45832</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45832</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45832</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45832</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45832</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45832</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45832</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45832</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45832</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45832</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45832</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45832</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45832</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45832</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45832</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45832</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45832</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45832</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45832</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45832</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45832</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45832</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45832</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45832</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45832</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45832</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45832</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45832</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45832</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45832</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45832</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45832</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45832</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45832</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45832</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45832</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45832</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45832</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45832</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45832</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45832</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45832</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45832</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45832</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45832</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45832</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45832</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45832</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45832</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45832</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45832</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45832</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45832</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45832</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45832</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45832</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45832</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45832</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45832</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45832</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45832</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45832</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45832</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45832</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45832</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45832</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45832</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45832</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45832</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45832</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45832</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45832</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45832</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45832</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45832</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45832</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45832</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45832</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45832</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45832</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45832</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45832</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45832</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45832</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45832</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45832</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45832</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45832</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45832</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45832</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45832</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45832</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45832</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45832</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45832</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45832</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45832</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45832</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45832</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45832</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45832</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45832</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45832</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45832</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45832</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45832</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45832</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45832</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45832</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45832</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45832</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45832</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45832</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45832</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45832</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45832</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45832</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45832</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45832</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45832</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45832</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45832</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45832</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45832</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45832</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45832</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45832</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45832</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45832</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45832</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45832</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45832</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45832</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45832</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45832</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45832</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45832</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45832</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45832</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45832</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45832</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45832</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45832</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45832</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45832</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45832</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45832</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45832</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45832</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45832</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45832</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45832</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45832</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45832</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45832</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45832</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45832</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45832</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45832</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45832</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45832</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45832</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45832</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45832</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45832</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45832</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45832</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45832</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45832</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45832</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45832</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45832</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45832</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45832</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45832</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45832</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45832</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45832</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45832</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45832</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45832</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45832</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45832</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45832</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45832</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45832</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45832</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45832</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45832</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45832</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45832</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45832</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45832</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45832</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45832</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45832</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45832</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45832</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45832</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45832</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45832</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45832</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45832</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45832</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45832</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45832</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45832</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45832</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45832</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45832</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45832</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45832</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45832</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45832</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45832</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45832</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45832</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45832</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45832</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45832</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45832</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45832</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45832</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45832</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45832</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45832</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45832</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45832</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45832</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45832</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45832</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45832</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45832</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45832</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45832</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45832</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45832</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45832</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45832</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45832</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45832</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45832</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45832</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45832</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45832</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45832</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45832</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45832</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45832</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45832</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45832</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45832</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45832</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45832</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45832</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45832</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45832</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45832</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45832</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45832</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45832</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45832</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45832</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45832</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45832</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45832</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45832</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45832</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45832</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45832</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45832</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45832</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45832</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45832</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45832</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45832</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45832</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45832</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45832</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45832</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45832</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45832</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45832</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45832</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45832</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45832</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45832</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45832</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45832</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45832</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45832</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45832</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45832</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45832</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45832</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45832</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45832</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45832</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45832</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45832</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45832</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45832</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45832</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45832</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45832</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45832</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45832</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45832</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45832</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45832</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45832</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45832</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45832</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45832</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45832</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45832</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45832</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45832</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45832</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45832</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45832</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45832</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45832</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45832</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45832</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45832</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45832</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45832</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45832</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45832</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45832</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45832</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45832</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45832</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45832</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45832</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45832</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45832</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45832</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45832</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45832</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45832</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45832</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45832</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45832</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45832</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45832</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45832</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45832</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45832</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45832</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45832</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45832</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45832</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45832</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45832</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45832</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45832</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45832</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45832</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45832</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45832</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45832</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45832</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45832</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45832</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45832</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45832</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45832</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45832</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45832</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45832</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45832</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45832</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45832</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45832</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45832</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45832</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45832</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45832</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45832</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45832</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45832</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45832</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45832</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45832</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45832</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45832</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45832</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45832</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45832</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45832</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45832</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45832</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45832</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45832</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45832</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45832</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45832</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45832</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45832</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45832</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45832</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45832</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45832</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45832</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45832</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45832</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45832</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45832</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45832</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45832</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45832</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45832</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45832</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45832</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45832</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45832</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45832</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45832</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45832</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45832</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45832</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45832</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45832</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45832</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45832</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45832</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45832</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45832</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45832</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45832</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45832</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45832</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45832</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45832</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45832</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45832</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45832</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45832</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45832</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45832</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45832</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45832</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45832</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45832</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45832</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45832</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45832</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45832</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45832</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45832</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45832</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45832</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45832</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45832</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45832</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45832</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45832</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45832</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45832</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45832</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45832</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45832</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45832</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45832</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45832</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45832</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45832</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45832</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45832</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45832</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45832</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45832</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45832</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45832</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45832</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45832</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45832</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45832</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45832</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45832</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45832</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45832</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45832</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45832</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45832</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45832</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45832</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45832</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45832</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45832</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45832</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45832</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45832</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45832</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45832</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45832</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45832</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45832</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45832</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45832</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45832</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45832</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45832</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45832</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45832</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45832</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45832</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45832</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45832</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45832</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45832</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45832</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45832</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45832</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45832</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45832</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45832</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45832</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45832</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45832</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45832</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45832</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45832</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45832</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45832</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45832</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45832</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45832</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45832</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45832</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45832</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45832</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45832</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45832</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45832</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45832</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45832</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45832</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45832</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45832</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45832</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45832</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45832</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45832</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45832</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45832</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45832</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45832</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45832</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45832</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45832</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45832</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45832</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45832</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45832</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45832</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45832</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45832</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45832</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45832</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45832</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45832</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45832</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45832</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45832</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45832</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45832</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45832</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45832</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45832</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45832</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45832</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45832</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45832</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45832</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45832</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45832</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45832</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45832</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45832</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45832</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45832</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45832</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45832</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45832</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45832</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45832</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45832</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45832</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45832</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45832</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45832</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45832</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45832</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45832</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45832</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45832</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45832</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45832</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45832</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45832</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45832</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45832</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45832</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45832</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45832</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45832</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45832</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45832</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45832</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45832</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45832</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45832</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45832</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45832</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45832</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45832</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45832</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45832</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45832</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45832</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45832</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45832</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45832</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45832</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45832</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45832</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45832</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45832</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45832</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45832</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45832</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45832</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45832</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45832</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45832</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45832</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45832</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45832</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45832</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45832</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45832</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45832</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45832</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45832</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45832</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45832</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45832</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45832</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45832</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45832</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45832</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45832</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45832</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45832</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45832</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45832</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45832</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45832</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45832</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45832</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45832</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45832</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45832</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45832</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45832</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45832</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45832</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45832</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45832</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45832</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45832</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45832</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45832</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45832</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45832</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45832</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45832</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45832</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45832</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45832</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45832</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45832</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45832</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45832</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45832</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45832</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45832</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45832</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45832</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45832</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45832</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45832</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45832</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45832</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45832</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45832</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45832</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45832</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45832</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45832</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45832</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45832</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45832</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45832</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45832</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45832</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45832</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45832</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45832</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45832</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45832</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45832</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45832</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45832</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45832</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45832</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45832</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45832</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45832</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45832</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45832</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45832</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45832</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45832</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45832</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45832</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45832</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45832</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45832</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45832</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45832</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45832</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45832</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45832</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45832</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45832</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45832</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45832</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45832</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45832</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45832</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45832</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45832</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45832</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45832</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45832</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45832</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45832</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45832</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45832</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45832</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45832</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45832</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45832</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45832</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45832</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45832</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45832</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45832</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45832</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45832</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45832</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45832</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45832</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45832</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45832</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45832</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45832</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45832</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45832</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45832</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45832</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45832</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45832</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45832</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45832</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45832</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45832</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45832</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45832</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45832</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45832</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45832</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45832</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45832</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45832</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45832</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45832</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45832</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45832</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45832</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45832</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45832</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45832</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45832</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45832</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45832</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45832</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45832</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45832</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45832</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45832</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45832</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45832</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45832</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45832</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45832</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45832</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45832</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45832</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45832</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45832</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45832</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45832</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45832</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45832</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45832</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45832</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45832</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45832</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45832</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45832</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45832</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45832</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45832</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45832</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45832</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45832</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45832</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45832</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45832</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45832</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45832</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45832</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45832</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45832</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45832</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45832</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45832</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45832</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45832</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45832</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45832</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45832</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45832</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45832</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45832</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45832</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45832</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45832</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45832</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45832</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45832</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45832</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45832</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45832</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45832</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45832</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45832</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45832</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45832</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45832</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45832</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45832</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45832</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45832</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45832</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45832</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45832</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45832</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45832</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45832</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45832</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45832</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45832</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45832</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45832</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45832</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45832</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45832</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45832</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45832</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45832</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45832</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45832</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45832</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45832</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45832</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45832</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45832</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45832</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45832</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45832</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45832</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45832</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45832</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45832</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45832</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45832</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45832</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45832</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45832</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45832</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45832</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45832</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45832</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45832</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45832</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45832</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45832</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45832</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45832</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45832</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45832</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45832</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45832</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45832</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45832</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45832</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45832</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45832</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45832</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45832</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45832</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45832</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45832</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45832</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45832</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45832</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45832</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45832</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45832</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45832</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45832</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45832</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45832</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45832</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45832</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45832</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45832</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45832</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45832</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45832</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45832</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45832</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45832</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45832</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45832</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45832</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45832</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45832</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45832</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45832</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45832</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45832</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45832</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45832</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45832</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45832</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45832</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45832</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45832</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45832</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45832</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45832</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45832</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45832</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45832</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45832</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45832</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45832</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45832</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45832</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45832</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45832</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45832</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45832</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45832</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45832</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45832</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45832</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45832</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45832</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45832</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45832</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45832</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45832</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45832</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45832</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45832</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45832</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45832</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45832</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45832</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45832</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45832</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45832</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45832</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45832</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45832</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45832</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45832</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45832</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45832</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45832</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45832</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45832</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45832</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45832</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45832</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45832</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45832</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45832</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45832</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45832</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45832</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45832</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45832</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45832</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45832</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45832</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45832</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45832</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45832</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45832</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45832</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45832</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45832</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45832</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45832</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45832</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45832</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45832</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45832</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45832</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45832</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45832</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45832</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45832</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45832</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45832</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45832</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45832</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45832</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45832</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45832</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45832</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45832</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45832</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45832</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45832</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45832</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45832</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45832</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45832</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45832</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45832</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45832</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45832</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45832</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45832</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45832</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45832</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45832</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45832</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45832</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45832</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45832</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45832</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45832</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45832</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45832</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45832</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45832</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45832</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45832</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45832</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45832</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45832</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45832</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45832</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45832</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45832</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45832</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45832</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45832</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45832</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45832</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45832</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45832</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45832</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45832</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45832</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45832</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45832</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45832</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45832</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45832</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45832</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45832</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45832</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45832</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45832</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45832</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45832</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45832</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45832</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45832</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45832</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45832</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45832</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45832</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45832</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45832</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45832</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45832</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45832</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45832</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45832</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45832</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45832</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45832</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45832</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45832</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45832</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45832</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45832</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45832</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45832</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45832</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45832</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45832</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45832</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45832</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45832</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45832</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45832</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45832</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45832</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45832</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45832</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45832</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45832</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45832</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45832</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45832</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45832</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45832</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45832</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45832</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45832</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45832</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45832</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45832</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45832</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45832</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45832</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45832</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45832</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45832</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45832</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45832</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45832</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45832</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45832</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45832</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45832</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45832</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45832</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45832</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45832</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45832</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45832</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45832</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45832</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45832</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45832</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45832</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45832</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45832</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45832</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45832</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45832</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45832</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45832</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45832</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45832</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45832</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45832</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45832</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45832</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45832</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45832</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45832</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45832</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45832</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45832</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45832</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45832</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45832</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45832</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45832</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45832</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45832</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45832</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45832</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45832</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45832</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45832</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45832</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45832</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45832</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45832</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45832</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45832</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45832</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45832</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45832</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45832</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45832</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45832</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45832</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45832</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45832</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45832</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45832</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45832</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45832</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45832</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45832</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45832</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45832</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45832</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45832</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45832</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45832</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45832</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45832</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45832</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45832</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45832</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45832</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45832</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45832</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45832</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45832</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45832</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45832</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45832</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45832</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45832</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45832</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45832</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45832</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45832</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45832</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45832</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45832</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45832</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45832</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45832</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45832</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45832</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45832</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45832</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45832</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45832</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45832</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45832</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45832</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45832</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45832</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45832</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45832</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45832</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45832</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45832</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45832</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45832</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45832</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45832</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45832</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45832</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45832</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45832</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45832</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45832</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45832</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45832</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45832</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45832</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45832</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45832</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45832</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45832</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45832</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45832</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45832</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45832</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45832</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45832</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45832</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45832</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45832</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45832</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45832</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45832</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45832</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45832</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45832</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45832</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45832</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45832</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45832</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45832</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45832</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45832</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45832</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45832</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45832</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45832</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45832</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45832</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45832</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45832</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45832</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45832</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45832</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45832</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45832</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45832</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45832</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45832</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45832</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45832</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45832</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45832</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45832</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45832</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45832</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45832</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45832</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45832</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45832</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45832</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45832</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45832</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45832</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45832</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45832</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45832</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45832</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45832</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45832</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45832</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45832</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45832</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45832</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45832</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45832</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45832</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45832</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45832</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45832</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45832</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45832</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45832</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45832</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45832</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45832</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45832</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45832</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45832</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45832</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45832</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45832</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45832</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45832</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45832</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45832</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45832</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45832</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45832</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45832</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45832</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45832</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45832</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45832</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45832</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45832</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45832</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45832</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45832</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45832</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45832</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45832</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45832</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45832</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45832</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45832</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45832</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45832</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45832</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45832</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45832</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45832</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45832</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45832</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45832</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45832</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45832</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45832</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45832</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45832</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45832</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45832</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45832</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45832</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45832</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45832</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45832</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45832</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45832</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45832</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45832</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45832</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45832</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45832</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45832</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45832</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45832</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45832</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45832</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45832</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45832</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45832</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45832</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45832</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45832</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45832</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45832</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45832</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45832</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45832</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45832</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45832</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45832</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45832</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45832</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45832</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45832</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45832</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45832</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45832</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45832</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45832</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45832</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45832</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45832</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45832</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45832</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45832</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45832</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45832</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45832</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45832</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45832</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45832</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45832</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45832</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45832</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45832</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45832</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45832</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45832</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45832</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45832</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45832</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45832</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45832</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45832</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45832</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45832</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45832</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45832</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45832</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45832</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45832</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45832</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45832</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45832</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45832</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45832</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45832</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45832</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45832</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45832</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45832</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45832</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45832</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45832</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45832</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45832</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45832</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45832</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45832</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45832</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45832</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45832</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45832</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45832</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45832</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45832</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45832</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45832</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45832</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45832</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45832</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45832</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45832</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45832</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45832</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45832</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45832</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45832</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45832</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45832</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45832</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45832</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45832</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45832</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45832</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45832</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45832</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45832</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45832</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45832</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45832</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45832</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45832</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45832</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45832</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45832</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45832</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45832</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45832</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45832</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45832</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45832</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45832</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45832</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45832</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45832</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45832</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45832</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45832</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45832</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45832</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45832</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45832</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45832</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45832</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45832</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45832</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45832</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45832</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45832</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45832</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45832</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45832</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45832</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45832</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45832</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45832</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45832</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45832</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45832</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45832</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45832</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45832</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45832</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45832</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45832</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45832</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45832</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45832</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45832</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45832</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45832</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45832</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45832</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45832</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45832</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45832</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45832</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45832</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45832</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45832</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45832</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45832</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45832</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45832</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45832</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45832</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45832</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45832</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45832</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45832</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45832</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45832</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45832</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45832</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45832</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45832</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45832</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45832</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45832</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45832</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45832</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45832</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45832</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45832</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45832</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45832</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45832</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45832</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45832</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45832</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45832</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45832</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45832</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45832</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45832</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45832</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45832</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45832</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45832</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45832</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45832</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45832</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45832</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45832</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45832</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45832</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45832</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45832</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45832</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45832</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45832</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45832</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45832</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45832</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45832</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45832</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45832</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45832</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45832</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45832</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45832</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45832</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45832</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45832</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45832</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45832</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45832</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45832</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45832</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45832</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45832</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45832</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45832</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45832</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45832</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45832</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45832</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45832</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45832</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45832</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45832</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45832</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45832</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45832</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45832</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45832</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45832</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45832</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45832</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45832</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45832</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45832</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45832</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45832</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45832</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45832</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45832</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45832</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45832</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45832</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45832</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45832</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45832</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45832</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45832</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45832</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45832</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45832</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45832</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45832</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45832</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45832</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45832</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45832</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45832</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45832</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45832</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45832</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45832</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45832</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45832</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45832</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45832</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45832</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45832</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45832</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45832</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45832</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45832</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45832</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45832</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45832</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45832</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45832</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45832</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45832</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45832</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45832</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45832</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45832</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45832</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45832</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45832</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45832</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45832</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45832</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45832</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45832</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45832</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45832</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45832</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45832</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45832</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45832</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45832</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45832</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45832</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45832</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45832</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45832</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45832</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45832</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45832</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45832</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45832</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45832</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45832</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45832</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45832</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45832</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45832</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45832</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45832</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45832</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45832</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45832</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45832</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45832</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45832</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45832</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45832</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45832</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45832</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45832</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45832</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45832</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45832</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45832</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45832</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45832</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45832</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45832</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45832</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45832</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45832</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45832</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45832</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45832</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45832</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45832</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45832</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45832</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45832</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45832</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45832</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45832</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45832</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45832</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45832</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45832</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45832</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45832</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45832</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45832</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45832</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45832</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45832</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45832</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45832</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45832</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45832</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45832</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45832</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45832</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45832</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45832</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45832</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45832</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45832</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45832</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45832</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45832</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45832</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45832</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45832</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45832</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45832</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45832</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45832</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45832</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45832</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45832</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45832</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45832</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45832</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45832</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45832</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45832</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45832</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45832</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45832</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45832</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45832</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45832</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45832</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45832</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45832</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45832</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45832</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45832</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45832</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45832</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45832</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45832</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45832</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45832</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45832</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45832</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45832</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45832</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45832</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45832</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45832</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45832</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45832</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45832</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45832</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45832</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45832</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45832</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45832</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45832</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45832</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45832</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45832</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45832</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45832</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45832</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45832</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45832</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45832</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45832</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45832</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45832</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45832</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45832</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45832</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45832</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45832</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45832</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45832</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45832</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45832</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45832</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45832</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45832</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45832</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45832</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45832</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45832</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45832</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45832</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45832</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45832</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45832</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45832</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45832</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45832</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45832</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45832</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45832</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45832</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45832</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45832</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45832</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45832</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45832</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45832</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45832</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45832</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45832</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45832</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45832</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45832</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45832</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45832</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45832</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45832</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45832</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45832</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45832</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45832</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45832</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45832</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45832</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45832</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45832</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45832</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45832</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45832</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45832</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45832</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45832</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45832</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45832</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45832</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45832</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45832</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45832</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45832</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45832</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45832</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45832</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45832</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45832</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45832</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45832</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45832</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45832</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45832</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45832</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45832</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45832</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45832</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45832</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45832</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45832</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45832</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45832</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45832</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45832</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45832</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45832</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45832</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45832</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45832</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45832</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45832</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45832</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45832</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45832</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45832</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45832</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45832</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45832</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45832</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45832</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45832</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45832</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45832</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45832</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45832</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45832</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45832</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45832</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45832</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45832</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45832</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45832</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45832</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45832</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45832</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45832</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45832</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45832</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45832</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45832</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45832</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45832</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45832</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45832</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45832</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45832</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45832</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45832</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45832</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45832</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45832</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45832</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45832</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45832</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45832</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45832</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45832</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45832</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45832</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45832</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45832</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45832</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45832</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45832</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45832</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45832</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45832</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45832</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45832</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45832</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45832</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45832</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45832</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45832</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45832</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45832</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45832</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45832</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45832</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45832</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45832</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45832</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45832</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45832</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45832</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45832</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45832</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45832</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45832</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45832</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45832</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45832</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45832</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45832</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45832</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45832</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45832</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45832</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45832</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45832</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45832</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45832</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45832</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45832</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45832</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45832</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45832</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45832</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45832</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45832</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45832</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45832</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45832</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45832</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45832</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45832</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45832</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45832</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45832</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45832</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45832</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45832</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45832</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45832</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45832</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45832</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45832</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45832</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45832</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45832</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45832</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45832</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45832</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45832</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45832</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45832</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45832</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45832</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45832</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45832</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45832</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45832</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45832</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45832</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45832</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45832</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45832</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45832</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45832</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45832</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45832</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45832</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45832</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45832</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45832</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45832</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45832</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45832</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45832</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45832</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45832</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45832</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45832</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45832</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45832</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45832</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45832</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45832</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45832</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45832</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45832</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45832</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45832</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45832</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45832</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45832</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45832</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45832</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45832</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45832</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45832</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45832</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45832</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45832</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45832</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45832</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45832</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45832</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45832</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45832</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45832</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45832</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45832</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45832</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45832</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45832</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45832</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45832</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45832</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45832</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45832</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45832</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45832</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45832</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45832</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45832</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45832</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45832</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45832</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45832</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45832</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45832</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45832</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45832</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45832</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45832</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45832</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45832</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45832</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45832</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45832</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45832</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45832</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45832</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45832</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45832</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45832</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45832</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45832</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45832</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45832</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45832</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45832</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45832</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45832</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45832</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45832</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45832</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45832</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45832</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45832</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45832</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45832</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45832</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45832</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45832</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45832</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45832</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45832</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45832</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45832</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45832</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45832</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45832</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45832</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45832</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45832</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45832</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45832</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45832</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45832</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45832</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45832</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45832</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45832</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45832</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45832</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45832</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45832</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45832</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45832</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45832</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45832</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45832</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45832</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45832</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45832</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45832</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45832</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45832</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45832</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45832</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45832</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45832</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45832</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45832</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45832</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45832</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45832</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45832</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45832</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45832</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45832</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45832</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45832</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45832</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45832</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45832</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45832</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45832</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45832</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45832</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45832</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45832</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45832</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45832</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45832</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45832</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45832</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45832</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45832</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45832</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45832</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45832</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45832</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45832</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45832</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45832</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45832</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45832</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45832</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45832</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45832</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45832</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45832</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45832</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45832</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45832</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45832</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45832</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45832</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45832</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45832</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45832</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45832</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45832</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45832</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45832</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45832</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45832</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45832</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45832</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45832</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45832</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45832</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45832</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45832</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45832</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45832</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45832</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45832</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45832</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45832</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45832</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45832</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45832</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45832</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45832</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45832</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45832</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45832</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45832</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45832</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45832</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45832</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45832</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45832</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45832</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45832</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45832</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45832</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45832</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45832</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45832</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45832</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45832</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45832</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45832</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45832</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45832</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45832</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45832</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45832</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45832</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45832</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45832</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45832</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45832</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45832</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45832</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45832</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45832</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45832</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45832</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45832</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45832</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45832</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45832</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45832</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45832</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45832</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45832</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45832</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45832</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45832</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45832</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45832</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45832</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45832</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45832</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45832</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45832</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45832</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45832</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45832</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45832</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45832</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45832</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45832</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45832</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45832</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45832</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45832</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45832</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45832</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45832</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45832</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45832</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45832</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45832</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45832</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45832</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45832</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45832</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45832</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45832</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45832</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45832</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45832</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45832</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45832</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45832</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45832</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45832</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45832</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45832</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45832</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45832</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45832</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45832</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45832</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45832</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45832</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45832</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45832</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45832</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45832</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45832</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45832</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45832</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45832</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45832</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45832</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45832</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45832</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45832</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45832</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45832</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45832</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45832</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45832</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45832</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45832</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45832</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45832</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45832</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45832</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45832</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45832</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45832</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45832</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45832</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45832</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45832</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45832</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45832</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45832</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45832</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45832</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45832</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45832</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45832</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45832</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45832</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45832</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45832</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45832</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45832</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45832</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45832</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45832</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45832</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45832</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45832</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45832</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45832</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45832</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45832</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45832</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45832</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45832</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45832</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45832</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45832</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45832</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45832</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45832</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45832</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45832</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45832</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45832</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45832</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45832</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45832</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45832</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45832</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45832</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45832</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45832</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45832</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45832</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45832</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45832</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45832</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45832</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45832</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45832</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45832</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45832</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45832</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45832</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45832</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45832</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45832</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45832</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45832</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45832</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45832</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45832</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45832</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45832</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45832</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45832</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45832</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45832</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45832</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45832</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45832</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45832</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45832</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45832</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45832</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45832</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45832</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45832</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45832</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45832</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45832</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45832</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45832</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45832</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45832</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45832</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45832</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45832</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45832</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45832</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45832</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45832</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45832</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45832</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45832</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45832</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45832</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45832</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45832</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45832</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45832</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45832</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45832</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45832</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45832</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45832</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45832</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45832</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45832</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45832</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45832</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45832</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45832</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45832</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45832</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45832</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45832</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45832</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45832</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45832</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45832</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45832</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45832</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45832</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45832</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45832</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45832</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45832</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45832</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45832</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45832</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45832</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45832</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45832</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45832</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45832</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45832</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45832</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45832</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45832</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45832</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45832</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45832</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45832</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45832</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45832</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45832</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45832</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45832</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45832</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45832</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45832</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45832</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45832</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45832</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45832</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45832</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45832</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45832</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45832</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45832</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45832</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45832</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45832</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45832</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45832</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45832</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45832</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45832</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45832</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45832</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45832</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45832</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45832</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45832</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45832</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45832</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45832</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45832</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45832</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45832</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45832</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45832</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45832</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45832</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45832</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45832</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45832</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45832</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45832</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45832</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45832</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45832</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45832</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45832</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45832</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45832</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45832</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45832</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45832</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45832</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45832</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45832</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45832</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45832</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45832</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45832</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45832</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45832</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45832</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45832</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45832</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45832</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45832</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45832</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45832</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45832</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45832</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45832</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45832</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45832</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45832</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45832</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45832</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45832</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45832</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45832</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45832</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45832</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45832</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45832</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45832</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45832</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45832</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45832</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45832</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45832</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45832</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45832</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45832</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45832</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45832</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45832</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45832</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45832</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45832</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45832</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45832</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45832</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45832</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45832</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45832</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45832</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45832</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45832</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45832</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45832</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45832</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45832</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45832</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45832</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45832</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45832</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45832</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45832</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45832</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45832</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45832</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45832</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45832</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45832</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45832</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45832</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45832</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45832</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45832</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45832</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45832</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45832</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45832</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45832</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45832</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45832</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45832</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45832</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45832</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45832</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45832</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45832</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45832</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45832</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45832</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45832</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45832</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45832</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45832</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45832</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45832</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45832</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45832</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45832</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45832</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45832</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45832</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45832</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45832</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45832</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45832</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45832</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45832</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45832</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45832</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45832</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45832</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45832</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45832</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45832</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45832</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45832</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45832</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45832</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45832</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45832</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45832</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45832</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45832</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45832</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45832</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45832</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45832</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45832</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45832</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45832</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45832</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45832</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45832</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45832</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45832</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45832</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45832</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45832</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45832</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45832</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45832</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45832</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45832</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45832</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45832</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45832</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45832</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45832</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45832</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45832</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45832</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45832</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45832</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45832</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45832</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45832</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45832</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45832</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45832</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45832</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45832</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45832</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45832</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45832</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45832</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45832</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45832</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45832</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45832</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45832</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45832</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45832</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45832</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45832</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45832</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45832</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45832</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45832</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45832</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45832</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45832</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45832</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45832</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45832</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45832</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45832</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45832</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45832</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45832</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45832</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45832</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45832</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45832</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45832</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45832</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45832</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45832</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45832</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45832</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45832</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45832</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45832</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45832</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45832</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45832</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45832</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45832</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45832</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45832</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45832</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45832</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45832</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45832</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45832</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45832</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45832</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45832</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45832</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45832</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45832</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45832</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45832</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45832</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45832</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45832</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45832</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45832</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45832</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45832</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45832</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45832</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45832</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45832</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45832</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45832</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45832</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45832</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45832</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45832</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45832</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45832</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45832</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45832</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45832</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45832</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45832</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45832</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45832</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45832</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45832</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45832</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45832</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45832</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45832</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45832</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45832</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45832</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45832</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45832</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45832</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45832</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45832</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45832</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45832</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45832</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45832</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45832</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45832</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45832</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45832</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45832</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45832</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45832</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45832</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45832</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45832</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45832</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45832</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45832</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45832</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45832</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45832</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45832</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45832</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45832</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45832</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45832</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45832</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45832</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45832</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45832</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45832</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45832</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45832</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45832</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45832</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45832</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45832</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45832</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45832</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45832</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45832</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45832</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45832</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45832</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45832</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45832</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45832</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45832</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45832</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45832</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45832</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45832</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45832</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45832</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45832</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45832</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45832</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45832</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45832</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45832</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45832</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45832</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45832</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45832</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45832</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45832</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45832</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45832</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45832</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45832</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45832</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45832</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45832</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45832</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45832</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45832</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45832</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45832</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45832</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45832</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45832</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45832</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45832</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45832</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45832</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45832</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45832</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45832</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45832</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45832</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45832</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45832</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45832</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45832</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45832</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45832</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45832</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45832</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45832</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45832</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45832</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45832</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45832</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45832</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45832</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45832</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45832</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45832</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45832</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45832</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45832</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45832</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45832</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45832</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45832</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45832</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45832</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45832</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45832</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45832</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45832</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45832</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45832</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45832</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45832</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45832</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45832</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45832</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45832</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45832</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45832</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45832</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45832</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45832</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45832</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45832</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45832</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45832</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45832</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45832</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45832</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45832</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45832</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45832</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45832</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45832</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45832</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45832</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45832</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45832</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45832</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45832</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45832</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45832</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45832</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45832</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45832</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45832</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45832</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45832</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45832</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45832</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45832</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45832</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45832</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45832</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45832</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45832</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45832</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45832</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45832</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45832</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45832</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45832</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45832</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45832</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45832</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45832</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45832</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45832</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45832</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45832</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45832</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45832</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45832</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45832</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45832</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45832</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45832</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45832</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45832</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45832</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45832</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45832</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45832</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45832</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45832</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45832</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45832</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45832</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45832</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45832</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45832</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45832</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45832</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45832</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45832</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45832</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45832</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45832</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45832</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45832</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45832</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45832</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45832</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45832</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45832</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45832</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45832</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45832</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45832</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45832</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45832</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45832</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45832</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45832</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45832</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45832</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45832</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45832</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45832</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45832</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45832</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45832</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45832</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45832</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45832</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45832</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45832</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45832</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45832</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45832</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45832</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45832</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45832</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45832</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45832</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45832</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45832</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45832</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45832</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45832</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45832</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45832</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45832</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45832</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45832</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45832</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45832</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45832</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45832</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45832</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45832</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45832</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45832</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45832</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45832</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45832</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45832</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45832</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45832</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45832</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45832</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45832</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45832</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45832</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45832</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45832</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45832</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45832</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45832</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45832</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45832</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45832</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45832</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45832</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45832</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45832</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45832</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45832</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45832</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45832</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45832</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45832</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45832</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45832</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45832</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45832</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45832</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45832</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45832</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45832</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45832</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45832</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45832</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45832</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45832</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45832</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45832</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45832</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45832</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45832</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45832</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45832</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45832</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45832</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45832</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45832</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45832</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45832</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45832</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45832</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45832</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45832</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45832</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45832</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45832</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45832</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45832</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45832</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45832</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45832</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45832</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45832</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45832</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45832</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45832</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45832</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45832</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45832</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45832</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45832</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45832</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45832</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45832</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45832</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45832</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45832</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45832</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45832</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45832</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45832</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45832</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45832</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45832</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45832</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45832</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45832</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45832</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45832</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45832</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45832</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45832</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45832</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45832</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45832</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45832</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45832</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45832</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45832</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45832</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45832</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45832</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45832</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45832</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45832</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45832</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45832</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45832</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45832</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45832</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45832</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45832</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45832</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45832</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45832</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45832</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45832</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45832</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45832</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45832</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45832</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45832</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45832</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45832</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45832</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45832</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45832</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45832</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45832</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45832</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45832</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45832</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45832</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45832</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45832</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45832</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45832</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45832</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45832</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45832</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45832</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45832</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45832</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45832</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45832</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45832</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45832</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45832</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45832</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45832</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45832</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45832</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45832</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45832</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45832</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45832</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45832</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45832</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45832</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45832</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45832</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45832</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45832</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45832</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45832</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45832</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45832</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45832</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45832</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45832</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45832</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45832</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45832</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45832</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45832</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45832</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45832</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45832</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45832</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45832</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45832</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45832</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45832</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45832</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45832</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45832</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45832</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45832</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45832</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45832</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45832</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45832</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45832</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45832</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45832</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45832</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45832</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45832</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45832</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45832</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45832</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45832</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45832</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45832</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45832</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45832</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45832</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45832</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45832</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45832</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45832</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45832</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45832</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45832</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45832</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45832</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45832</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45832</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45832</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45832</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45832</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45832</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45832</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45832</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45832</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45832</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45832</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45832</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45832</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45832</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45832</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45832</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45832</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45832</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45832</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45832</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45832</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45832</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45832</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45832</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45832</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45832</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45832</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45832</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45832</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45832</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45832</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45832</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45832</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45832</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45832</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45832</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45832</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45832</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45832</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45832</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45832</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45832</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45832</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45832</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45832</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45832</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45832</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45832</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45832</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45832</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45832</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45832</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45832</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45832</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45832</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45832</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45832</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45832</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45832</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45832</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45832</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45832</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45832</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45832</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45832</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45832</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45832</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45832</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45832</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45832</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45832</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45832</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45832</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45832</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45832</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45832</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45832</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45832</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45832</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45832</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45832</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45832</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45832</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45832</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45832</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45832</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45832</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45832</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45832</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45832</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45832</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45832</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45832</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45832</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45832</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45832</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45832</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45832</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45832</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45832</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45832</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45832</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45832</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45832</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45832</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45832</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45832</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45832</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45832</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45832</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45832</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45832</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45832</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45832</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45832</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45832</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45832</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45832</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45832</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45832</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45832</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45832</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45832</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45832</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45832</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45832</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45832</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45832</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45832</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45832</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45832</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45832</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45832</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45832</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45832</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45832</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45832</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45832</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45832</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45832</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45832</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45832</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45832</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45832</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45832</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45832</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45832</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45832</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45832</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45832</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45832</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45832</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45832</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45832</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45832</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45832</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45832</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45832</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45832</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45832</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45832</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45832</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45832</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45832</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45832</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45832</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45832</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45832</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45832</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45832</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45832</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45832</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45832</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45832</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45832</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45832</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45832</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45832</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45832</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45832</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45832</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45832</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45832</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45832</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45832</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45832</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45832</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45832</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45832</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45832</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45832</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45832</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45832</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45832</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45832</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45832</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45832</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45832</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45832</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45832</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45832</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45832</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45832</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45832</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45832</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45832</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45832</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45832</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45832</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45832</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45832</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45832</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45832</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45832</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45832</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45832</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45832</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45832</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45832</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45832</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45832</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45832</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45832</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45832</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45832</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45832</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45832</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45832</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45832</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45832</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45832</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45832</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45832</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45832</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45832</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45832</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45832</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45832</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45832</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45832</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45832</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45832</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45832</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45832</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45832</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45832</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45832</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45832</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45832</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45832</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45832</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45832</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45832</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45832</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45832</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45832</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45832</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45832</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45832</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45832</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45832</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45832</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45832</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45832</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45832</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45832</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45832</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45832</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45832</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45832</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45832</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45832</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45832</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45832</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45832</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45832</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45832</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45832</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45832</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45832</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45832</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45832</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45832</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45832</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45832</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45832</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45832</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45832</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45832</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45832</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45832</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45832</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45832</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45832</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45832</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45832</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45832</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45832</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45832</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45832</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45832</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45832</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45832</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45832</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45832</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45832</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45832</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45832</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45832</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45832</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45832</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45832</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45832</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45832</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45832</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45832</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45832</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45832</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45832</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45832</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45832</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45832</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45832</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45832</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45832</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45832</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45832</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45832</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45832</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45832</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45832</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45832</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45832</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45832</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45832</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45832</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45832</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45832</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45832</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45832</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45832</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45832</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45832</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45832</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45832</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45832</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45832</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45832</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45832</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45832</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45832</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45832</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45832</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45832</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45832</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45832</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45832</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45832</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45832</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45832</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45832</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45832</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45832</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45832</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45832</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45832</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45832</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45832</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45832</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45832</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45832</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45832</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45832</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45832</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45832</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45832</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45832</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45832</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45832</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45832</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45832</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45832</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45832</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45832</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45832</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45832</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45832</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45832</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45832</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45832</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45832</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45832</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45832</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45832</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45832</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45832</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45832</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45832</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45832</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45832</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45832</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45832</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45832</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45832</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45832</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45832</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45832</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45832</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45832</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45832</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45832</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45832</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45832</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45832</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45832</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45832</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45832</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45832</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45832</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45832</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45832</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45832</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45832</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45832</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45832</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45832</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45832</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45832</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45832</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45832</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45832</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45832</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45832</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45832</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45832</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45832</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45832</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45832</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45832</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45832</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45832</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45832</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45832</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45832</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45832</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45832</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45832</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45832</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45832</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45832</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45832</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45832</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45832</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45832</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45832</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45832</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45832</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45832</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45832</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45832</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45832</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45832</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45832</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45832</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45832</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45832</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45832</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45832</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45832</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45832</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45832</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45832</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45832</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45832</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45832</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45832</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45832</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45832</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45832</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45832</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45832</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45832</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45832</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45832</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45832</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45832</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45832</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45832</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45832</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45832</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45832</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45832</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45832</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45832</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45832</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45832</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45832</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45832</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45832</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45832</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45832</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45832</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45832</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45832</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45832</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45832</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45832</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45832</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45832</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45832</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45832</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45832</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45832</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45832</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45832</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45832</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45832</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45832</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45832</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45832</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45832</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45832</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45832</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45832</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45832</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45832</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45832</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45832</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45832</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45832</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45832</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45832</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45832</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45832</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45832</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45832</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45832</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45832</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45832</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45832</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45832</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45832</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45832</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45832</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45832</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45832</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45832</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45832</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45832</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45832</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45832</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45832</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45832</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45832</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45832</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45832</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45832</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45832</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45832</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45832</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45832</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45832</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45832</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45832</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45832</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45832</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45832</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45832</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45832</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45832</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45832</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45832</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45832</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45832</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45832</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45832</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45832</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45832</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45832</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45832</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45832</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45832</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45832</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45832</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45832</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45832</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45832</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45832</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45832</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45832</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45832</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45832</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45832</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45832</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45832</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45832</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45832</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45832</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45832</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45832</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45832</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45832</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45832</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45832</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45832</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45832</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45832</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45832</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45832</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45832</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45832</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45832</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45832</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45832</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45832</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45832</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45832</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45832</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45832</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45832</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45832</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45832</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45832</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45832</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45832</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45832</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45832</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45832</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45832</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45832</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45832</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45832</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45832</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45832</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45832</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45832</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45832</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45832</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45832</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45832</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45832</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45832</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45832</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45832</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45832</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45832</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45832</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45832</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45832</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45832</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45832</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45832</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45832</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45832</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45832</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45832</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45832</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45832</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45832</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45832</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45832</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45832</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45832</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45832</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45832</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45832</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45832</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45832</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45832</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45832</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45832</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45832</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45832</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45832</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45832</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45832</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45832</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45832</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45832</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45832</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45832</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45832</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45832</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45832</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45832</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45832</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45832</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45832</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45832</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45832</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45832</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45832</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45832</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45832</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45832</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45832</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45832</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45832</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45832</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45832</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45832</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45832</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45832</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45832</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45832</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45832</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45832</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45832</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45832</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45832</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45832</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45832</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45832</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45832</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45832</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45832</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45832</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45832</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45832</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45832</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45832</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45832</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45832</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45832</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45832</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45832</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45832</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45832</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45832</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45832</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45832</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45832</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45832</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45832</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45832</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45832</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45832</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45832</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45832</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45832</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45832</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45832</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45832</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45832</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45832</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45832</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45832</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45832</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45832</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45832</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45832</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45832</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45832</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45832</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45832</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45832</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45832</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45832</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45832</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45832</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45832</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45832</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45832</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45832</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45832</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45832</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45832</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45832</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45832</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45832</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45832</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45832</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45832</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45832</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45832</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45832</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45832</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45832</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45832</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45832</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45832</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45832</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45832</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45832</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45832</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45832</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45832</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45832</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45832</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45832</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45832</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45832</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45832</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45832</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45832</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45832</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45832</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45832</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45832</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45832</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45832</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45832</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45832</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45832</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45832</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45832</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45832</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45832</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45832</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45832</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45832</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45832</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45832</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45832</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45832</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45832</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45832</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45832</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45832</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45832</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45832</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45832</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45832</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45832</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45832</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45832</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45832</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45832</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45832</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45832</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45832</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45832</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45832</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45832</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45832</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45832</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25677-2025</t>
        </is>
      </c>
      <c r="B7208" s="1" t="n">
        <v>45803</v>
      </c>
      <c r="C7208" s="1" t="n">
        <v>45832</v>
      </c>
      <c r="D7208" t="inlineStr">
        <is>
          <t>UPPSALA LÄN</t>
        </is>
      </c>
      <c r="E7208" t="inlineStr">
        <is>
          <t>HEBY</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25513-2025</t>
        </is>
      </c>
      <c r="B7209" s="1" t="n">
        <v>45803</v>
      </c>
      <c r="C7209" s="1" t="n">
        <v>45832</v>
      </c>
      <c r="D7209" t="inlineStr">
        <is>
          <t>UPPSALA LÄN</t>
        </is>
      </c>
      <c r="E7209" t="inlineStr">
        <is>
          <t>UPPSALA</t>
        </is>
      </c>
      <c r="F7209" t="inlineStr">
        <is>
          <t>Bergvik skog öst AB</t>
        </is>
      </c>
      <c r="G7209" t="n">
        <v>8.9</v>
      </c>
      <c r="H7209" t="n">
        <v>0</v>
      </c>
      <c r="I7209" t="n">
        <v>0</v>
      </c>
      <c r="J7209" t="n">
        <v>0</v>
      </c>
      <c r="K7209" t="n">
        <v>0</v>
      </c>
      <c r="L7209" t="n">
        <v>0</v>
      </c>
      <c r="M7209" t="n">
        <v>0</v>
      </c>
      <c r="N7209" t="n">
        <v>0</v>
      </c>
      <c r="O7209" t="n">
        <v>0</v>
      </c>
      <c r="P7209" t="n">
        <v>0</v>
      </c>
      <c r="Q7209" t="n">
        <v>0</v>
      </c>
      <c r="R7209" s="2" t="inlineStr"/>
    </row>
    <row r="7210" ht="15" customHeight="1">
      <c r="A7210" t="inlineStr">
        <is>
          <t>A 25675-2025</t>
        </is>
      </c>
      <c r="B7210" s="1" t="n">
        <v>45803</v>
      </c>
      <c r="C7210" s="1" t="n">
        <v>45832</v>
      </c>
      <c r="D7210" t="inlineStr">
        <is>
          <t>UPPSALA LÄN</t>
        </is>
      </c>
      <c r="E7210" t="inlineStr">
        <is>
          <t>HEBY</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45832</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45832</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45832</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45832</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45832</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45832</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26047-2025</t>
        </is>
      </c>
      <c r="B7217" s="1" t="n">
        <v>45804</v>
      </c>
      <c r="C7217" s="1" t="n">
        <v>45832</v>
      </c>
      <c r="D7217" t="inlineStr">
        <is>
          <t>UPPSALA LÄN</t>
        </is>
      </c>
      <c r="E7217" t="inlineStr">
        <is>
          <t>ENKÖPING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26005-2025</t>
        </is>
      </c>
      <c r="B7218" s="1" t="n">
        <v>45804</v>
      </c>
      <c r="C7218" s="1" t="n">
        <v>45832</v>
      </c>
      <c r="D7218" t="inlineStr">
        <is>
          <t>UPPSALA LÄN</t>
        </is>
      </c>
      <c r="E7218" t="inlineStr">
        <is>
          <t>ENKÖPING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45832</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45832</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45832</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45832</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25969-2025</t>
        </is>
      </c>
      <c r="B7223" s="1" t="n">
        <v>45804</v>
      </c>
      <c r="C7223" s="1" t="n">
        <v>45832</v>
      </c>
      <c r="D7223" t="inlineStr">
        <is>
          <t>UPPSALA LÄN</t>
        </is>
      </c>
      <c r="E7223" t="inlineStr">
        <is>
          <t>HEBY</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25990-2025</t>
        </is>
      </c>
      <c r="B7224" s="1" t="n">
        <v>45804</v>
      </c>
      <c r="C7224" s="1" t="n">
        <v>45832</v>
      </c>
      <c r="D7224" t="inlineStr">
        <is>
          <t>UPPSALA LÄN</t>
        </is>
      </c>
      <c r="E7224" t="inlineStr">
        <is>
          <t>ENKÖPING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26024-2025</t>
        </is>
      </c>
      <c r="B7225" s="1" t="n">
        <v>45804</v>
      </c>
      <c r="C7225" s="1" t="n">
        <v>45832</v>
      </c>
      <c r="D7225" t="inlineStr">
        <is>
          <t>UPPSALA LÄN</t>
        </is>
      </c>
      <c r="E7225" t="inlineStr">
        <is>
          <t>ENKÖPING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26040-2025</t>
        </is>
      </c>
      <c r="B7226" s="1" t="n">
        <v>45804</v>
      </c>
      <c r="C7226" s="1" t="n">
        <v>45832</v>
      </c>
      <c r="D7226" t="inlineStr">
        <is>
          <t>UPPSALA LÄN</t>
        </is>
      </c>
      <c r="E7226" t="inlineStr">
        <is>
          <t>TIERP</t>
        </is>
      </c>
      <c r="F7226" t="inlineStr">
        <is>
          <t>Bergvik skog öst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26011-2025</t>
        </is>
      </c>
      <c r="B7227" s="1" t="n">
        <v>45804</v>
      </c>
      <c r="C7227" s="1" t="n">
        <v>45832</v>
      </c>
      <c r="D7227" t="inlineStr">
        <is>
          <t>UPPSALA LÄN</t>
        </is>
      </c>
      <c r="E7227" t="inlineStr">
        <is>
          <t>ENKÖPING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26017-2025</t>
        </is>
      </c>
      <c r="B7228" s="1" t="n">
        <v>45804</v>
      </c>
      <c r="C7228" s="1" t="n">
        <v>45832</v>
      </c>
      <c r="D7228" t="inlineStr">
        <is>
          <t>UPPSALA LÄN</t>
        </is>
      </c>
      <c r="E7228" t="inlineStr">
        <is>
          <t>ENKÖPING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26055-2025</t>
        </is>
      </c>
      <c r="B7229" s="1" t="n">
        <v>45804</v>
      </c>
      <c r="C7229" s="1" t="n">
        <v>45832</v>
      </c>
      <c r="D7229" t="inlineStr">
        <is>
          <t>UPPSALA LÄN</t>
        </is>
      </c>
      <c r="E7229" t="inlineStr">
        <is>
          <t>ÖSTHAMMAR</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26026-2025</t>
        </is>
      </c>
      <c r="B7230" s="1" t="n">
        <v>45804</v>
      </c>
      <c r="C7230" s="1" t="n">
        <v>45832</v>
      </c>
      <c r="D7230" t="inlineStr">
        <is>
          <t>UPPSALA LÄN</t>
        </is>
      </c>
      <c r="E7230" t="inlineStr">
        <is>
          <t>ENKÖPING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25968-2025</t>
        </is>
      </c>
      <c r="B7231" s="1" t="n">
        <v>45804</v>
      </c>
      <c r="C7231" s="1" t="n">
        <v>45832</v>
      </c>
      <c r="D7231" t="inlineStr">
        <is>
          <t>UPPSALA LÄN</t>
        </is>
      </c>
      <c r="E7231" t="inlineStr">
        <is>
          <t>HEBY</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26030-2025</t>
        </is>
      </c>
      <c r="B7232" s="1" t="n">
        <v>45804</v>
      </c>
      <c r="C7232" s="1" t="n">
        <v>45832</v>
      </c>
      <c r="D7232" t="inlineStr">
        <is>
          <t>UPPSALA LÄN</t>
        </is>
      </c>
      <c r="E7232" t="inlineStr">
        <is>
          <t>ENKÖPING</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26031-2025</t>
        </is>
      </c>
      <c r="B7233" s="1" t="n">
        <v>45804</v>
      </c>
      <c r="C7233" s="1" t="n">
        <v>45832</v>
      </c>
      <c r="D7233" t="inlineStr">
        <is>
          <t>UPPSALA LÄN</t>
        </is>
      </c>
      <c r="E7233" t="inlineStr">
        <is>
          <t>ENKÖPING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26041-2025</t>
        </is>
      </c>
      <c r="B7234" s="1" t="n">
        <v>45804</v>
      </c>
      <c r="C7234" s="1" t="n">
        <v>45832</v>
      </c>
      <c r="D7234" t="inlineStr">
        <is>
          <t>UPPSALA LÄN</t>
        </is>
      </c>
      <c r="E7234" t="inlineStr">
        <is>
          <t>ENKÖPING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45832</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26321-2025</t>
        </is>
      </c>
      <c r="B7236" s="1" t="n">
        <v>45805</v>
      </c>
      <c r="C7236" s="1" t="n">
        <v>45832</v>
      </c>
      <c r="D7236" t="inlineStr">
        <is>
          <t>UPPSALA LÄN</t>
        </is>
      </c>
      <c r="E7236" t="inlineStr">
        <is>
          <t>TIERP</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26131-2025</t>
        </is>
      </c>
      <c r="B7237" s="1" t="n">
        <v>45805</v>
      </c>
      <c r="C7237" s="1" t="n">
        <v>45832</v>
      </c>
      <c r="D7237" t="inlineStr">
        <is>
          <t>UPPSALA LÄN</t>
        </is>
      </c>
      <c r="E7237" t="inlineStr">
        <is>
          <t>UPPSALA</t>
        </is>
      </c>
      <c r="F7237" t="inlineStr">
        <is>
          <t>Bergvik skog öst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26139-2025</t>
        </is>
      </c>
      <c r="B7238" s="1" t="n">
        <v>45805</v>
      </c>
      <c r="C7238" s="1" t="n">
        <v>45832</v>
      </c>
      <c r="D7238" t="inlineStr">
        <is>
          <t>UPPSALA LÄN</t>
        </is>
      </c>
      <c r="E7238" t="inlineStr">
        <is>
          <t>UPPSALA</t>
        </is>
      </c>
      <c r="F7238" t="inlineStr">
        <is>
          <t>Holmen skog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26328-2025</t>
        </is>
      </c>
      <c r="B7239" s="1" t="n">
        <v>45805</v>
      </c>
      <c r="C7239" s="1" t="n">
        <v>45832</v>
      </c>
      <c r="D7239" t="inlineStr">
        <is>
          <t>UPPSALA LÄN</t>
        </is>
      </c>
      <c r="E7239" t="inlineStr">
        <is>
          <t>ÖSTHAMMAR</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26155-2025</t>
        </is>
      </c>
      <c r="B7240" s="1" t="n">
        <v>45805</v>
      </c>
      <c r="C7240" s="1" t="n">
        <v>45832</v>
      </c>
      <c r="D7240" t="inlineStr">
        <is>
          <t>UPPSALA LÄN</t>
        </is>
      </c>
      <c r="E7240" t="inlineStr">
        <is>
          <t>UPPSALA</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26099-2025</t>
        </is>
      </c>
      <c r="B7241" s="1" t="n">
        <v>45805</v>
      </c>
      <c r="C7241" s="1" t="n">
        <v>45832</v>
      </c>
      <c r="D7241" t="inlineStr">
        <is>
          <t>UPPSALA LÄN</t>
        </is>
      </c>
      <c r="E7241" t="inlineStr">
        <is>
          <t>HEBY</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26100-2025</t>
        </is>
      </c>
      <c r="B7242" s="1" t="n">
        <v>45805</v>
      </c>
      <c r="C7242" s="1" t="n">
        <v>45832</v>
      </c>
      <c r="D7242" t="inlineStr">
        <is>
          <t>UPPSALA LÄN</t>
        </is>
      </c>
      <c r="E7242" t="inlineStr">
        <is>
          <t>HEBY</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26330-2025</t>
        </is>
      </c>
      <c r="B7243" s="1" t="n">
        <v>45805</v>
      </c>
      <c r="C7243" s="1" t="n">
        <v>45832</v>
      </c>
      <c r="D7243" t="inlineStr">
        <is>
          <t>UPPSALA LÄN</t>
        </is>
      </c>
      <c r="E7243" t="inlineStr">
        <is>
          <t>ÖSTHAMMAR</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26130-2025</t>
        </is>
      </c>
      <c r="B7244" s="1" t="n">
        <v>45805</v>
      </c>
      <c r="C7244" s="1" t="n">
        <v>45832</v>
      </c>
      <c r="D7244" t="inlineStr">
        <is>
          <t>UPPSALA LÄN</t>
        </is>
      </c>
      <c r="E7244" t="inlineStr">
        <is>
          <t>UPPSALA</t>
        </is>
      </c>
      <c r="F7244" t="inlineStr">
        <is>
          <t>Bergvik skog öst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26226-2025</t>
        </is>
      </c>
      <c r="B7245" s="1" t="n">
        <v>45805</v>
      </c>
      <c r="C7245" s="1" t="n">
        <v>45832</v>
      </c>
      <c r="D7245" t="inlineStr">
        <is>
          <t>UPPSALA LÄN</t>
        </is>
      </c>
      <c r="E7245" t="inlineStr">
        <is>
          <t>KNIVSTA</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26288-2025</t>
        </is>
      </c>
      <c r="B7246" s="1" t="n">
        <v>45805</v>
      </c>
      <c r="C7246" s="1" t="n">
        <v>45832</v>
      </c>
      <c r="D7246" t="inlineStr">
        <is>
          <t>UPPSALA LÄN</t>
        </is>
      </c>
      <c r="E7246" t="inlineStr">
        <is>
          <t>HEBY</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26141-2025</t>
        </is>
      </c>
      <c r="B7247" s="1" t="n">
        <v>45805</v>
      </c>
      <c r="C7247" s="1" t="n">
        <v>45832</v>
      </c>
      <c r="D7247" t="inlineStr">
        <is>
          <t>UPPSALA LÄN</t>
        </is>
      </c>
      <c r="E7247" t="inlineStr">
        <is>
          <t>UPPSALA</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45832</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26541-2025</t>
        </is>
      </c>
      <c r="B7249" s="1" t="n">
        <v>45807</v>
      </c>
      <c r="C7249" s="1" t="n">
        <v>45832</v>
      </c>
      <c r="D7249" t="inlineStr">
        <is>
          <t>UPPSALA LÄN</t>
        </is>
      </c>
      <c r="E7249" t="inlineStr">
        <is>
          <t>TIERP</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26395-2025</t>
        </is>
      </c>
      <c r="B7250" s="1" t="n">
        <v>45807</v>
      </c>
      <c r="C7250" s="1" t="n">
        <v>45832</v>
      </c>
      <c r="D7250" t="inlineStr">
        <is>
          <t>UPPSALA LÄN</t>
        </is>
      </c>
      <c r="E7250" t="inlineStr">
        <is>
          <t>ÖSTHAMMAR</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26556-2025</t>
        </is>
      </c>
      <c r="B7251" s="1" t="n">
        <v>45807</v>
      </c>
      <c r="C7251" s="1" t="n">
        <v>45832</v>
      </c>
      <c r="D7251" t="inlineStr">
        <is>
          <t>UPPSALA LÄN</t>
        </is>
      </c>
      <c r="E7251" t="inlineStr">
        <is>
          <t>TIERP</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26521-2025</t>
        </is>
      </c>
      <c r="B7252" s="1" t="n">
        <v>45807</v>
      </c>
      <c r="C7252" s="1" t="n">
        <v>45832</v>
      </c>
      <c r="D7252" t="inlineStr">
        <is>
          <t>UPPSALA LÄN</t>
        </is>
      </c>
      <c r="E7252" t="inlineStr">
        <is>
          <t>ÖSTHAMMAR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26559-2025</t>
        </is>
      </c>
      <c r="B7253" s="1" t="n">
        <v>45807</v>
      </c>
      <c r="C7253" s="1" t="n">
        <v>45832</v>
      </c>
      <c r="D7253" t="inlineStr">
        <is>
          <t>UPPSALA LÄN</t>
        </is>
      </c>
      <c r="E7253" t="inlineStr">
        <is>
          <t>TIERP</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26526-2025</t>
        </is>
      </c>
      <c r="B7254" s="1" t="n">
        <v>45807</v>
      </c>
      <c r="C7254" s="1" t="n">
        <v>45832</v>
      </c>
      <c r="D7254" t="inlineStr">
        <is>
          <t>UPPSALA LÄN</t>
        </is>
      </c>
      <c r="E7254" t="inlineStr">
        <is>
          <t>ÖSTHAMMAR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26555-2025</t>
        </is>
      </c>
      <c r="B7255" s="1" t="n">
        <v>45807</v>
      </c>
      <c r="C7255" s="1" t="n">
        <v>45832</v>
      </c>
      <c r="D7255" t="inlineStr">
        <is>
          <t>UPPSALA LÄN</t>
        </is>
      </c>
      <c r="E7255" t="inlineStr">
        <is>
          <t>TIERP</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26713-2025</t>
        </is>
      </c>
      <c r="B7256" s="1" t="n">
        <v>45809</v>
      </c>
      <c r="C7256" s="1" t="n">
        <v>45832</v>
      </c>
      <c r="D7256" t="inlineStr">
        <is>
          <t>UPPSALA LÄN</t>
        </is>
      </c>
      <c r="E7256" t="inlineStr">
        <is>
          <t>UPPSALA</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26738-2025</t>
        </is>
      </c>
      <c r="B7257" s="1" t="n">
        <v>45809</v>
      </c>
      <c r="C7257" s="1" t="n">
        <v>45832</v>
      </c>
      <c r="D7257" t="inlineStr">
        <is>
          <t>UPPSALA LÄN</t>
        </is>
      </c>
      <c r="E7257" t="inlineStr">
        <is>
          <t>UPPSALA</t>
        </is>
      </c>
      <c r="F7257" t="inlineStr">
        <is>
          <t>Övriga Aktiebolag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26739-2025</t>
        </is>
      </c>
      <c r="B7258" s="1" t="n">
        <v>45809</v>
      </c>
      <c r="C7258" s="1" t="n">
        <v>45832</v>
      </c>
      <c r="D7258" t="inlineStr">
        <is>
          <t>UPPSALA LÄN</t>
        </is>
      </c>
      <c r="E7258" t="inlineStr">
        <is>
          <t>UPPSALA</t>
        </is>
      </c>
      <c r="F7258" t="inlineStr">
        <is>
          <t>Övriga Aktiebolag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26740-2025</t>
        </is>
      </c>
      <c r="B7259" s="1" t="n">
        <v>45809</v>
      </c>
      <c r="C7259" s="1" t="n">
        <v>45832</v>
      </c>
      <c r="D7259" t="inlineStr">
        <is>
          <t>UPPSALA LÄN</t>
        </is>
      </c>
      <c r="E7259" t="inlineStr">
        <is>
          <t>UPPSALA</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26696-2025</t>
        </is>
      </c>
      <c r="B7260" s="1" t="n">
        <v>45810</v>
      </c>
      <c r="C7260" s="1" t="n">
        <v>45832</v>
      </c>
      <c r="D7260" t="inlineStr">
        <is>
          <t>UPPSALA LÄN</t>
        </is>
      </c>
      <c r="E7260" t="inlineStr">
        <is>
          <t>UPPSALA</t>
        </is>
      </c>
      <c r="F7260" t="inlineStr">
        <is>
          <t>Bergvik skog öst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26709-2025</t>
        </is>
      </c>
      <c r="B7261" s="1" t="n">
        <v>45810</v>
      </c>
      <c r="C7261" s="1" t="n">
        <v>45832</v>
      </c>
      <c r="D7261" t="inlineStr">
        <is>
          <t>UPPSALA LÄN</t>
        </is>
      </c>
      <c r="E7261" t="inlineStr">
        <is>
          <t>UPPSALA</t>
        </is>
      </c>
      <c r="F7261" t="inlineStr">
        <is>
          <t>Kyrkan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45832</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45832</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26849-2025</t>
        </is>
      </c>
      <c r="B7264" s="1" t="n">
        <v>45810</v>
      </c>
      <c r="C7264" s="1" t="n">
        <v>45832</v>
      </c>
      <c r="D7264" t="inlineStr">
        <is>
          <t>UPPSALA LÄN</t>
        </is>
      </c>
      <c r="E7264" t="inlineStr">
        <is>
          <t>HEBY</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26830-2025</t>
        </is>
      </c>
      <c r="B7265" s="1" t="n">
        <v>45810</v>
      </c>
      <c r="C7265" s="1" t="n">
        <v>45832</v>
      </c>
      <c r="D7265" t="inlineStr">
        <is>
          <t>UPPSALA LÄN</t>
        </is>
      </c>
      <c r="E7265" t="inlineStr">
        <is>
          <t>HEBY</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26670-2025</t>
        </is>
      </c>
      <c r="B7266" s="1" t="n">
        <v>45810</v>
      </c>
      <c r="C7266" s="1" t="n">
        <v>45832</v>
      </c>
      <c r="D7266" t="inlineStr">
        <is>
          <t>UPPSALA LÄN</t>
        </is>
      </c>
      <c r="E7266" t="inlineStr">
        <is>
          <t>ÄLVKARLEBY</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26668-2025</t>
        </is>
      </c>
      <c r="B7267" s="1" t="n">
        <v>45810</v>
      </c>
      <c r="C7267" s="1" t="n">
        <v>45832</v>
      </c>
      <c r="D7267" t="inlineStr">
        <is>
          <t>UPPSALA LÄN</t>
        </is>
      </c>
      <c r="E7267" t="inlineStr">
        <is>
          <t>ÄLVKARLEBY</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26664-2025</t>
        </is>
      </c>
      <c r="B7268" s="1" t="n">
        <v>45810</v>
      </c>
      <c r="C7268" s="1" t="n">
        <v>45832</v>
      </c>
      <c r="D7268" t="inlineStr">
        <is>
          <t>UPPSALA LÄN</t>
        </is>
      </c>
      <c r="E7268" t="inlineStr">
        <is>
          <t>ÄLVKARLEBY</t>
        </is>
      </c>
      <c r="F7268" t="inlineStr">
        <is>
          <t>Bergvik skog väst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45832</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27058-2025</t>
        </is>
      </c>
      <c r="B7270" s="1" t="n">
        <v>45811</v>
      </c>
      <c r="C7270" s="1" t="n">
        <v>45832</v>
      </c>
      <c r="D7270" t="inlineStr">
        <is>
          <t>UPPSALA LÄN</t>
        </is>
      </c>
      <c r="E7270" t="inlineStr">
        <is>
          <t>ÖSTHAMMAR</t>
        </is>
      </c>
      <c r="F7270" t="inlineStr">
        <is>
          <t>Bergvik skog öst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27133-2025</t>
        </is>
      </c>
      <c r="B7271" s="1" t="n">
        <v>45811</v>
      </c>
      <c r="C7271" s="1" t="n">
        <v>45832</v>
      </c>
      <c r="D7271" t="inlineStr">
        <is>
          <t>UPPSALA LÄN</t>
        </is>
      </c>
      <c r="E7271" t="inlineStr">
        <is>
          <t>ÖSTHAMMAR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45832</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45832</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45832</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27252-2025</t>
        </is>
      </c>
      <c r="B7275" s="1" t="n">
        <v>45812</v>
      </c>
      <c r="C7275" s="1" t="n">
        <v>45832</v>
      </c>
      <c r="D7275" t="inlineStr">
        <is>
          <t>UPPSALA LÄN</t>
        </is>
      </c>
      <c r="E7275" t="inlineStr">
        <is>
          <t>TIERP</t>
        </is>
      </c>
      <c r="F7275" t="inlineStr">
        <is>
          <t>Bergvik skog öst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27347-2025</t>
        </is>
      </c>
      <c r="B7276" s="1" t="n">
        <v>45812</v>
      </c>
      <c r="C7276" s="1" t="n">
        <v>45832</v>
      </c>
      <c r="D7276" t="inlineStr">
        <is>
          <t>UPPSALA LÄN</t>
        </is>
      </c>
      <c r="E7276" t="inlineStr">
        <is>
          <t>ÖSTHAMMAR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27265-2025</t>
        </is>
      </c>
      <c r="B7277" s="1" t="n">
        <v>45812</v>
      </c>
      <c r="C7277" s="1" t="n">
        <v>45832</v>
      </c>
      <c r="D7277" t="inlineStr">
        <is>
          <t>UPPSALA LÄN</t>
        </is>
      </c>
      <c r="E7277" t="inlineStr">
        <is>
          <t>UPPSALA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27270-2025</t>
        </is>
      </c>
      <c r="B7278" s="1" t="n">
        <v>45812</v>
      </c>
      <c r="C7278" s="1" t="n">
        <v>45832</v>
      </c>
      <c r="D7278" t="inlineStr">
        <is>
          <t>UPPSALA LÄN</t>
        </is>
      </c>
      <c r="E7278" t="inlineStr">
        <is>
          <t>TIERP</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27286-2025</t>
        </is>
      </c>
      <c r="B7279" s="1" t="n">
        <v>45812</v>
      </c>
      <c r="C7279" s="1" t="n">
        <v>45832</v>
      </c>
      <c r="D7279" t="inlineStr">
        <is>
          <t>UPPSALA LÄN</t>
        </is>
      </c>
      <c r="E7279" t="inlineStr">
        <is>
          <t>UPPSALA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27268-2025</t>
        </is>
      </c>
      <c r="B7280" s="1" t="n">
        <v>45812</v>
      </c>
      <c r="C7280" s="1" t="n">
        <v>45832</v>
      </c>
      <c r="D7280" t="inlineStr">
        <is>
          <t>UPPSALA LÄN</t>
        </is>
      </c>
      <c r="E7280" t="inlineStr">
        <is>
          <t>TIERP</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27352-2025</t>
        </is>
      </c>
      <c r="B7281" s="1" t="n">
        <v>45812</v>
      </c>
      <c r="C7281" s="1" t="n">
        <v>45832</v>
      </c>
      <c r="D7281" t="inlineStr">
        <is>
          <t>UPPSALA LÄN</t>
        </is>
      </c>
      <c r="E7281" t="inlineStr">
        <is>
          <t>ÖSTHAMMAR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27382-2025</t>
        </is>
      </c>
      <c r="B7282" s="1" t="n">
        <v>45812</v>
      </c>
      <c r="C7282" s="1" t="n">
        <v>45832</v>
      </c>
      <c r="D7282" t="inlineStr">
        <is>
          <t>UPPSALA LÄN</t>
        </is>
      </c>
      <c r="E7282" t="inlineStr">
        <is>
          <t>TIERP</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27383-2025</t>
        </is>
      </c>
      <c r="B7283" s="1" t="n">
        <v>45812</v>
      </c>
      <c r="C7283" s="1" t="n">
        <v>45832</v>
      </c>
      <c r="D7283" t="inlineStr">
        <is>
          <t>UPPSALA LÄN</t>
        </is>
      </c>
      <c r="E7283" t="inlineStr">
        <is>
          <t>ÖSTHAMMAR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27392-2025</t>
        </is>
      </c>
      <c r="B7284" s="1" t="n">
        <v>45812</v>
      </c>
      <c r="C7284" s="1" t="n">
        <v>45832</v>
      </c>
      <c r="D7284" t="inlineStr">
        <is>
          <t>UPPSALA LÄN</t>
        </is>
      </c>
      <c r="E7284" t="inlineStr">
        <is>
          <t>ÖSTHAMMAR</t>
        </is>
      </c>
      <c r="F7284" t="inlineStr">
        <is>
          <t>Bergvik skog öst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27350-2025</t>
        </is>
      </c>
      <c r="B7285" s="1" t="n">
        <v>45812</v>
      </c>
      <c r="C7285" s="1" t="n">
        <v>45832</v>
      </c>
      <c r="D7285" t="inlineStr">
        <is>
          <t>UPPSALA LÄN</t>
        </is>
      </c>
      <c r="E7285" t="inlineStr">
        <is>
          <t>ÖSTHAMMAR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27360-2025</t>
        </is>
      </c>
      <c r="B7286" s="1" t="n">
        <v>45812</v>
      </c>
      <c r="C7286" s="1" t="n">
        <v>45832</v>
      </c>
      <c r="D7286" t="inlineStr">
        <is>
          <t>UPPSALA LÄN</t>
        </is>
      </c>
      <c r="E7286" t="inlineStr">
        <is>
          <t>TIERP</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27384-2025</t>
        </is>
      </c>
      <c r="B7287" s="1" t="n">
        <v>45812</v>
      </c>
      <c r="C7287" s="1" t="n">
        <v>45832</v>
      </c>
      <c r="D7287" t="inlineStr">
        <is>
          <t>UPPSALA LÄN</t>
        </is>
      </c>
      <c r="E7287" t="inlineStr">
        <is>
          <t>ÖSTHAMMAR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27385-2025</t>
        </is>
      </c>
      <c r="B7288" s="1" t="n">
        <v>45812</v>
      </c>
      <c r="C7288" s="1" t="n">
        <v>45832</v>
      </c>
      <c r="D7288" t="inlineStr">
        <is>
          <t>UPPSALA LÄN</t>
        </is>
      </c>
      <c r="E7288" t="inlineStr">
        <is>
          <t>ÖSTHAMMAR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27395-2025</t>
        </is>
      </c>
      <c r="B7289" s="1" t="n">
        <v>45812</v>
      </c>
      <c r="C7289" s="1" t="n">
        <v>45832</v>
      </c>
      <c r="D7289" t="inlineStr">
        <is>
          <t>UPPSALA LÄN</t>
        </is>
      </c>
      <c r="E7289" t="inlineStr">
        <is>
          <t>ÖSTHAMMAR</t>
        </is>
      </c>
      <c r="F7289" t="inlineStr">
        <is>
          <t>Bergvik skog öst AB</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27269-2025</t>
        </is>
      </c>
      <c r="B7290" s="1" t="n">
        <v>45812</v>
      </c>
      <c r="C7290" s="1" t="n">
        <v>45832</v>
      </c>
      <c r="D7290" t="inlineStr">
        <is>
          <t>UPPSALA LÄN</t>
        </is>
      </c>
      <c r="E7290" t="inlineStr">
        <is>
          <t>TIERP</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45832</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45832</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45832</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45832</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27676-2025</t>
        </is>
      </c>
      <c r="B7295" s="1" t="n">
        <v>45813</v>
      </c>
      <c r="C7295" s="1" t="n">
        <v>45832</v>
      </c>
      <c r="D7295" t="inlineStr">
        <is>
          <t>UPPSALA LÄN</t>
        </is>
      </c>
      <c r="E7295" t="inlineStr">
        <is>
          <t>ÖSTHAMMAR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27476-2025</t>
        </is>
      </c>
      <c r="B7296" s="1" t="n">
        <v>45813</v>
      </c>
      <c r="C7296" s="1" t="n">
        <v>45832</v>
      </c>
      <c r="D7296" t="inlineStr">
        <is>
          <t>UPPSALA LÄN</t>
        </is>
      </c>
      <c r="E7296" t="inlineStr">
        <is>
          <t>ÖSTHAMMAR</t>
        </is>
      </c>
      <c r="F7296" t="inlineStr">
        <is>
          <t>Bergvik skog öst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27706-2025</t>
        </is>
      </c>
      <c r="B7297" s="1" t="n">
        <v>45813</v>
      </c>
      <c r="C7297" s="1" t="n">
        <v>45832</v>
      </c>
      <c r="D7297" t="inlineStr">
        <is>
          <t>UPPSALA LÄN</t>
        </is>
      </c>
      <c r="E7297" t="inlineStr">
        <is>
          <t>UPPSALA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27490-2025</t>
        </is>
      </c>
      <c r="B7298" s="1" t="n">
        <v>45813</v>
      </c>
      <c r="C7298" s="1" t="n">
        <v>45832</v>
      </c>
      <c r="D7298" t="inlineStr">
        <is>
          <t>UPPSALA LÄN</t>
        </is>
      </c>
      <c r="E7298" t="inlineStr">
        <is>
          <t>ÖSTHAMMAR</t>
        </is>
      </c>
      <c r="F7298" t="inlineStr">
        <is>
          <t>Bergvik skog öst AB</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27629-2025</t>
        </is>
      </c>
      <c r="B7299" s="1" t="n">
        <v>45813</v>
      </c>
      <c r="C7299" s="1" t="n">
        <v>45832</v>
      </c>
      <c r="D7299" t="inlineStr">
        <is>
          <t>UPPSALA LÄN</t>
        </is>
      </c>
      <c r="E7299" t="inlineStr">
        <is>
          <t>TIERP</t>
        </is>
      </c>
      <c r="F7299" t="inlineStr">
        <is>
          <t>Bergvik skog väst AB</t>
        </is>
      </c>
      <c r="G7299" t="n">
        <v>24.6</v>
      </c>
      <c r="H7299" t="n">
        <v>0</v>
      </c>
      <c r="I7299" t="n">
        <v>0</v>
      </c>
      <c r="J7299" t="n">
        <v>0</v>
      </c>
      <c r="K7299" t="n">
        <v>0</v>
      </c>
      <c r="L7299" t="n">
        <v>0</v>
      </c>
      <c r="M7299" t="n">
        <v>0</v>
      </c>
      <c r="N7299" t="n">
        <v>0</v>
      </c>
      <c r="O7299" t="n">
        <v>0</v>
      </c>
      <c r="P7299" t="n">
        <v>0</v>
      </c>
      <c r="Q7299" t="n">
        <v>0</v>
      </c>
      <c r="R7299" s="2" t="inlineStr"/>
    </row>
    <row r="7300" ht="15" customHeight="1">
      <c r="A7300" t="inlineStr">
        <is>
          <t>A 27486-2025</t>
        </is>
      </c>
      <c r="B7300" s="1" t="n">
        <v>45813</v>
      </c>
      <c r="C7300" s="1" t="n">
        <v>45832</v>
      </c>
      <c r="D7300" t="inlineStr">
        <is>
          <t>UPPSALA LÄN</t>
        </is>
      </c>
      <c r="E7300" t="inlineStr">
        <is>
          <t>ÖSTHAMMAR</t>
        </is>
      </c>
      <c r="F7300" t="inlineStr">
        <is>
          <t>Bergvik skog öst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27563-2025</t>
        </is>
      </c>
      <c r="B7301" s="1" t="n">
        <v>45813</v>
      </c>
      <c r="C7301" s="1" t="n">
        <v>45832</v>
      </c>
      <c r="D7301" t="inlineStr">
        <is>
          <t>UPPSALA LÄN</t>
        </is>
      </c>
      <c r="E7301" t="inlineStr">
        <is>
          <t>ÖSTHAMMAR</t>
        </is>
      </c>
      <c r="F7301" t="inlineStr">
        <is>
          <t>Bergvik skog öst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45832</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45832</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27743-2025</t>
        </is>
      </c>
      <c r="B7304" s="1" t="n">
        <v>45815</v>
      </c>
      <c r="C7304" s="1" t="n">
        <v>45832</v>
      </c>
      <c r="D7304" t="inlineStr">
        <is>
          <t>UPPSALA LÄN</t>
        </is>
      </c>
      <c r="E7304" t="inlineStr">
        <is>
          <t>ÄLVKARLEBY</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45832</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45832</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27829-2025</t>
        </is>
      </c>
      <c r="B7307" s="1" t="n">
        <v>45817</v>
      </c>
      <c r="C7307" s="1" t="n">
        <v>45832</v>
      </c>
      <c r="D7307" t="inlineStr">
        <is>
          <t>UPPSALA LÄN</t>
        </is>
      </c>
      <c r="E7307" t="inlineStr">
        <is>
          <t>ENKÖPING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27812-2025</t>
        </is>
      </c>
      <c r="B7308" s="1" t="n">
        <v>45817</v>
      </c>
      <c r="C7308" s="1" t="n">
        <v>45832</v>
      </c>
      <c r="D7308" t="inlineStr">
        <is>
          <t>UPPSALA LÄN</t>
        </is>
      </c>
      <c r="E7308" t="inlineStr">
        <is>
          <t>ÖSTHAMMAR</t>
        </is>
      </c>
      <c r="F7308" t="inlineStr">
        <is>
          <t>Bergvik skog öst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27920-2025</t>
        </is>
      </c>
      <c r="B7309" s="1" t="n">
        <v>45817</v>
      </c>
      <c r="C7309" s="1" t="n">
        <v>45832</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28100-2025</t>
        </is>
      </c>
      <c r="B7310" s="1" t="n">
        <v>45817</v>
      </c>
      <c r="C7310" s="1" t="n">
        <v>45832</v>
      </c>
      <c r="D7310" t="inlineStr">
        <is>
          <t>UPPSALA LÄN</t>
        </is>
      </c>
      <c r="E7310" t="inlineStr">
        <is>
          <t>ÖSTHAMMAR</t>
        </is>
      </c>
      <c r="F7310" t="inlineStr">
        <is>
          <t>Bergvik skog öst AB</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45832</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45832</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45832</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45832</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28099-2025</t>
        </is>
      </c>
      <c r="B7315" s="1" t="n">
        <v>45817</v>
      </c>
      <c r="C7315" s="1" t="n">
        <v>45832</v>
      </c>
      <c r="D7315" t="inlineStr">
        <is>
          <t>UPPSALA LÄN</t>
        </is>
      </c>
      <c r="E7315" t="inlineStr">
        <is>
          <t>ÖSTHAMMAR</t>
        </is>
      </c>
      <c r="F7315" t="inlineStr">
        <is>
          <t>Bergvik skog öst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45832</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27853-2025</t>
        </is>
      </c>
      <c r="B7317" s="1" t="n">
        <v>45817</v>
      </c>
      <c r="C7317" s="1" t="n">
        <v>45832</v>
      </c>
      <c r="D7317" t="inlineStr">
        <is>
          <t>UPPSALA LÄN</t>
        </is>
      </c>
      <c r="E7317" t="inlineStr">
        <is>
          <t>ÖSTHAMMAR</t>
        </is>
      </c>
      <c r="F7317" t="inlineStr">
        <is>
          <t>Bergvik skog öst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45832</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45832</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45832</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28275-2025</t>
        </is>
      </c>
      <c r="B7321" s="1" t="n">
        <v>45818</v>
      </c>
      <c r="C7321" s="1" t="n">
        <v>45832</v>
      </c>
      <c r="D7321" t="inlineStr">
        <is>
          <t>UPPSALA LÄN</t>
        </is>
      </c>
      <c r="E7321" t="inlineStr">
        <is>
          <t>UPPSALA</t>
        </is>
      </c>
      <c r="F7321" t="inlineStr">
        <is>
          <t>Holmen skog AB</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28288-2025</t>
        </is>
      </c>
      <c r="B7322" s="1" t="n">
        <v>45818</v>
      </c>
      <c r="C7322" s="1" t="n">
        <v>45832</v>
      </c>
      <c r="D7322" t="inlineStr">
        <is>
          <t>UPPSALA LÄN</t>
        </is>
      </c>
      <c r="E7322" t="inlineStr">
        <is>
          <t>HEBY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28303-2025</t>
        </is>
      </c>
      <c r="B7323" s="1" t="n">
        <v>45818</v>
      </c>
      <c r="C7323" s="1" t="n">
        <v>45832</v>
      </c>
      <c r="D7323" t="inlineStr">
        <is>
          <t>UPPSALA LÄN</t>
        </is>
      </c>
      <c r="E7323" t="inlineStr">
        <is>
          <t>HEBY</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28252-2025</t>
        </is>
      </c>
      <c r="B7324" s="1" t="n">
        <v>45818</v>
      </c>
      <c r="C7324" s="1" t="n">
        <v>45832</v>
      </c>
      <c r="D7324" t="inlineStr">
        <is>
          <t>UPPSALA LÄN</t>
        </is>
      </c>
      <c r="E7324" t="inlineStr">
        <is>
          <t>TIERP</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28561-2025</t>
        </is>
      </c>
      <c r="B7325" s="1" t="n">
        <v>45818</v>
      </c>
      <c r="C7325" s="1" t="n">
        <v>45832</v>
      </c>
      <c r="D7325" t="inlineStr">
        <is>
          <t>UPPSALA LÄN</t>
        </is>
      </c>
      <c r="E7325" t="inlineStr">
        <is>
          <t>HEBY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28296-2025</t>
        </is>
      </c>
      <c r="B7326" s="1" t="n">
        <v>45818</v>
      </c>
      <c r="C7326" s="1" t="n">
        <v>45832</v>
      </c>
      <c r="D7326" t="inlineStr">
        <is>
          <t>UPPSALA LÄN</t>
        </is>
      </c>
      <c r="E7326" t="inlineStr">
        <is>
          <t>HEBY</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28558-2025</t>
        </is>
      </c>
      <c r="B7327" s="1" t="n">
        <v>45818</v>
      </c>
      <c r="C7327" s="1" t="n">
        <v>45832</v>
      </c>
      <c r="D7327" t="inlineStr">
        <is>
          <t>UPPSALA LÄN</t>
        </is>
      </c>
      <c r="E7327" t="inlineStr">
        <is>
          <t>HEBY</t>
        </is>
      </c>
      <c r="F7327" t="inlineStr">
        <is>
          <t>Kyrkan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45832</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45832</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45832</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45832</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28876-2025</t>
        </is>
      </c>
      <c r="B7332" s="1" t="n">
        <v>45820</v>
      </c>
      <c r="C7332" s="1" t="n">
        <v>45832</v>
      </c>
      <c r="D7332" t="inlineStr">
        <is>
          <t>UPPSALA LÄN</t>
        </is>
      </c>
      <c r="E7332" t="inlineStr">
        <is>
          <t>UPPSALA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28871-2025</t>
        </is>
      </c>
      <c r="B7333" s="1" t="n">
        <v>45820</v>
      </c>
      <c r="C7333" s="1" t="n">
        <v>45832</v>
      </c>
      <c r="D7333" t="inlineStr">
        <is>
          <t>UPPSALA LÄN</t>
        </is>
      </c>
      <c r="E7333" t="inlineStr">
        <is>
          <t>UPPSALA</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28855-2025</t>
        </is>
      </c>
      <c r="B7334" s="1" t="n">
        <v>45820</v>
      </c>
      <c r="C7334" s="1" t="n">
        <v>45832</v>
      </c>
      <c r="D7334" t="inlineStr">
        <is>
          <t>UPPSALA LÄN</t>
        </is>
      </c>
      <c r="E7334" t="inlineStr">
        <is>
          <t>ENKÖPING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28812-2025</t>
        </is>
      </c>
      <c r="B7335" s="1" t="n">
        <v>45820</v>
      </c>
      <c r="C7335" s="1" t="n">
        <v>45832</v>
      </c>
      <c r="D7335" t="inlineStr">
        <is>
          <t>UPPSALA LÄN</t>
        </is>
      </c>
      <c r="E7335" t="inlineStr">
        <is>
          <t>HEBY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28745-2025</t>
        </is>
      </c>
      <c r="B7336" s="1" t="n">
        <v>45820</v>
      </c>
      <c r="C7336" s="1" t="n">
        <v>45832</v>
      </c>
      <c r="D7336" t="inlineStr">
        <is>
          <t>UPPSALA LÄN</t>
        </is>
      </c>
      <c r="E7336" t="inlineStr">
        <is>
          <t>ÖSTHAMMAR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28748-2025</t>
        </is>
      </c>
      <c r="B7337" s="1" t="n">
        <v>45820</v>
      </c>
      <c r="C7337" s="1" t="n">
        <v>45832</v>
      </c>
      <c r="D7337" t="inlineStr">
        <is>
          <t>UPPSALA LÄN</t>
        </is>
      </c>
      <c r="E7337" t="inlineStr">
        <is>
          <t>ÖSTHAMMAR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28878-2025</t>
        </is>
      </c>
      <c r="B7338" s="1" t="n">
        <v>45820</v>
      </c>
      <c r="C7338" s="1" t="n">
        <v>45832</v>
      </c>
      <c r="D7338" t="inlineStr">
        <is>
          <t>UPPSALA LÄN</t>
        </is>
      </c>
      <c r="E7338" t="inlineStr">
        <is>
          <t>UPPSALA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45832</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28862-2025</t>
        </is>
      </c>
      <c r="B7340" s="1" t="n">
        <v>45820</v>
      </c>
      <c r="C7340" s="1" t="n">
        <v>45832</v>
      </c>
      <c r="D7340" t="inlineStr">
        <is>
          <t>UPPSALA LÄN</t>
        </is>
      </c>
      <c r="E7340" t="inlineStr">
        <is>
          <t>ENKÖPING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45832</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29093-2025</t>
        </is>
      </c>
      <c r="B7342" s="1" t="n">
        <v>45821</v>
      </c>
      <c r="C7342" s="1" t="n">
        <v>45832</v>
      </c>
      <c r="D7342" t="inlineStr">
        <is>
          <t>UPPSALA LÄN</t>
        </is>
      </c>
      <c r="E7342" t="inlineStr">
        <is>
          <t>ENKÖPING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29133-2025</t>
        </is>
      </c>
      <c r="B7343" s="1" t="n">
        <v>45821</v>
      </c>
      <c r="C7343" s="1" t="n">
        <v>45832</v>
      </c>
      <c r="D7343" t="inlineStr">
        <is>
          <t>UPPSALA LÄN</t>
        </is>
      </c>
      <c r="E7343" t="inlineStr">
        <is>
          <t>TIERP</t>
        </is>
      </c>
      <c r="F7343" t="inlineStr">
        <is>
          <t>Bergvik skog öst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29031-2025</t>
        </is>
      </c>
      <c r="B7344" s="1" t="n">
        <v>45821</v>
      </c>
      <c r="C7344" s="1" t="n">
        <v>45832</v>
      </c>
      <c r="D7344" t="inlineStr">
        <is>
          <t>UPPSALA LÄN</t>
        </is>
      </c>
      <c r="E7344" t="inlineStr">
        <is>
          <t>ÖSTHAMMAR</t>
        </is>
      </c>
      <c r="F7344" t="inlineStr">
        <is>
          <t>Bergvik skog öst AB</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29047-2025</t>
        </is>
      </c>
      <c r="B7345" s="1" t="n">
        <v>45821</v>
      </c>
      <c r="C7345" s="1" t="n">
        <v>45832</v>
      </c>
      <c r="D7345" t="inlineStr">
        <is>
          <t>UPPSALA LÄN</t>
        </is>
      </c>
      <c r="E7345" t="inlineStr">
        <is>
          <t>UPPSALA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45832</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28958-2025</t>
        </is>
      </c>
      <c r="B7347" s="1" t="n">
        <v>45821</v>
      </c>
      <c r="C7347" s="1" t="n">
        <v>45832</v>
      </c>
      <c r="D7347" t="inlineStr">
        <is>
          <t>UPPSALA LÄN</t>
        </is>
      </c>
      <c r="E7347" t="inlineStr">
        <is>
          <t>UPPSALA</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29024-2025</t>
        </is>
      </c>
      <c r="B7348" s="1" t="n">
        <v>45821</v>
      </c>
      <c r="C7348" s="1" t="n">
        <v>45832</v>
      </c>
      <c r="D7348" t="inlineStr">
        <is>
          <t>UPPSALA LÄN</t>
        </is>
      </c>
      <c r="E7348" t="inlineStr">
        <is>
          <t>ÖSTHAMMAR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45832</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45832</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29384-2025</t>
        </is>
      </c>
      <c r="B7351" s="1" t="n">
        <v>45824</v>
      </c>
      <c r="C7351" s="1" t="n">
        <v>45832</v>
      </c>
      <c r="D7351" t="inlineStr">
        <is>
          <t>UPPSALA LÄN</t>
        </is>
      </c>
      <c r="E7351" t="inlineStr">
        <is>
          <t>ÖSTHAMMAR</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29382-2025</t>
        </is>
      </c>
      <c r="B7352" s="1" t="n">
        <v>45824</v>
      </c>
      <c r="C7352" s="1" t="n">
        <v>45832</v>
      </c>
      <c r="D7352" t="inlineStr">
        <is>
          <t>UPPSALA LÄN</t>
        </is>
      </c>
      <c r="E7352" t="inlineStr">
        <is>
          <t>TIERP</t>
        </is>
      </c>
      <c r="F7352" t="inlineStr">
        <is>
          <t>Bergvik skog väst AB</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29477-2025</t>
        </is>
      </c>
      <c r="B7353" s="1" t="n">
        <v>45824</v>
      </c>
      <c r="C7353" s="1" t="n">
        <v>45832</v>
      </c>
      <c r="D7353" t="inlineStr">
        <is>
          <t>UPPSALA LÄN</t>
        </is>
      </c>
      <c r="E7353" t="inlineStr">
        <is>
          <t>ENKÖPING</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45832</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45832</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29747-2025</t>
        </is>
      </c>
      <c r="B7356" s="1" t="n">
        <v>45825</v>
      </c>
      <c r="C7356" s="1" t="n">
        <v>45832</v>
      </c>
      <c r="D7356" t="inlineStr">
        <is>
          <t>UPPSALA LÄN</t>
        </is>
      </c>
      <c r="E7356" t="inlineStr">
        <is>
          <t>HEBY</t>
        </is>
      </c>
      <c r="F7356" t="inlineStr">
        <is>
          <t>Bergvik skog väst AB</t>
        </is>
      </c>
      <c r="G7356" t="n">
        <v>11.8</v>
      </c>
      <c r="H7356" t="n">
        <v>0</v>
      </c>
      <c r="I7356" t="n">
        <v>0</v>
      </c>
      <c r="J7356" t="n">
        <v>0</v>
      </c>
      <c r="K7356" t="n">
        <v>0</v>
      </c>
      <c r="L7356" t="n">
        <v>0</v>
      </c>
      <c r="M7356" t="n">
        <v>0</v>
      </c>
      <c r="N7356" t="n">
        <v>0</v>
      </c>
      <c r="O7356" t="n">
        <v>0</v>
      </c>
      <c r="P7356" t="n">
        <v>0</v>
      </c>
      <c r="Q7356" t="n">
        <v>0</v>
      </c>
      <c r="R7356" s="2" t="inlineStr"/>
    </row>
    <row r="7357" ht="15" customHeight="1">
      <c r="A7357" t="inlineStr">
        <is>
          <t>A 29513-2025</t>
        </is>
      </c>
      <c r="B7357" s="1" t="n">
        <v>45825</v>
      </c>
      <c r="C7357" s="1" t="n">
        <v>45832</v>
      </c>
      <c r="D7357" t="inlineStr">
        <is>
          <t>UPPSALA LÄN</t>
        </is>
      </c>
      <c r="E7357" t="inlineStr">
        <is>
          <t>ENKÖPING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29664-2025</t>
        </is>
      </c>
      <c r="B7358" s="1" t="n">
        <v>45825</v>
      </c>
      <c r="C7358" s="1" t="n">
        <v>45832</v>
      </c>
      <c r="D7358" t="inlineStr">
        <is>
          <t>UPPSALA LÄN</t>
        </is>
      </c>
      <c r="E7358" t="inlineStr">
        <is>
          <t>UPPSALA</t>
        </is>
      </c>
      <c r="F7358" t="inlineStr">
        <is>
          <t>Holmen skog AB</t>
        </is>
      </c>
      <c r="G7358" t="n">
        <v>16.8</v>
      </c>
      <c r="H7358" t="n">
        <v>0</v>
      </c>
      <c r="I7358" t="n">
        <v>0</v>
      </c>
      <c r="J7358" t="n">
        <v>0</v>
      </c>
      <c r="K7358" t="n">
        <v>0</v>
      </c>
      <c r="L7358" t="n">
        <v>0</v>
      </c>
      <c r="M7358" t="n">
        <v>0</v>
      </c>
      <c r="N7358" t="n">
        <v>0</v>
      </c>
      <c r="O7358" t="n">
        <v>0</v>
      </c>
      <c r="P7358" t="n">
        <v>0</v>
      </c>
      <c r="Q7358" t="n">
        <v>0</v>
      </c>
      <c r="R7358" s="2" t="inlineStr"/>
    </row>
    <row r="7359" ht="15" customHeight="1">
      <c r="A7359" t="inlineStr">
        <is>
          <t>A 29730-2025</t>
        </is>
      </c>
      <c r="B7359" s="1" t="n">
        <v>45825</v>
      </c>
      <c r="C7359" s="1" t="n">
        <v>45832</v>
      </c>
      <c r="D7359" t="inlineStr">
        <is>
          <t>UPPSALA LÄN</t>
        </is>
      </c>
      <c r="E7359" t="inlineStr">
        <is>
          <t>HEBY</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29671-2025</t>
        </is>
      </c>
      <c r="B7360" s="1" t="n">
        <v>45825</v>
      </c>
      <c r="C7360" s="1" t="n">
        <v>45832</v>
      </c>
      <c r="D7360" t="inlineStr">
        <is>
          <t>UPPSALA LÄN</t>
        </is>
      </c>
      <c r="E7360" t="inlineStr">
        <is>
          <t>HEBY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45832</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29739-2025</t>
        </is>
      </c>
      <c r="B7362" s="1" t="n">
        <v>45825</v>
      </c>
      <c r="C7362" s="1" t="n">
        <v>45832</v>
      </c>
      <c r="D7362" t="inlineStr">
        <is>
          <t>UPPSALA LÄN</t>
        </is>
      </c>
      <c r="E7362" t="inlineStr">
        <is>
          <t>HEBY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29627-2025</t>
        </is>
      </c>
      <c r="B7363" s="1" t="n">
        <v>45825</v>
      </c>
      <c r="C7363" s="1" t="n">
        <v>45832</v>
      </c>
      <c r="D7363" t="inlineStr">
        <is>
          <t>UPPSALA LÄN</t>
        </is>
      </c>
      <c r="E7363" t="inlineStr">
        <is>
          <t>UPPSALA</t>
        </is>
      </c>
      <c r="F7363" t="inlineStr">
        <is>
          <t>Kommuner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29570-2025</t>
        </is>
      </c>
      <c r="B7364" s="1" t="n">
        <v>45825</v>
      </c>
      <c r="C7364" s="1" t="n">
        <v>45832</v>
      </c>
      <c r="D7364" t="inlineStr">
        <is>
          <t>UPPSALA LÄN</t>
        </is>
      </c>
      <c r="E7364" t="inlineStr">
        <is>
          <t>HEBY</t>
        </is>
      </c>
      <c r="F7364" t="inlineStr">
        <is>
          <t>Bergvik skog väst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45832</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45832</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30418-2025</t>
        </is>
      </c>
      <c r="B7367" s="1" t="n">
        <v>45827</v>
      </c>
      <c r="C7367" s="1" t="n">
        <v>45832</v>
      </c>
      <c r="D7367" t="inlineStr">
        <is>
          <t>UPPSALA LÄN</t>
        </is>
      </c>
      <c r="E7367" t="inlineStr">
        <is>
          <t>HEBY</t>
        </is>
      </c>
      <c r="F7367" t="inlineStr">
        <is>
          <t>Övriga Aktiebolag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30244-2025</t>
        </is>
      </c>
      <c r="B7368" s="1" t="n">
        <v>45827</v>
      </c>
      <c r="C7368" s="1" t="n">
        <v>45832</v>
      </c>
      <c r="D7368" t="inlineStr">
        <is>
          <t>UPPSALA LÄN</t>
        </is>
      </c>
      <c r="E7368" t="inlineStr">
        <is>
          <t>ÖSTHAMMAR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30437-2025</t>
        </is>
      </c>
      <c r="B7369" s="1" t="n">
        <v>45827</v>
      </c>
      <c r="C7369" s="1" t="n">
        <v>45832</v>
      </c>
      <c r="D7369" t="inlineStr">
        <is>
          <t>UPPSALA LÄN</t>
        </is>
      </c>
      <c r="E7369" t="inlineStr">
        <is>
          <t>UPPSALA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30243-2025</t>
        </is>
      </c>
      <c r="B7370" s="1" t="n">
        <v>45827</v>
      </c>
      <c r="C7370" s="1" t="n">
        <v>45832</v>
      </c>
      <c r="D7370" t="inlineStr">
        <is>
          <t>UPPSALA LÄN</t>
        </is>
      </c>
      <c r="E7370" t="inlineStr">
        <is>
          <t>ÖSTHAMMAR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30282-2025</t>
        </is>
      </c>
      <c r="B7371" s="1" t="n">
        <v>45827</v>
      </c>
      <c r="C7371" s="1" t="n">
        <v>45832</v>
      </c>
      <c r="D7371" t="inlineStr">
        <is>
          <t>UPPSALA LÄN</t>
        </is>
      </c>
      <c r="E7371" t="inlineStr">
        <is>
          <t>UPPSALA</t>
        </is>
      </c>
      <c r="F7371" t="inlineStr">
        <is>
          <t>Holmen skog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30440-2025</t>
        </is>
      </c>
      <c r="B7372" s="1" t="n">
        <v>45827</v>
      </c>
      <c r="C7372" s="1" t="n">
        <v>45832</v>
      </c>
      <c r="D7372" t="inlineStr">
        <is>
          <t>UPPSALA LÄN</t>
        </is>
      </c>
      <c r="E7372" t="inlineStr">
        <is>
          <t>HEBY</t>
        </is>
      </c>
      <c r="F7372" t="inlineStr">
        <is>
          <t>Övriga Aktiebolag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45832</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45832</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45832</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45832</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30583-2025</t>
        </is>
      </c>
      <c r="B7377" s="1" t="n">
        <v>45831</v>
      </c>
      <c r="C7377" s="1" t="n">
        <v>45832</v>
      </c>
      <c r="D7377" t="inlineStr">
        <is>
          <t>UPPSALA LÄN</t>
        </is>
      </c>
      <c r="E7377" t="inlineStr">
        <is>
          <t>UPPSALA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30585-2025</t>
        </is>
      </c>
      <c r="B7378" s="1" t="n">
        <v>45831</v>
      </c>
      <c r="C7378" s="1" t="n">
        <v>45832</v>
      </c>
      <c r="D7378" t="inlineStr">
        <is>
          <t>UPPSALA LÄN</t>
        </is>
      </c>
      <c r="E7378" t="inlineStr">
        <is>
          <t>UPPSALA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30610-2025</t>
        </is>
      </c>
      <c r="B7379" s="1" t="n">
        <v>45831</v>
      </c>
      <c r="C7379" s="1" t="n">
        <v>45832</v>
      </c>
      <c r="D7379" t="inlineStr">
        <is>
          <t>UPPSALA LÄN</t>
        </is>
      </c>
      <c r="E7379" t="inlineStr">
        <is>
          <t>ÖSTHAMMAR</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30837-2025</t>
        </is>
      </c>
      <c r="B7380" s="1" t="n">
        <v>45831</v>
      </c>
      <c r="C7380" s="1" t="n">
        <v>45832</v>
      </c>
      <c r="D7380" t="inlineStr">
        <is>
          <t>UPPSALA LÄN</t>
        </is>
      </c>
      <c r="E7380" t="inlineStr">
        <is>
          <t>ENKÖPING</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45832</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45832</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30839-2025</t>
        </is>
      </c>
      <c r="B7383" s="1" t="n">
        <v>45831</v>
      </c>
      <c r="C7383" s="1" t="n">
        <v>45832</v>
      </c>
      <c r="D7383" t="inlineStr">
        <is>
          <t>UPPSALA LÄN</t>
        </is>
      </c>
      <c r="E7383" t="inlineStr">
        <is>
          <t>UPPSALA</t>
        </is>
      </c>
      <c r="F7383" t="inlineStr">
        <is>
          <t>Kyrkan</t>
        </is>
      </c>
      <c r="G7383" t="n">
        <v>2.2</v>
      </c>
      <c r="H7383" t="n">
        <v>0</v>
      </c>
      <c r="I7383" t="n">
        <v>0</v>
      </c>
      <c r="J7383" t="n">
        <v>0</v>
      </c>
      <c r="K7383" t="n">
        <v>0</v>
      </c>
      <c r="L7383" t="n">
        <v>0</v>
      </c>
      <c r="M7383" t="n">
        <v>0</v>
      </c>
      <c r="N7383" t="n">
        <v>0</v>
      </c>
      <c r="O7383" t="n">
        <v>0</v>
      </c>
      <c r="P7383" t="n">
        <v>0</v>
      </c>
      <c r="Q7383" t="n">
        <v>0</v>
      </c>
      <c r="R7383" s="2" t="inlineStr"/>
    </row>
    <row r="7384">
      <c r="A7384" t="inlineStr">
        <is>
          <t>A 30567-2025</t>
        </is>
      </c>
      <c r="B7384" s="1" t="n">
        <v>45831</v>
      </c>
      <c r="C7384" s="1" t="n">
        <v>45832</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2025-06-24T20:00:45Z</dcterms:created>
  <dcterms:modified xmlns:dcterms="http://purl.org/dc/terms/" xmlns:xsi="http://www.w3.org/2001/XMLSchema-instance" xsi:type="dcterms:W3CDTF">2025-06-24T20:00:52Z</dcterms:modified>
</cp:coreProperties>
</file>