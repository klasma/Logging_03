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45351</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45351</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45351</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45351</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45351</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45351</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45351</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45351</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45351</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45351</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45351</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45351</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45351</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45351</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45351</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45351</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45351</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45351</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45351</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45351</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45351</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45351</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45351</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45351</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45351</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45351</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45351</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45351</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45351</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45351</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45351</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45351</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45351</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45351</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45351</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45351</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45351</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45351</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45351</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45351</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45351</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45351</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45351</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45351</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45351</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45351</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45351</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45351</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45351</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45351</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45351</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45351</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45351</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45351</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45351</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45351</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45351</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45351</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45351</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45351</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45351</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45351</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45351</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45351</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45351</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45351</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45351</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45351</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45351</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45351</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45351</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45351</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45351</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45351</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45351</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45351</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45351</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45351</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45351</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45351</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45351</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45351</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45351</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45351</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45351</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45351</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45351</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45351</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45351</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45351</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45351</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45351</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45351</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45351</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45351</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45351</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45351</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45351</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45351</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45351</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45351</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45351</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45351</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45351</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45351</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45351</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45351</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45351</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45351</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45351</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45351</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45351</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45351</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45351</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45351</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45351</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45351</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45351</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45351</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45351</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45351</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45351</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45351</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45351</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45351</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45351</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45351</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45351</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45351</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45351</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45351</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45351</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45351</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45351</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45351</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45351</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45351</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45351</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45351</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45351</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45351</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45351</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45351</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45351</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45351</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45351</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45351</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45351</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45351</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45351</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45351</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45351</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45351</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45351</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45351</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45351</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45351</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45351</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45351</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45351</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45351</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45351</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45351</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45351</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45351</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45351</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45351</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45351</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45351</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45351</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45351</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45351</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45351</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45351</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45351</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45351</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45351</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45351</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45351</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45351</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45351</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45351</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45351</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45351</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45351</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45351</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45351</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45351</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45351</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45351</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45351</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45351</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45351</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45351</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45351</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45351</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45351</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45351</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45351</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45351</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45351</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45351</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45351</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45351</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45351</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45351</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45351</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45351</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45351</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45351</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45351</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45351</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45351</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45351</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45351</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45351</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45351</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45351</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45351</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45351</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45351</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45351</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45351</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45351</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45351</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45351</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45351</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45351</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45351</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45351</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45351</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45351</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45351</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45351</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45351</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45351</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45351</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45351</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45351</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45351</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45351</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45351</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45351</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45351</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45351</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45351</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45351</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45351</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45351</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45351</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45351</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45351</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45351</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45351</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45351</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45351</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45351</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45351</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45351</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45351</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45351</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45351</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45351</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45351</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45351</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45351</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45351</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45351</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45351</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45351</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45351</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45351</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45351</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45351</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45351</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45351</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45351</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45351</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45351</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45351</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45351</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45351</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45351</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45351</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45351</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45351</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45351</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45351</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45351</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45351</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45351</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45351</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45351</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45351</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45351</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45351</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45351</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45351</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45351</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45351</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45351</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45351</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45351</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45351</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45351</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45351</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45351</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45351</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45351</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45351</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45351</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45351</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45351</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45351</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45351</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45351</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45351</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45351</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45351</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45351</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45351</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45351</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45351</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45351</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45351</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45351</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45351</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45351</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45351</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45351</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45351</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45351</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45351</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45351</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45351</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45351</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45351</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45351</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45351</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45351</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45351</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45351</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45351</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45351</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45351</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45351</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45351</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45351</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45351</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45351</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45351</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45351</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45351</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45351</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45351</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45351</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45351</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45351</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45351</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45351</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45351</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45351</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45351</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45351</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45351</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45714-2020</t>
        </is>
      </c>
      <c r="B370" s="1" t="n">
        <v>44090</v>
      </c>
      <c r="C370" s="1" t="n">
        <v>45351</v>
      </c>
      <c r="D370" t="inlineStr">
        <is>
          <t>UPPSALA LÄN</t>
        </is>
      </c>
      <c r="E370" t="inlineStr">
        <is>
          <t>ÖSTHAMMAR</t>
        </is>
      </c>
      <c r="F370" t="inlineStr">
        <is>
          <t>Övriga Aktiebolag</t>
        </is>
      </c>
      <c r="G370" t="n">
        <v>10.8</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45714-2020 artfynd.xlsx", "A 45714-2020")</f>
        <v/>
      </c>
      <c r="T370">
        <f>HYPERLINK("https://klasma.github.io/Logging_0382/kartor/A 45714-2020 karta.png", "A 45714-2020")</f>
        <v/>
      </c>
      <c r="V370">
        <f>HYPERLINK("https://klasma.github.io/Logging_0382/klagomål/A 45714-2020 FSC-klagomål.docx", "A 45714-2020")</f>
        <v/>
      </c>
      <c r="W370">
        <f>HYPERLINK("https://klasma.github.io/Logging_0382/klagomålsmail/A 45714-2020 FSC-klagomål mail.docx", "A 45714-2020")</f>
        <v/>
      </c>
      <c r="X370">
        <f>HYPERLINK("https://klasma.github.io/Logging_0382/tillsyn/A 45714-2020 tillsynsbegäran.docx", "A 45714-2020")</f>
        <v/>
      </c>
      <c r="Y370">
        <f>HYPERLINK("https://klasma.github.io/Logging_0382/tillsynsmail/A 45714-2020 tillsynsbegäran mail.docx", "A 45714-2020")</f>
        <v/>
      </c>
    </row>
    <row r="371" ht="15" customHeight="1">
      <c r="A371" t="inlineStr">
        <is>
          <t>A 46185-2020</t>
        </is>
      </c>
      <c r="B371" s="1" t="n">
        <v>44092</v>
      </c>
      <c r="C371" s="1" t="n">
        <v>45351</v>
      </c>
      <c r="D371" t="inlineStr">
        <is>
          <t>UPPSALA LÄN</t>
        </is>
      </c>
      <c r="E371" t="inlineStr">
        <is>
          <t>ENKÖPING</t>
        </is>
      </c>
      <c r="G371" t="n">
        <v>1.7</v>
      </c>
      <c r="H371" t="n">
        <v>0</v>
      </c>
      <c r="I371" t="n">
        <v>1</v>
      </c>
      <c r="J371" t="n">
        <v>0</v>
      </c>
      <c r="K371" t="n">
        <v>0</v>
      </c>
      <c r="L371" t="n">
        <v>0</v>
      </c>
      <c r="M371" t="n">
        <v>0</v>
      </c>
      <c r="N371" t="n">
        <v>0</v>
      </c>
      <c r="O371" t="n">
        <v>0</v>
      </c>
      <c r="P371" t="n">
        <v>0</v>
      </c>
      <c r="Q371" t="n">
        <v>1</v>
      </c>
      <c r="R371" s="2" t="inlineStr">
        <is>
          <t>Vedticka</t>
        </is>
      </c>
      <c r="S371">
        <f>HYPERLINK("https://klasma.github.io/Logging_0381/artfynd/A 46185-2020 artfynd.xlsx", "A 46185-2020")</f>
        <v/>
      </c>
      <c r="T371">
        <f>HYPERLINK("https://klasma.github.io/Logging_0381/kartor/A 46185-2020 karta.png", "A 46185-2020")</f>
        <v/>
      </c>
      <c r="V371">
        <f>HYPERLINK("https://klasma.github.io/Logging_0381/klagomål/A 46185-2020 FSC-klagomål.docx", "A 46185-2020")</f>
        <v/>
      </c>
      <c r="W371">
        <f>HYPERLINK("https://klasma.github.io/Logging_0381/klagomålsmail/A 46185-2020 FSC-klagomål mail.docx", "A 46185-2020")</f>
        <v/>
      </c>
      <c r="X371">
        <f>HYPERLINK("https://klasma.github.io/Logging_0381/tillsyn/A 46185-2020 tillsynsbegäran.docx", "A 46185-2020")</f>
        <v/>
      </c>
      <c r="Y371">
        <f>HYPERLINK("https://klasma.github.io/Logging_0381/tillsynsmail/A 46185-2020 tillsynsbegäran mail.docx", "A 46185-2020")</f>
        <v/>
      </c>
    </row>
    <row r="372" ht="15" customHeight="1">
      <c r="A372" t="inlineStr">
        <is>
          <t>A 61479-2020</t>
        </is>
      </c>
      <c r="B372" s="1" t="n">
        <v>44154</v>
      </c>
      <c r="C372" s="1" t="n">
        <v>45351</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62718-2020</t>
        </is>
      </c>
      <c r="B373" s="1" t="n">
        <v>44161</v>
      </c>
      <c r="C373" s="1" t="n">
        <v>45351</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66277-2020</t>
        </is>
      </c>
      <c r="B374" s="1" t="n">
        <v>44176</v>
      </c>
      <c r="C374" s="1" t="n">
        <v>45351</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2474-2021</t>
        </is>
      </c>
      <c r="B375" s="1" t="n">
        <v>44214</v>
      </c>
      <c r="C375" s="1" t="n">
        <v>45351</v>
      </c>
      <c r="D375" t="inlineStr">
        <is>
          <t>UPPSALA LÄN</t>
        </is>
      </c>
      <c r="E375" t="inlineStr">
        <is>
          <t>HÅBO</t>
        </is>
      </c>
      <c r="G375" t="n">
        <v>3.4</v>
      </c>
      <c r="H375" t="n">
        <v>0</v>
      </c>
      <c r="I375" t="n">
        <v>0</v>
      </c>
      <c r="J375" t="n">
        <v>1</v>
      </c>
      <c r="K375" t="n">
        <v>0</v>
      </c>
      <c r="L375" t="n">
        <v>0</v>
      </c>
      <c r="M375" t="n">
        <v>0</v>
      </c>
      <c r="N375" t="n">
        <v>0</v>
      </c>
      <c r="O375" t="n">
        <v>1</v>
      </c>
      <c r="P375" t="n">
        <v>0</v>
      </c>
      <c r="Q375" t="n">
        <v>1</v>
      </c>
      <c r="R375" s="2" t="inlineStr">
        <is>
          <t>Fyrflikig jordstjärna</t>
        </is>
      </c>
      <c r="S375">
        <f>HYPERLINK("https://klasma.github.io/Logging_0305/artfynd/A 2474-2021 artfynd.xlsx", "A 2474-2021")</f>
        <v/>
      </c>
      <c r="T375">
        <f>HYPERLINK("https://klasma.github.io/Logging_0305/kartor/A 2474-2021 karta.png", "A 2474-2021")</f>
        <v/>
      </c>
      <c r="V375">
        <f>HYPERLINK("https://klasma.github.io/Logging_0305/klagomål/A 2474-2021 FSC-klagomål.docx", "A 2474-2021")</f>
        <v/>
      </c>
      <c r="W375">
        <f>HYPERLINK("https://klasma.github.io/Logging_0305/klagomålsmail/A 2474-2021 FSC-klagomål mail.docx", "A 2474-2021")</f>
        <v/>
      </c>
      <c r="X375">
        <f>HYPERLINK("https://klasma.github.io/Logging_0305/tillsyn/A 2474-2021 tillsynsbegäran.docx", "A 2474-2021")</f>
        <v/>
      </c>
      <c r="Y375">
        <f>HYPERLINK("https://klasma.github.io/Logging_0305/tillsynsmail/A 2474-2021 tillsynsbegäran mail.docx", "A 2474-2021")</f>
        <v/>
      </c>
    </row>
    <row r="376" ht="15" customHeight="1">
      <c r="A376" t="inlineStr">
        <is>
          <t>A 3444-2021</t>
        </is>
      </c>
      <c r="B376" s="1" t="n">
        <v>44218</v>
      </c>
      <c r="C376" s="1" t="n">
        <v>45351</v>
      </c>
      <c r="D376" t="inlineStr">
        <is>
          <t>UPPSALA LÄN</t>
        </is>
      </c>
      <c r="E376" t="inlineStr">
        <is>
          <t>TIERP</t>
        </is>
      </c>
      <c r="G376" t="n">
        <v>5.6</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3444-2021 artfynd.xlsx", "A 3444-2021")</f>
        <v/>
      </c>
      <c r="T376">
        <f>HYPERLINK("https://klasma.github.io/Logging_0360/kartor/A 3444-2021 karta.png", "A 3444-2021")</f>
        <v/>
      </c>
      <c r="V376">
        <f>HYPERLINK("https://klasma.github.io/Logging_0360/klagomål/A 3444-2021 FSC-klagomål.docx", "A 3444-2021")</f>
        <v/>
      </c>
      <c r="W376">
        <f>HYPERLINK("https://klasma.github.io/Logging_0360/klagomålsmail/A 3444-2021 FSC-klagomål mail.docx", "A 3444-2021")</f>
        <v/>
      </c>
      <c r="X376">
        <f>HYPERLINK("https://klasma.github.io/Logging_0360/tillsyn/A 3444-2021 tillsynsbegäran.docx", "A 3444-2021")</f>
        <v/>
      </c>
      <c r="Y376">
        <f>HYPERLINK("https://klasma.github.io/Logging_0360/tillsynsmail/A 3444-2021 tillsynsbegäran mail.docx", "A 3444-2021")</f>
        <v/>
      </c>
    </row>
    <row r="377" ht="15" customHeight="1">
      <c r="A377" t="inlineStr">
        <is>
          <t>A 5714-2021</t>
        </is>
      </c>
      <c r="B377" s="1" t="n">
        <v>44230</v>
      </c>
      <c r="C377" s="1" t="n">
        <v>45351</v>
      </c>
      <c r="D377" t="inlineStr">
        <is>
          <t>UPPSALA LÄN</t>
        </is>
      </c>
      <c r="E377" t="inlineStr">
        <is>
          <t>HÅBO</t>
        </is>
      </c>
      <c r="F377" t="inlineStr">
        <is>
          <t>Kommuner</t>
        </is>
      </c>
      <c r="G377" t="n">
        <v>2.2</v>
      </c>
      <c r="H377" t="n">
        <v>1</v>
      </c>
      <c r="I377" t="n">
        <v>1</v>
      </c>
      <c r="J377" t="n">
        <v>0</v>
      </c>
      <c r="K377" t="n">
        <v>0</v>
      </c>
      <c r="L377" t="n">
        <v>0</v>
      </c>
      <c r="M377" t="n">
        <v>0</v>
      </c>
      <c r="N377" t="n">
        <v>0</v>
      </c>
      <c r="O377" t="n">
        <v>0</v>
      </c>
      <c r="P377" t="n">
        <v>0</v>
      </c>
      <c r="Q377" t="n">
        <v>1</v>
      </c>
      <c r="R377" s="2" t="inlineStr">
        <is>
          <t>Nästrot</t>
        </is>
      </c>
      <c r="S377">
        <f>HYPERLINK("https://klasma.github.io/Logging_0305/artfynd/A 5714-2021 artfynd.xlsx", "A 5714-2021")</f>
        <v/>
      </c>
      <c r="T377">
        <f>HYPERLINK("https://klasma.github.io/Logging_0305/kartor/A 5714-2021 karta.png", "A 5714-2021")</f>
        <v/>
      </c>
      <c r="V377">
        <f>HYPERLINK("https://klasma.github.io/Logging_0305/klagomål/A 5714-2021 FSC-klagomål.docx", "A 5714-2021")</f>
        <v/>
      </c>
      <c r="W377">
        <f>HYPERLINK("https://klasma.github.io/Logging_0305/klagomålsmail/A 5714-2021 FSC-klagomål mail.docx", "A 5714-2021")</f>
        <v/>
      </c>
      <c r="X377">
        <f>HYPERLINK("https://klasma.github.io/Logging_0305/tillsyn/A 5714-2021 tillsynsbegäran.docx", "A 5714-2021")</f>
        <v/>
      </c>
      <c r="Y377">
        <f>HYPERLINK("https://klasma.github.io/Logging_0305/tillsynsmail/A 5714-2021 tillsynsbegäran mail.docx", "A 5714-2021")</f>
        <v/>
      </c>
    </row>
    <row r="378" ht="15" customHeight="1">
      <c r="A378" t="inlineStr">
        <is>
          <t>A 7946-2021</t>
        </is>
      </c>
      <c r="B378" s="1" t="n">
        <v>44242</v>
      </c>
      <c r="C378" s="1" t="n">
        <v>45351</v>
      </c>
      <c r="D378" t="inlineStr">
        <is>
          <t>UPPSALA LÄN</t>
        </is>
      </c>
      <c r="E378" t="inlineStr">
        <is>
          <t>HÅBO</t>
        </is>
      </c>
      <c r="G378" t="n">
        <v>6.7</v>
      </c>
      <c r="H378" t="n">
        <v>1</v>
      </c>
      <c r="I378" t="n">
        <v>0</v>
      </c>
      <c r="J378" t="n">
        <v>0</v>
      </c>
      <c r="K378" t="n">
        <v>0</v>
      </c>
      <c r="L378" t="n">
        <v>0</v>
      </c>
      <c r="M378" t="n">
        <v>0</v>
      </c>
      <c r="N378" t="n">
        <v>0</v>
      </c>
      <c r="O378" t="n">
        <v>0</v>
      </c>
      <c r="P378" t="n">
        <v>0</v>
      </c>
      <c r="Q378" t="n">
        <v>1</v>
      </c>
      <c r="R378" s="2" t="inlineStr">
        <is>
          <t>Kopparödla</t>
        </is>
      </c>
      <c r="S378">
        <f>HYPERLINK("https://klasma.github.io/Logging_0305/artfynd/A 7946-2021 artfynd.xlsx", "A 7946-2021")</f>
        <v/>
      </c>
      <c r="T378">
        <f>HYPERLINK("https://klasma.github.io/Logging_0305/kartor/A 7946-2021 karta.png", "A 7946-2021")</f>
        <v/>
      </c>
      <c r="V378">
        <f>HYPERLINK("https://klasma.github.io/Logging_0305/klagomål/A 7946-2021 FSC-klagomål.docx", "A 7946-2021")</f>
        <v/>
      </c>
      <c r="W378">
        <f>HYPERLINK("https://klasma.github.io/Logging_0305/klagomålsmail/A 7946-2021 FSC-klagomål mail.docx", "A 7946-2021")</f>
        <v/>
      </c>
      <c r="X378">
        <f>HYPERLINK("https://klasma.github.io/Logging_0305/tillsyn/A 7946-2021 tillsynsbegäran.docx", "A 7946-2021")</f>
        <v/>
      </c>
      <c r="Y378">
        <f>HYPERLINK("https://klasma.github.io/Logging_0305/tillsynsmail/A 7946-2021 tillsynsbegäran mail.docx", "A 7946-2021")</f>
        <v/>
      </c>
    </row>
    <row r="379" ht="15" customHeight="1">
      <c r="A379" t="inlineStr">
        <is>
          <t>A 12255-2021</t>
        </is>
      </c>
      <c r="B379" s="1" t="n">
        <v>44266</v>
      </c>
      <c r="C379" s="1" t="n">
        <v>45351</v>
      </c>
      <c r="D379" t="inlineStr">
        <is>
          <t>UPPSALA LÄN</t>
        </is>
      </c>
      <c r="E379" t="inlineStr">
        <is>
          <t>UPPSALA</t>
        </is>
      </c>
      <c r="F379" t="inlineStr">
        <is>
          <t>Bergvik skog öst AB</t>
        </is>
      </c>
      <c r="G379" t="n">
        <v>19.1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HYPERLINK("https://klasma.github.io/Logging_0380/artfynd/A 12255-2021 artfynd.xlsx", "A 12255-2021")</f>
        <v/>
      </c>
      <c r="T379">
        <f>HYPERLINK("https://klasma.github.io/Logging_0380/kartor/A 12255-2021 karta.png", "A 12255-2021")</f>
        <v/>
      </c>
      <c r="V379">
        <f>HYPERLINK("https://klasma.github.io/Logging_0380/klagomål/A 12255-2021 FSC-klagomål.docx", "A 12255-2021")</f>
        <v/>
      </c>
      <c r="W379">
        <f>HYPERLINK("https://klasma.github.io/Logging_0380/klagomålsmail/A 12255-2021 FSC-klagomål mail.docx", "A 12255-2021")</f>
        <v/>
      </c>
      <c r="X379">
        <f>HYPERLINK("https://klasma.github.io/Logging_0380/tillsyn/A 12255-2021 tillsynsbegäran.docx", "A 12255-2021")</f>
        <v/>
      </c>
      <c r="Y379">
        <f>HYPERLINK("https://klasma.github.io/Logging_0380/tillsynsmail/A 12255-2021 tillsynsbegäran mail.docx", "A 12255-2021")</f>
        <v/>
      </c>
    </row>
    <row r="380" ht="15" customHeight="1">
      <c r="A380" t="inlineStr">
        <is>
          <t>A 16973-2021</t>
        </is>
      </c>
      <c r="B380" s="1" t="n">
        <v>44295</v>
      </c>
      <c r="C380" s="1" t="n">
        <v>45351</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23385-2021</t>
        </is>
      </c>
      <c r="B381" s="1" t="n">
        <v>44333</v>
      </c>
      <c r="C381" s="1" t="n">
        <v>45351</v>
      </c>
      <c r="D381" t="inlineStr">
        <is>
          <t>UPPSALA LÄN</t>
        </is>
      </c>
      <c r="E381" t="inlineStr">
        <is>
          <t>ENKÖPING</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HYPERLINK("https://klasma.github.io/Logging_0381/artfynd/A 23385-2021 artfynd.xlsx", "A 23385-2021")</f>
        <v/>
      </c>
      <c r="T381">
        <f>HYPERLINK("https://klasma.github.io/Logging_0381/kartor/A 23385-2021 karta.png", "A 23385-2021")</f>
        <v/>
      </c>
      <c r="V381">
        <f>HYPERLINK("https://klasma.github.io/Logging_0381/klagomål/A 23385-2021 FSC-klagomål.docx", "A 23385-2021")</f>
        <v/>
      </c>
      <c r="W381">
        <f>HYPERLINK("https://klasma.github.io/Logging_0381/klagomålsmail/A 23385-2021 FSC-klagomål mail.docx", "A 23385-2021")</f>
        <v/>
      </c>
      <c r="X381">
        <f>HYPERLINK("https://klasma.github.io/Logging_0381/tillsyn/A 23385-2021 tillsynsbegäran.docx", "A 23385-2021")</f>
        <v/>
      </c>
      <c r="Y381">
        <f>HYPERLINK("https://klasma.github.io/Logging_0381/tillsynsmail/A 23385-2021 tillsynsbegäran mail.docx", "A 23385-2021")</f>
        <v/>
      </c>
      <c r="Z381">
        <f>HYPERLINK("https://klasma.github.io/Logging_0381/fåglar/A 23385-2021 prioriterade fågelarter.docx", "A 23385-2021")</f>
        <v/>
      </c>
    </row>
    <row r="382" ht="15" customHeight="1">
      <c r="A382" t="inlineStr">
        <is>
          <t>A 31622-2021</t>
        </is>
      </c>
      <c r="B382" s="1" t="n">
        <v>44369</v>
      </c>
      <c r="C382" s="1" t="n">
        <v>45351</v>
      </c>
      <c r="D382" t="inlineStr">
        <is>
          <t>UPPSALA LÄN</t>
        </is>
      </c>
      <c r="E382" t="inlineStr">
        <is>
          <t>ÖSTHAMMAR</t>
        </is>
      </c>
      <c r="G382" t="n">
        <v>12.6</v>
      </c>
      <c r="H382" t="n">
        <v>1</v>
      </c>
      <c r="I382" t="n">
        <v>0</v>
      </c>
      <c r="J382" t="n">
        <v>0</v>
      </c>
      <c r="K382" t="n">
        <v>0</v>
      </c>
      <c r="L382" t="n">
        <v>0</v>
      </c>
      <c r="M382" t="n">
        <v>0</v>
      </c>
      <c r="N382" t="n">
        <v>0</v>
      </c>
      <c r="O382" t="n">
        <v>0</v>
      </c>
      <c r="P382" t="n">
        <v>0</v>
      </c>
      <c r="Q382" t="n">
        <v>1</v>
      </c>
      <c r="R382" s="2" t="inlineStr">
        <is>
          <t>Mattlummer</t>
        </is>
      </c>
      <c r="S382">
        <f>HYPERLINK("https://klasma.github.io/Logging_0382/artfynd/A 31622-2021 artfynd.xlsx", "A 31622-2021")</f>
        <v/>
      </c>
      <c r="T382">
        <f>HYPERLINK("https://klasma.github.io/Logging_0382/kartor/A 31622-2021 karta.png", "A 31622-2021")</f>
        <v/>
      </c>
      <c r="V382">
        <f>HYPERLINK("https://klasma.github.io/Logging_0382/klagomål/A 31622-2021 FSC-klagomål.docx", "A 31622-2021")</f>
        <v/>
      </c>
      <c r="W382">
        <f>HYPERLINK("https://klasma.github.io/Logging_0382/klagomålsmail/A 31622-2021 FSC-klagomål mail.docx", "A 31622-2021")</f>
        <v/>
      </c>
      <c r="X382">
        <f>HYPERLINK("https://klasma.github.io/Logging_0382/tillsyn/A 31622-2021 tillsynsbegäran.docx", "A 31622-2021")</f>
        <v/>
      </c>
      <c r="Y382">
        <f>HYPERLINK("https://klasma.github.io/Logging_0382/tillsynsmail/A 31622-2021 tillsynsbegäran mail.docx", "A 31622-2021")</f>
        <v/>
      </c>
    </row>
    <row r="383" ht="15" customHeight="1">
      <c r="A383" t="inlineStr">
        <is>
          <t>A 33150-2021</t>
        </is>
      </c>
      <c r="B383" s="1" t="n">
        <v>44376</v>
      </c>
      <c r="C383" s="1" t="n">
        <v>45351</v>
      </c>
      <c r="D383" t="inlineStr">
        <is>
          <t>UPPSALA LÄN</t>
        </is>
      </c>
      <c r="E383" t="inlineStr">
        <is>
          <t>HEBY</t>
        </is>
      </c>
      <c r="G383" t="n">
        <v>8.6</v>
      </c>
      <c r="H383" t="n">
        <v>0</v>
      </c>
      <c r="I383" t="n">
        <v>1</v>
      </c>
      <c r="J383" t="n">
        <v>0</v>
      </c>
      <c r="K383" t="n">
        <v>0</v>
      </c>
      <c r="L383" t="n">
        <v>0</v>
      </c>
      <c r="M383" t="n">
        <v>0</v>
      </c>
      <c r="N383" t="n">
        <v>0</v>
      </c>
      <c r="O383" t="n">
        <v>0</v>
      </c>
      <c r="P383" t="n">
        <v>0</v>
      </c>
      <c r="Q383" t="n">
        <v>1</v>
      </c>
      <c r="R383" s="2" t="inlineStr">
        <is>
          <t>Rostfläck</t>
        </is>
      </c>
      <c r="S383">
        <f>HYPERLINK("https://klasma.github.io/Logging_0331/artfynd/A 33150-2021 artfynd.xlsx", "A 33150-2021")</f>
        <v/>
      </c>
      <c r="T383">
        <f>HYPERLINK("https://klasma.github.io/Logging_0331/kartor/A 33150-2021 karta.png", "A 33150-2021")</f>
        <v/>
      </c>
      <c r="V383">
        <f>HYPERLINK("https://klasma.github.io/Logging_0331/klagomål/A 33150-2021 FSC-klagomål.docx", "A 33150-2021")</f>
        <v/>
      </c>
      <c r="W383">
        <f>HYPERLINK("https://klasma.github.io/Logging_0331/klagomålsmail/A 33150-2021 FSC-klagomål mail.docx", "A 33150-2021")</f>
        <v/>
      </c>
      <c r="X383">
        <f>HYPERLINK("https://klasma.github.io/Logging_0331/tillsyn/A 33150-2021 tillsynsbegäran.docx", "A 33150-2021")</f>
        <v/>
      </c>
      <c r="Y383">
        <f>HYPERLINK("https://klasma.github.io/Logging_0331/tillsynsmail/A 33150-2021 tillsynsbegäran mail.docx", "A 33150-2021")</f>
        <v/>
      </c>
    </row>
    <row r="384" ht="15" customHeight="1">
      <c r="A384" t="inlineStr">
        <is>
          <t>A 37076-2021</t>
        </is>
      </c>
      <c r="B384" s="1" t="n">
        <v>44395</v>
      </c>
      <c r="C384" s="1" t="n">
        <v>45351</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46417-2021</t>
        </is>
      </c>
      <c r="B385" s="1" t="n">
        <v>44445</v>
      </c>
      <c r="C385" s="1" t="n">
        <v>45351</v>
      </c>
      <c r="D385" t="inlineStr">
        <is>
          <t>UPPSALA LÄN</t>
        </is>
      </c>
      <c r="E385" t="inlineStr">
        <is>
          <t>ÖSTHAMMAR</t>
        </is>
      </c>
      <c r="F385" t="inlineStr">
        <is>
          <t>Övriga Aktiebolag</t>
        </is>
      </c>
      <c r="G385" t="n">
        <v>9.1</v>
      </c>
      <c r="H385" t="n">
        <v>0</v>
      </c>
      <c r="I385" t="n">
        <v>0</v>
      </c>
      <c r="J385" t="n">
        <v>1</v>
      </c>
      <c r="K385" t="n">
        <v>0</v>
      </c>
      <c r="L385" t="n">
        <v>0</v>
      </c>
      <c r="M385" t="n">
        <v>0</v>
      </c>
      <c r="N385" t="n">
        <v>0</v>
      </c>
      <c r="O385" t="n">
        <v>1</v>
      </c>
      <c r="P385" t="n">
        <v>0</v>
      </c>
      <c r="Q385" t="n">
        <v>1</v>
      </c>
      <c r="R385" s="2" t="inlineStr">
        <is>
          <t>Klasefibbla</t>
        </is>
      </c>
      <c r="S385">
        <f>HYPERLINK("https://klasma.github.io/Logging_0382/artfynd/A 46417-2021 artfynd.xlsx", "A 46417-2021")</f>
        <v/>
      </c>
      <c r="T385">
        <f>HYPERLINK("https://klasma.github.io/Logging_0382/kartor/A 46417-2021 karta.png", "A 46417-2021")</f>
        <v/>
      </c>
      <c r="V385">
        <f>HYPERLINK("https://klasma.github.io/Logging_0382/klagomål/A 46417-2021 FSC-klagomål.docx", "A 46417-2021")</f>
        <v/>
      </c>
      <c r="W385">
        <f>HYPERLINK("https://klasma.github.io/Logging_0382/klagomålsmail/A 46417-2021 FSC-klagomål mail.docx", "A 46417-2021")</f>
        <v/>
      </c>
      <c r="X385">
        <f>HYPERLINK("https://klasma.github.io/Logging_0382/tillsyn/A 46417-2021 tillsynsbegäran.docx", "A 46417-2021")</f>
        <v/>
      </c>
      <c r="Y385">
        <f>HYPERLINK("https://klasma.github.io/Logging_0382/tillsynsmail/A 46417-2021 tillsynsbegäran mail.docx", "A 46417-2021")</f>
        <v/>
      </c>
    </row>
    <row r="386" ht="15" customHeight="1">
      <c r="A386" t="inlineStr">
        <is>
          <t>A 49839-2021</t>
        </is>
      </c>
      <c r="B386" s="1" t="n">
        <v>44455</v>
      </c>
      <c r="C386" s="1" t="n">
        <v>45351</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49871-2021</t>
        </is>
      </c>
      <c r="B387" s="1" t="n">
        <v>44455</v>
      </c>
      <c r="C387" s="1" t="n">
        <v>45351</v>
      </c>
      <c r="D387" t="inlineStr">
        <is>
          <t>UPPSALA LÄN</t>
        </is>
      </c>
      <c r="E387" t="inlineStr">
        <is>
          <t>ÖSTHAMMAR</t>
        </is>
      </c>
      <c r="G387" t="n">
        <v>0.5</v>
      </c>
      <c r="H387" t="n">
        <v>0</v>
      </c>
      <c r="I387" t="n">
        <v>1</v>
      </c>
      <c r="J387" t="n">
        <v>0</v>
      </c>
      <c r="K387" t="n">
        <v>0</v>
      </c>
      <c r="L387" t="n">
        <v>0</v>
      </c>
      <c r="M387" t="n">
        <v>0</v>
      </c>
      <c r="N387" t="n">
        <v>0</v>
      </c>
      <c r="O387" t="n">
        <v>0</v>
      </c>
      <c r="P387" t="n">
        <v>0</v>
      </c>
      <c r="Q387" t="n">
        <v>1</v>
      </c>
      <c r="R387" s="2" t="inlineStr">
        <is>
          <t>Anisspindling</t>
        </is>
      </c>
      <c r="S387">
        <f>HYPERLINK("https://klasma.github.io/Logging_0382/artfynd/A 49871-2021 artfynd.xlsx", "A 49871-2021")</f>
        <v/>
      </c>
      <c r="T387">
        <f>HYPERLINK("https://klasma.github.io/Logging_0382/kartor/A 49871-2021 karta.png", "A 49871-2021")</f>
        <v/>
      </c>
      <c r="V387">
        <f>HYPERLINK("https://klasma.github.io/Logging_0382/klagomål/A 49871-2021 FSC-klagomål.docx", "A 49871-2021")</f>
        <v/>
      </c>
      <c r="W387">
        <f>HYPERLINK("https://klasma.github.io/Logging_0382/klagomålsmail/A 49871-2021 FSC-klagomål mail.docx", "A 49871-2021")</f>
        <v/>
      </c>
      <c r="X387">
        <f>HYPERLINK("https://klasma.github.io/Logging_0382/tillsyn/A 49871-2021 tillsynsbegäran.docx", "A 49871-2021")</f>
        <v/>
      </c>
      <c r="Y387">
        <f>HYPERLINK("https://klasma.github.io/Logging_0382/tillsynsmail/A 49871-2021 tillsynsbegäran mail.docx", "A 49871-2021")</f>
        <v/>
      </c>
    </row>
    <row r="388" ht="15" customHeight="1">
      <c r="A388" t="inlineStr">
        <is>
          <t>A 52849-2021</t>
        </is>
      </c>
      <c r="B388" s="1" t="n">
        <v>44467</v>
      </c>
      <c r="C388" s="1" t="n">
        <v>45351</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58050-2021</t>
        </is>
      </c>
      <c r="B389" s="1" t="n">
        <v>44487</v>
      </c>
      <c r="C389" s="1" t="n">
        <v>45351</v>
      </c>
      <c r="D389" t="inlineStr">
        <is>
          <t>UPPSALA LÄN</t>
        </is>
      </c>
      <c r="E389" t="inlineStr">
        <is>
          <t>UPPSALA</t>
        </is>
      </c>
      <c r="G389" t="n">
        <v>4.4</v>
      </c>
      <c r="H389" t="n">
        <v>0</v>
      </c>
      <c r="I389" t="n">
        <v>0</v>
      </c>
      <c r="J389" t="n">
        <v>1</v>
      </c>
      <c r="K389" t="n">
        <v>0</v>
      </c>
      <c r="L389" t="n">
        <v>0</v>
      </c>
      <c r="M389" t="n">
        <v>0</v>
      </c>
      <c r="N389" t="n">
        <v>0</v>
      </c>
      <c r="O389" t="n">
        <v>1</v>
      </c>
      <c r="P389" t="n">
        <v>0</v>
      </c>
      <c r="Q389" t="n">
        <v>1</v>
      </c>
      <c r="R389" s="2" t="inlineStr">
        <is>
          <t>Ullticka</t>
        </is>
      </c>
      <c r="S389">
        <f>HYPERLINK("https://klasma.github.io/Logging_0380/artfynd/A 58050-2021 artfynd.xlsx", "A 58050-2021")</f>
        <v/>
      </c>
      <c r="T389">
        <f>HYPERLINK("https://klasma.github.io/Logging_0380/kartor/A 58050-2021 karta.png", "A 58050-2021")</f>
        <v/>
      </c>
      <c r="V389">
        <f>HYPERLINK("https://klasma.github.io/Logging_0380/klagomål/A 58050-2021 FSC-klagomål.docx", "A 58050-2021")</f>
        <v/>
      </c>
      <c r="W389">
        <f>HYPERLINK("https://klasma.github.io/Logging_0380/klagomålsmail/A 58050-2021 FSC-klagomål mail.docx", "A 58050-2021")</f>
        <v/>
      </c>
      <c r="X389">
        <f>HYPERLINK("https://klasma.github.io/Logging_0380/tillsyn/A 58050-2021 tillsynsbegäran.docx", "A 58050-2021")</f>
        <v/>
      </c>
      <c r="Y389">
        <f>HYPERLINK("https://klasma.github.io/Logging_0380/tillsynsmail/A 58050-2021 tillsynsbegäran mail.docx", "A 58050-2021")</f>
        <v/>
      </c>
    </row>
    <row r="390" ht="15" customHeight="1">
      <c r="A390" t="inlineStr">
        <is>
          <t>A 58906-2021</t>
        </is>
      </c>
      <c r="B390" s="1" t="n">
        <v>44489</v>
      </c>
      <c r="C390" s="1" t="n">
        <v>45351</v>
      </c>
      <c r="D390" t="inlineStr">
        <is>
          <t>UPPSALA LÄN</t>
        </is>
      </c>
      <c r="E390" t="inlineStr">
        <is>
          <t>UPPSALA</t>
        </is>
      </c>
      <c r="G390" t="n">
        <v>8.6</v>
      </c>
      <c r="H390" t="n">
        <v>0</v>
      </c>
      <c r="I390" t="n">
        <v>0</v>
      </c>
      <c r="J390" t="n">
        <v>1</v>
      </c>
      <c r="K390" t="n">
        <v>0</v>
      </c>
      <c r="L390" t="n">
        <v>0</v>
      </c>
      <c r="M390" t="n">
        <v>0</v>
      </c>
      <c r="N390" t="n">
        <v>0</v>
      </c>
      <c r="O390" t="n">
        <v>1</v>
      </c>
      <c r="P390" t="n">
        <v>0</v>
      </c>
      <c r="Q390" t="n">
        <v>1</v>
      </c>
      <c r="R390" s="2" t="inlineStr">
        <is>
          <t>Ullticka</t>
        </is>
      </c>
      <c r="S390">
        <f>HYPERLINK("https://klasma.github.io/Logging_0380/artfynd/A 58906-2021 artfynd.xlsx", "A 58906-2021")</f>
        <v/>
      </c>
      <c r="T390">
        <f>HYPERLINK("https://klasma.github.io/Logging_0380/kartor/A 58906-2021 karta.png", "A 58906-2021")</f>
        <v/>
      </c>
      <c r="V390">
        <f>HYPERLINK("https://klasma.github.io/Logging_0380/klagomål/A 58906-2021 FSC-klagomål.docx", "A 58906-2021")</f>
        <v/>
      </c>
      <c r="W390">
        <f>HYPERLINK("https://klasma.github.io/Logging_0380/klagomålsmail/A 58906-2021 FSC-klagomål mail.docx", "A 58906-2021")</f>
        <v/>
      </c>
      <c r="X390">
        <f>HYPERLINK("https://klasma.github.io/Logging_0380/tillsyn/A 58906-2021 tillsynsbegäran.docx", "A 58906-2021")</f>
        <v/>
      </c>
      <c r="Y390">
        <f>HYPERLINK("https://klasma.github.io/Logging_0380/tillsynsmail/A 58906-2021 tillsynsbegäran mail.docx", "A 58906-2021")</f>
        <v/>
      </c>
    </row>
    <row r="391" ht="15" customHeight="1">
      <c r="A391" t="inlineStr">
        <is>
          <t>A 60855-2021</t>
        </is>
      </c>
      <c r="B391" s="1" t="n">
        <v>44497</v>
      </c>
      <c r="C391" s="1" t="n">
        <v>45351</v>
      </c>
      <c r="D391" t="inlineStr">
        <is>
          <t>UPPSALA LÄN</t>
        </is>
      </c>
      <c r="E391" t="inlineStr">
        <is>
          <t>ENKÖPING</t>
        </is>
      </c>
      <c r="G391" t="n">
        <v>1.2</v>
      </c>
      <c r="H391" t="n">
        <v>1</v>
      </c>
      <c r="I391" t="n">
        <v>0</v>
      </c>
      <c r="J391" t="n">
        <v>0</v>
      </c>
      <c r="K391" t="n">
        <v>1</v>
      </c>
      <c r="L391" t="n">
        <v>0</v>
      </c>
      <c r="M391" t="n">
        <v>0</v>
      </c>
      <c r="N391" t="n">
        <v>0</v>
      </c>
      <c r="O391" t="n">
        <v>1</v>
      </c>
      <c r="P391" t="n">
        <v>1</v>
      </c>
      <c r="Q391" t="n">
        <v>1</v>
      </c>
      <c r="R391" s="2" t="inlineStr">
        <is>
          <t>Knärot</t>
        </is>
      </c>
      <c r="S391">
        <f>HYPERLINK("https://klasma.github.io/Logging_0381/artfynd/A 60855-2021 artfynd.xlsx", "A 60855-2021")</f>
        <v/>
      </c>
      <c r="T391">
        <f>HYPERLINK("https://klasma.github.io/Logging_0381/kartor/A 60855-2021 karta.png", "A 60855-2021")</f>
        <v/>
      </c>
      <c r="U391">
        <f>HYPERLINK("https://klasma.github.io/Logging_0381/knärot/A 60855-2021 karta knärot.png", "A 60855-2021")</f>
        <v/>
      </c>
      <c r="V391">
        <f>HYPERLINK("https://klasma.github.io/Logging_0381/klagomål/A 60855-2021 FSC-klagomål.docx", "A 60855-2021")</f>
        <v/>
      </c>
      <c r="W391">
        <f>HYPERLINK("https://klasma.github.io/Logging_0381/klagomålsmail/A 60855-2021 FSC-klagomål mail.docx", "A 60855-2021")</f>
        <v/>
      </c>
      <c r="X391">
        <f>HYPERLINK("https://klasma.github.io/Logging_0381/tillsyn/A 60855-2021 tillsynsbegäran.docx", "A 60855-2021")</f>
        <v/>
      </c>
      <c r="Y391">
        <f>HYPERLINK("https://klasma.github.io/Logging_0381/tillsynsmail/A 60855-2021 tillsynsbegäran mail.docx", "A 60855-2021")</f>
        <v/>
      </c>
    </row>
    <row r="392" ht="15" customHeight="1">
      <c r="A392" t="inlineStr">
        <is>
          <t>A 61536-2021</t>
        </is>
      </c>
      <c r="B392" s="1" t="n">
        <v>44501</v>
      </c>
      <c r="C392" s="1" t="n">
        <v>45351</v>
      </c>
      <c r="D392" t="inlineStr">
        <is>
          <t>UPPSALA LÄN</t>
        </is>
      </c>
      <c r="E392" t="inlineStr">
        <is>
          <t>ÖSTHAMMAR</t>
        </is>
      </c>
      <c r="F392" t="inlineStr">
        <is>
          <t>Sveaskog</t>
        </is>
      </c>
      <c r="G392" t="n">
        <v>2.1</v>
      </c>
      <c r="H392" t="n">
        <v>0</v>
      </c>
      <c r="I392" t="n">
        <v>0</v>
      </c>
      <c r="J392" t="n">
        <v>1</v>
      </c>
      <c r="K392" t="n">
        <v>0</v>
      </c>
      <c r="L392" t="n">
        <v>0</v>
      </c>
      <c r="M392" t="n">
        <v>0</v>
      </c>
      <c r="N392" t="n">
        <v>0</v>
      </c>
      <c r="O392" t="n">
        <v>1</v>
      </c>
      <c r="P392" t="n">
        <v>0</v>
      </c>
      <c r="Q392" t="n">
        <v>1</v>
      </c>
      <c r="R392" s="2" t="inlineStr">
        <is>
          <t>Klasefibbla</t>
        </is>
      </c>
      <c r="S392">
        <f>HYPERLINK("https://klasma.github.io/Logging_0382/artfynd/A 61536-2021 artfynd.xlsx", "A 61536-2021")</f>
        <v/>
      </c>
      <c r="T392">
        <f>HYPERLINK("https://klasma.github.io/Logging_0382/kartor/A 61536-2021 karta.png", "A 61536-2021")</f>
        <v/>
      </c>
      <c r="V392">
        <f>HYPERLINK("https://klasma.github.io/Logging_0382/klagomål/A 61536-2021 FSC-klagomål.docx", "A 61536-2021")</f>
        <v/>
      </c>
      <c r="W392">
        <f>HYPERLINK("https://klasma.github.io/Logging_0382/klagomålsmail/A 61536-2021 FSC-klagomål mail.docx", "A 61536-2021")</f>
        <v/>
      </c>
      <c r="X392">
        <f>HYPERLINK("https://klasma.github.io/Logging_0382/tillsyn/A 61536-2021 tillsynsbegäran.docx", "A 61536-2021")</f>
        <v/>
      </c>
      <c r="Y392">
        <f>HYPERLINK("https://klasma.github.io/Logging_0382/tillsynsmail/A 61536-2021 tillsynsbegäran mail.docx", "A 61536-2021")</f>
        <v/>
      </c>
    </row>
    <row r="393" ht="15" customHeight="1">
      <c r="A393" t="inlineStr">
        <is>
          <t>A 61559-2021</t>
        </is>
      </c>
      <c r="B393" s="1" t="n">
        <v>44501</v>
      </c>
      <c r="C393" s="1" t="n">
        <v>45351</v>
      </c>
      <c r="D393" t="inlineStr">
        <is>
          <t>UPPSALA LÄN</t>
        </is>
      </c>
      <c r="E393" t="inlineStr">
        <is>
          <t>ÖSTHAMMAR</t>
        </is>
      </c>
      <c r="F393" t="inlineStr">
        <is>
          <t>Sveaskog</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HYPERLINK("https://klasma.github.io/Logging_0382/artfynd/A 61559-2021 artfynd.xlsx", "A 61559-2021")</f>
        <v/>
      </c>
      <c r="T393">
        <f>HYPERLINK("https://klasma.github.io/Logging_0382/kartor/A 61559-2021 karta.png", "A 61559-2021")</f>
        <v/>
      </c>
      <c r="V393">
        <f>HYPERLINK("https://klasma.github.io/Logging_0382/klagomål/A 61559-2021 FSC-klagomål.docx", "A 61559-2021")</f>
        <v/>
      </c>
      <c r="W393">
        <f>HYPERLINK("https://klasma.github.io/Logging_0382/klagomålsmail/A 61559-2021 FSC-klagomål mail.docx", "A 61559-2021")</f>
        <v/>
      </c>
      <c r="X393">
        <f>HYPERLINK("https://klasma.github.io/Logging_0382/tillsyn/A 61559-2021 tillsynsbegäran.docx", "A 61559-2021")</f>
        <v/>
      </c>
      <c r="Y393">
        <f>HYPERLINK("https://klasma.github.io/Logging_0382/tillsynsmail/A 61559-2021 tillsynsbegäran mail.docx", "A 61559-2021")</f>
        <v/>
      </c>
    </row>
    <row r="394" ht="15" customHeight="1">
      <c r="A394" t="inlineStr">
        <is>
          <t>A 63615-2021</t>
        </is>
      </c>
      <c r="B394" s="1" t="n">
        <v>44509</v>
      </c>
      <c r="C394" s="1" t="n">
        <v>45351</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64564-2021</t>
        </is>
      </c>
      <c r="B395" s="1" t="n">
        <v>44511</v>
      </c>
      <c r="C395" s="1" t="n">
        <v>45351</v>
      </c>
      <c r="D395" t="inlineStr">
        <is>
          <t>UPPSALA LÄN</t>
        </is>
      </c>
      <c r="E395" t="inlineStr">
        <is>
          <t>ÖSTHAMMAR</t>
        </is>
      </c>
      <c r="G395" t="n">
        <v>7.2</v>
      </c>
      <c r="H395" t="n">
        <v>0</v>
      </c>
      <c r="I395" t="n">
        <v>0</v>
      </c>
      <c r="J395" t="n">
        <v>0</v>
      </c>
      <c r="K395" t="n">
        <v>1</v>
      </c>
      <c r="L395" t="n">
        <v>0</v>
      </c>
      <c r="M395" t="n">
        <v>0</v>
      </c>
      <c r="N395" t="n">
        <v>0</v>
      </c>
      <c r="O395" t="n">
        <v>1</v>
      </c>
      <c r="P395" t="n">
        <v>1</v>
      </c>
      <c r="Q395" t="n">
        <v>1</v>
      </c>
      <c r="R395" s="2" t="inlineStr">
        <is>
          <t>Violgubbe</t>
        </is>
      </c>
      <c r="S395">
        <f>HYPERLINK("https://klasma.github.io/Logging_0382/artfynd/A 64564-2021 artfynd.xlsx", "A 64564-2021")</f>
        <v/>
      </c>
      <c r="T395">
        <f>HYPERLINK("https://klasma.github.io/Logging_0382/kartor/A 64564-2021 karta.png", "A 64564-2021")</f>
        <v/>
      </c>
      <c r="V395">
        <f>HYPERLINK("https://klasma.github.io/Logging_0382/klagomål/A 64564-2021 FSC-klagomål.docx", "A 64564-2021")</f>
        <v/>
      </c>
      <c r="W395">
        <f>HYPERLINK("https://klasma.github.io/Logging_0382/klagomålsmail/A 64564-2021 FSC-klagomål mail.docx", "A 64564-2021")</f>
        <v/>
      </c>
      <c r="X395">
        <f>HYPERLINK("https://klasma.github.io/Logging_0382/tillsyn/A 64564-2021 tillsynsbegäran.docx", "A 64564-2021")</f>
        <v/>
      </c>
      <c r="Y395">
        <f>HYPERLINK("https://klasma.github.io/Logging_0382/tillsynsmail/A 64564-2021 tillsynsbegäran mail.docx", "A 64564-2021")</f>
        <v/>
      </c>
    </row>
    <row r="396" ht="15" customHeight="1">
      <c r="A396" t="inlineStr">
        <is>
          <t>A 65989-2021</t>
        </is>
      </c>
      <c r="B396" s="1" t="n">
        <v>44517</v>
      </c>
      <c r="C396" s="1" t="n">
        <v>45351</v>
      </c>
      <c r="D396" t="inlineStr">
        <is>
          <t>UPPSALA LÄN</t>
        </is>
      </c>
      <c r="E396" t="inlineStr">
        <is>
          <t>ÖSTHAMMAR</t>
        </is>
      </c>
      <c r="G396" t="n">
        <v>6.9</v>
      </c>
      <c r="H396" t="n">
        <v>1</v>
      </c>
      <c r="I396" t="n">
        <v>1</v>
      </c>
      <c r="J396" t="n">
        <v>0</v>
      </c>
      <c r="K396" t="n">
        <v>0</v>
      </c>
      <c r="L396" t="n">
        <v>0</v>
      </c>
      <c r="M396" t="n">
        <v>0</v>
      </c>
      <c r="N396" t="n">
        <v>0</v>
      </c>
      <c r="O396" t="n">
        <v>0</v>
      </c>
      <c r="P396" t="n">
        <v>0</v>
      </c>
      <c r="Q396" t="n">
        <v>1</v>
      </c>
      <c r="R396" s="2" t="inlineStr">
        <is>
          <t>Skogsknipprot</t>
        </is>
      </c>
      <c r="S396">
        <f>HYPERLINK("https://klasma.github.io/Logging_0382/artfynd/A 65989-2021 artfynd.xlsx", "A 65989-2021")</f>
        <v/>
      </c>
      <c r="T396">
        <f>HYPERLINK("https://klasma.github.io/Logging_0382/kartor/A 65989-2021 karta.png", "A 65989-2021")</f>
        <v/>
      </c>
      <c r="V396">
        <f>HYPERLINK("https://klasma.github.io/Logging_0382/klagomål/A 65989-2021 FSC-klagomål.docx", "A 65989-2021")</f>
        <v/>
      </c>
      <c r="W396">
        <f>HYPERLINK("https://klasma.github.io/Logging_0382/klagomålsmail/A 65989-2021 FSC-klagomål mail.docx", "A 65989-2021")</f>
        <v/>
      </c>
      <c r="X396">
        <f>HYPERLINK("https://klasma.github.io/Logging_0382/tillsyn/A 65989-2021 tillsynsbegäran.docx", "A 65989-2021")</f>
        <v/>
      </c>
      <c r="Y396">
        <f>HYPERLINK("https://klasma.github.io/Logging_0382/tillsynsmail/A 65989-2021 tillsynsbegäran mail.docx", "A 65989-2021")</f>
        <v/>
      </c>
    </row>
    <row r="397" ht="15" customHeight="1">
      <c r="A397" t="inlineStr">
        <is>
          <t>A 70017-2021</t>
        </is>
      </c>
      <c r="B397" s="1" t="n">
        <v>44533</v>
      </c>
      <c r="C397" s="1" t="n">
        <v>45351</v>
      </c>
      <c r="D397" t="inlineStr">
        <is>
          <t>UPPSALA LÄN</t>
        </is>
      </c>
      <c r="E397" t="inlineStr">
        <is>
          <t>ÄLVKARLEBY</t>
        </is>
      </c>
      <c r="G397" t="n">
        <v>2.1</v>
      </c>
      <c r="H397" t="n">
        <v>1</v>
      </c>
      <c r="I397" t="n">
        <v>0</v>
      </c>
      <c r="J397" t="n">
        <v>0</v>
      </c>
      <c r="K397" t="n">
        <v>1</v>
      </c>
      <c r="L397" t="n">
        <v>0</v>
      </c>
      <c r="M397" t="n">
        <v>0</v>
      </c>
      <c r="N397" t="n">
        <v>0</v>
      </c>
      <c r="O397" t="n">
        <v>1</v>
      </c>
      <c r="P397" t="n">
        <v>1</v>
      </c>
      <c r="Q397" t="n">
        <v>1</v>
      </c>
      <c r="R397" s="2" t="inlineStr">
        <is>
          <t>Gölgroda</t>
        </is>
      </c>
      <c r="S397">
        <f>HYPERLINK("https://klasma.github.io/Logging_0319/artfynd/A 70017-2021 artfynd.xlsx", "A 70017-2021")</f>
        <v/>
      </c>
      <c r="T397">
        <f>HYPERLINK("https://klasma.github.io/Logging_0319/kartor/A 70017-2021 karta.png", "A 70017-2021")</f>
        <v/>
      </c>
      <c r="V397">
        <f>HYPERLINK("https://klasma.github.io/Logging_0319/klagomål/A 70017-2021 FSC-klagomål.docx", "A 70017-2021")</f>
        <v/>
      </c>
      <c r="W397">
        <f>HYPERLINK("https://klasma.github.io/Logging_0319/klagomålsmail/A 70017-2021 FSC-klagomål mail.docx", "A 70017-2021")</f>
        <v/>
      </c>
      <c r="X397">
        <f>HYPERLINK("https://klasma.github.io/Logging_0319/tillsyn/A 70017-2021 tillsynsbegäran.docx", "A 70017-2021")</f>
        <v/>
      </c>
      <c r="Y397">
        <f>HYPERLINK("https://klasma.github.io/Logging_0319/tillsynsmail/A 70017-2021 tillsynsbegäran mail.docx", "A 70017-2021")</f>
        <v/>
      </c>
    </row>
    <row r="398" ht="15" customHeight="1">
      <c r="A398" t="inlineStr">
        <is>
          <t>A 70495-2021</t>
        </is>
      </c>
      <c r="B398" s="1" t="n">
        <v>44536</v>
      </c>
      <c r="C398" s="1" t="n">
        <v>45351</v>
      </c>
      <c r="D398" t="inlineStr">
        <is>
          <t>UPPSALA LÄN</t>
        </is>
      </c>
      <c r="E398" t="inlineStr">
        <is>
          <t>ÖSTHAMMAR</t>
        </is>
      </c>
      <c r="G398" t="n">
        <v>1</v>
      </c>
      <c r="H398" t="n">
        <v>1</v>
      </c>
      <c r="I398" t="n">
        <v>0</v>
      </c>
      <c r="J398" t="n">
        <v>1</v>
      </c>
      <c r="K398" t="n">
        <v>0</v>
      </c>
      <c r="L398" t="n">
        <v>0</v>
      </c>
      <c r="M398" t="n">
        <v>0</v>
      </c>
      <c r="N398" t="n">
        <v>0</v>
      </c>
      <c r="O398" t="n">
        <v>1</v>
      </c>
      <c r="P398" t="n">
        <v>0</v>
      </c>
      <c r="Q398" t="n">
        <v>1</v>
      </c>
      <c r="R398" s="2" t="inlineStr">
        <is>
          <t>Slaguggla</t>
        </is>
      </c>
      <c r="S398">
        <f>HYPERLINK("https://klasma.github.io/Logging_0382/artfynd/A 70495-2021 artfynd.xlsx", "A 70495-2021")</f>
        <v/>
      </c>
      <c r="T398">
        <f>HYPERLINK("https://klasma.github.io/Logging_0382/kartor/A 70495-2021 karta.png", "A 70495-2021")</f>
        <v/>
      </c>
      <c r="V398">
        <f>HYPERLINK("https://klasma.github.io/Logging_0382/klagomål/A 70495-2021 FSC-klagomål.docx", "A 70495-2021")</f>
        <v/>
      </c>
      <c r="W398">
        <f>HYPERLINK("https://klasma.github.io/Logging_0382/klagomålsmail/A 70495-2021 FSC-klagomål mail.docx", "A 70495-2021")</f>
        <v/>
      </c>
      <c r="X398">
        <f>HYPERLINK("https://klasma.github.io/Logging_0382/tillsyn/A 70495-2021 tillsynsbegäran.docx", "A 70495-2021")</f>
        <v/>
      </c>
      <c r="Y398">
        <f>HYPERLINK("https://klasma.github.io/Logging_0382/tillsynsmail/A 70495-2021 tillsynsbegäran mail.docx", "A 70495-2021")</f>
        <v/>
      </c>
      <c r="Z398">
        <f>HYPERLINK("https://klasma.github.io/Logging_0382/fåglar/A 70495-2021 prioriterade fågelarter.docx", "A 70495-2021")</f>
        <v/>
      </c>
    </row>
    <row r="399" ht="15" customHeight="1">
      <c r="A399" t="inlineStr">
        <is>
          <t>A 73320-2021</t>
        </is>
      </c>
      <c r="B399" s="1" t="n">
        <v>44551</v>
      </c>
      <c r="C399" s="1" t="n">
        <v>45351</v>
      </c>
      <c r="D399" t="inlineStr">
        <is>
          <t>UPPSALA LÄN</t>
        </is>
      </c>
      <c r="E399" t="inlineStr">
        <is>
          <t>TIERP</t>
        </is>
      </c>
      <c r="G399" t="n">
        <v>8.699999999999999</v>
      </c>
      <c r="H399" t="n">
        <v>0</v>
      </c>
      <c r="I399" t="n">
        <v>1</v>
      </c>
      <c r="J399" t="n">
        <v>0</v>
      </c>
      <c r="K399" t="n">
        <v>0</v>
      </c>
      <c r="L399" t="n">
        <v>0</v>
      </c>
      <c r="M399" t="n">
        <v>0</v>
      </c>
      <c r="N399" t="n">
        <v>0</v>
      </c>
      <c r="O399" t="n">
        <v>0</v>
      </c>
      <c r="P399" t="n">
        <v>0</v>
      </c>
      <c r="Q399" t="n">
        <v>1</v>
      </c>
      <c r="R399" s="2" t="inlineStr">
        <is>
          <t>Rödgul trumpetsvamp</t>
        </is>
      </c>
      <c r="S399">
        <f>HYPERLINK("https://klasma.github.io/Logging_0360/artfynd/A 73320-2021 artfynd.xlsx", "A 73320-2021")</f>
        <v/>
      </c>
      <c r="T399">
        <f>HYPERLINK("https://klasma.github.io/Logging_0360/kartor/A 73320-2021 karta.png", "A 73320-2021")</f>
        <v/>
      </c>
      <c r="V399">
        <f>HYPERLINK("https://klasma.github.io/Logging_0360/klagomål/A 73320-2021 FSC-klagomål.docx", "A 73320-2021")</f>
        <v/>
      </c>
      <c r="W399">
        <f>HYPERLINK("https://klasma.github.io/Logging_0360/klagomålsmail/A 73320-2021 FSC-klagomål mail.docx", "A 73320-2021")</f>
        <v/>
      </c>
      <c r="X399">
        <f>HYPERLINK("https://klasma.github.io/Logging_0360/tillsyn/A 73320-2021 tillsynsbegäran.docx", "A 73320-2021")</f>
        <v/>
      </c>
      <c r="Y399">
        <f>HYPERLINK("https://klasma.github.io/Logging_0360/tillsynsmail/A 73320-2021 tillsynsbegäran mail.docx", "A 73320-2021")</f>
        <v/>
      </c>
    </row>
    <row r="400" ht="15" customHeight="1">
      <c r="A400" t="inlineStr">
        <is>
          <t>A 74472-2021</t>
        </is>
      </c>
      <c r="B400" s="1" t="n">
        <v>44560</v>
      </c>
      <c r="C400" s="1" t="n">
        <v>45351</v>
      </c>
      <c r="D400" t="inlineStr">
        <is>
          <t>UPPSALA LÄN</t>
        </is>
      </c>
      <c r="E400" t="inlineStr">
        <is>
          <t>TIERP</t>
        </is>
      </c>
      <c r="G400" t="n">
        <v>2.8</v>
      </c>
      <c r="H400" t="n">
        <v>0</v>
      </c>
      <c r="I400" t="n">
        <v>1</v>
      </c>
      <c r="J400" t="n">
        <v>0</v>
      </c>
      <c r="K400" t="n">
        <v>0</v>
      </c>
      <c r="L400" t="n">
        <v>0</v>
      </c>
      <c r="M400" t="n">
        <v>0</v>
      </c>
      <c r="N400" t="n">
        <v>0</v>
      </c>
      <c r="O400" t="n">
        <v>0</v>
      </c>
      <c r="P400" t="n">
        <v>0</v>
      </c>
      <c r="Q400" t="n">
        <v>1</v>
      </c>
      <c r="R400" s="2" t="inlineStr">
        <is>
          <t>Underviol</t>
        </is>
      </c>
      <c r="S400">
        <f>HYPERLINK("https://klasma.github.io/Logging_0360/artfynd/A 74472-2021 artfynd.xlsx", "A 74472-2021")</f>
        <v/>
      </c>
      <c r="T400">
        <f>HYPERLINK("https://klasma.github.io/Logging_0360/kartor/A 74472-2021 karta.png", "A 74472-2021")</f>
        <v/>
      </c>
      <c r="V400">
        <f>HYPERLINK("https://klasma.github.io/Logging_0360/klagomål/A 74472-2021 FSC-klagomål.docx", "A 74472-2021")</f>
        <v/>
      </c>
      <c r="W400">
        <f>HYPERLINK("https://klasma.github.io/Logging_0360/klagomålsmail/A 74472-2021 FSC-klagomål mail.docx", "A 74472-2021")</f>
        <v/>
      </c>
      <c r="X400">
        <f>HYPERLINK("https://klasma.github.io/Logging_0360/tillsyn/A 74472-2021 tillsynsbegäran.docx", "A 74472-2021")</f>
        <v/>
      </c>
      <c r="Y400">
        <f>HYPERLINK("https://klasma.github.io/Logging_0360/tillsynsmail/A 74472-2021 tillsynsbegäran mail.docx", "A 74472-2021")</f>
        <v/>
      </c>
    </row>
    <row r="401" ht="15" customHeight="1">
      <c r="A401" t="inlineStr">
        <is>
          <t>A 738-2022</t>
        </is>
      </c>
      <c r="B401" s="1" t="n">
        <v>44568</v>
      </c>
      <c r="C401" s="1" t="n">
        <v>45351</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938-2022</t>
        </is>
      </c>
      <c r="B402" s="1" t="n">
        <v>44571</v>
      </c>
      <c r="C402" s="1" t="n">
        <v>45351</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Vedtrappmossa</t>
        </is>
      </c>
      <c r="S402">
        <f>HYPERLINK("https://klasma.github.io/Logging_0382/artfynd/A 938-2022 artfynd.xlsx", "A 938-2022")</f>
        <v/>
      </c>
      <c r="T402">
        <f>HYPERLINK("https://klasma.github.io/Logging_0382/kartor/A 938-2022 karta.png", "A 938-2022")</f>
        <v/>
      </c>
      <c r="V402">
        <f>HYPERLINK("https://klasma.github.io/Logging_0382/klagomål/A 938-2022 FSC-klagomål.docx", "A 938-2022")</f>
        <v/>
      </c>
      <c r="W402">
        <f>HYPERLINK("https://klasma.github.io/Logging_0382/klagomålsmail/A 938-2022 FSC-klagomål mail.docx", "A 938-2022")</f>
        <v/>
      </c>
      <c r="X402">
        <f>HYPERLINK("https://klasma.github.io/Logging_0382/tillsyn/A 938-2022 tillsynsbegäran.docx", "A 938-2022")</f>
        <v/>
      </c>
      <c r="Y402">
        <f>HYPERLINK("https://klasma.github.io/Logging_0382/tillsynsmail/A 938-2022 tillsynsbegäran mail.docx", "A 938-2022")</f>
        <v/>
      </c>
    </row>
    <row r="403" ht="15" customHeight="1">
      <c r="A403" t="inlineStr">
        <is>
          <t>A 1227-2022</t>
        </is>
      </c>
      <c r="B403" s="1" t="n">
        <v>44572</v>
      </c>
      <c r="C403" s="1" t="n">
        <v>45351</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3257-2022</t>
        </is>
      </c>
      <c r="B404" s="1" t="n">
        <v>44583</v>
      </c>
      <c r="C404" s="1" t="n">
        <v>45351</v>
      </c>
      <c r="D404" t="inlineStr">
        <is>
          <t>UPPSALA LÄN</t>
        </is>
      </c>
      <c r="E404" t="inlineStr">
        <is>
          <t>UPPSALA</t>
        </is>
      </c>
      <c r="F404" t="inlineStr">
        <is>
          <t>Holmen skog AB</t>
        </is>
      </c>
      <c r="G404" t="n">
        <v>1.9</v>
      </c>
      <c r="H404" t="n">
        <v>0</v>
      </c>
      <c r="I404" t="n">
        <v>1</v>
      </c>
      <c r="J404" t="n">
        <v>0</v>
      </c>
      <c r="K404" t="n">
        <v>0</v>
      </c>
      <c r="L404" t="n">
        <v>0</v>
      </c>
      <c r="M404" t="n">
        <v>0</v>
      </c>
      <c r="N404" t="n">
        <v>0</v>
      </c>
      <c r="O404" t="n">
        <v>0</v>
      </c>
      <c r="P404" t="n">
        <v>0</v>
      </c>
      <c r="Q404" t="n">
        <v>1</v>
      </c>
      <c r="R404" s="2" t="inlineStr">
        <is>
          <t>Gulpudrad spiklav</t>
        </is>
      </c>
      <c r="S404">
        <f>HYPERLINK("https://klasma.github.io/Logging_0380/artfynd/A 3257-2022 artfynd.xlsx", "A 3257-2022")</f>
        <v/>
      </c>
      <c r="T404">
        <f>HYPERLINK("https://klasma.github.io/Logging_0380/kartor/A 3257-2022 karta.png", "A 3257-2022")</f>
        <v/>
      </c>
      <c r="V404">
        <f>HYPERLINK("https://klasma.github.io/Logging_0380/klagomål/A 3257-2022 FSC-klagomål.docx", "A 3257-2022")</f>
        <v/>
      </c>
      <c r="W404">
        <f>HYPERLINK("https://klasma.github.io/Logging_0380/klagomålsmail/A 3257-2022 FSC-klagomål mail.docx", "A 3257-2022")</f>
        <v/>
      </c>
      <c r="X404">
        <f>HYPERLINK("https://klasma.github.io/Logging_0380/tillsyn/A 3257-2022 tillsynsbegäran.docx", "A 3257-2022")</f>
        <v/>
      </c>
      <c r="Y404">
        <f>HYPERLINK("https://klasma.github.io/Logging_0380/tillsynsmail/A 3257-2022 tillsynsbegäran mail.docx", "A 3257-2022")</f>
        <v/>
      </c>
    </row>
    <row r="405" ht="15" customHeight="1">
      <c r="A405" t="inlineStr">
        <is>
          <t>A 4449-2022</t>
        </is>
      </c>
      <c r="B405" s="1" t="n">
        <v>44589</v>
      </c>
      <c r="C405" s="1" t="n">
        <v>45351</v>
      </c>
      <c r="D405" t="inlineStr">
        <is>
          <t>UPPSALA LÄN</t>
        </is>
      </c>
      <c r="E405" t="inlineStr">
        <is>
          <t>UPPSALA</t>
        </is>
      </c>
      <c r="G405" t="n">
        <v>8.9</v>
      </c>
      <c r="H405" t="n">
        <v>0</v>
      </c>
      <c r="I405" t="n">
        <v>0</v>
      </c>
      <c r="J405" t="n">
        <v>1</v>
      </c>
      <c r="K405" t="n">
        <v>0</v>
      </c>
      <c r="L405" t="n">
        <v>0</v>
      </c>
      <c r="M405" t="n">
        <v>0</v>
      </c>
      <c r="N405" t="n">
        <v>0</v>
      </c>
      <c r="O405" t="n">
        <v>1</v>
      </c>
      <c r="P405" t="n">
        <v>0</v>
      </c>
      <c r="Q405" t="n">
        <v>1</v>
      </c>
      <c r="R405" s="2" t="inlineStr">
        <is>
          <t>Gul taggsvamp</t>
        </is>
      </c>
      <c r="S405">
        <f>HYPERLINK("https://klasma.github.io/Logging_0380/artfynd/A 4449-2022 artfynd.xlsx", "A 4449-2022")</f>
        <v/>
      </c>
      <c r="T405">
        <f>HYPERLINK("https://klasma.github.io/Logging_0380/kartor/A 4449-2022 karta.png", "A 4449-2022")</f>
        <v/>
      </c>
      <c r="V405">
        <f>HYPERLINK("https://klasma.github.io/Logging_0380/klagomål/A 4449-2022 FSC-klagomål.docx", "A 4449-2022")</f>
        <v/>
      </c>
      <c r="W405">
        <f>HYPERLINK("https://klasma.github.io/Logging_0380/klagomålsmail/A 4449-2022 FSC-klagomål mail.docx", "A 4449-2022")</f>
        <v/>
      </c>
      <c r="X405">
        <f>HYPERLINK("https://klasma.github.io/Logging_0380/tillsyn/A 4449-2022 tillsynsbegäran.docx", "A 4449-2022")</f>
        <v/>
      </c>
      <c r="Y405">
        <f>HYPERLINK("https://klasma.github.io/Logging_0380/tillsynsmail/A 4449-2022 tillsynsbegäran mail.docx", "A 4449-2022")</f>
        <v/>
      </c>
    </row>
    <row r="406" ht="15" customHeight="1">
      <c r="A406" t="inlineStr">
        <is>
          <t>A 5454-2022</t>
        </is>
      </c>
      <c r="B406" s="1" t="n">
        <v>44595</v>
      </c>
      <c r="C406" s="1" t="n">
        <v>45351</v>
      </c>
      <c r="D406" t="inlineStr">
        <is>
          <t>UPPSALA LÄN</t>
        </is>
      </c>
      <c r="E406" t="inlineStr">
        <is>
          <t>TIERP</t>
        </is>
      </c>
      <c r="G406" t="n">
        <v>2</v>
      </c>
      <c r="H406" t="n">
        <v>0</v>
      </c>
      <c r="I406" t="n">
        <v>1</v>
      </c>
      <c r="J406" t="n">
        <v>0</v>
      </c>
      <c r="K406" t="n">
        <v>0</v>
      </c>
      <c r="L406" t="n">
        <v>0</v>
      </c>
      <c r="M406" t="n">
        <v>0</v>
      </c>
      <c r="N406" t="n">
        <v>0</v>
      </c>
      <c r="O406" t="n">
        <v>0</v>
      </c>
      <c r="P406" t="n">
        <v>0</v>
      </c>
      <c r="Q406" t="n">
        <v>1</v>
      </c>
      <c r="R406" s="2" t="inlineStr">
        <is>
          <t>Anisspindling</t>
        </is>
      </c>
      <c r="S406">
        <f>HYPERLINK("https://klasma.github.io/Logging_0360/artfynd/A 5454-2022 artfynd.xlsx", "A 5454-2022")</f>
        <v/>
      </c>
      <c r="T406">
        <f>HYPERLINK("https://klasma.github.io/Logging_0360/kartor/A 5454-2022 karta.png", "A 5454-2022")</f>
        <v/>
      </c>
      <c r="U406">
        <f>HYPERLINK("https://klasma.github.io/Logging_0360/knärot/A 5454-2022 karta knärot.png", "A 5454-2022")</f>
        <v/>
      </c>
      <c r="V406">
        <f>HYPERLINK("https://klasma.github.io/Logging_0360/klagomål/A 5454-2022 FSC-klagomål.docx", "A 5454-2022")</f>
        <v/>
      </c>
      <c r="W406">
        <f>HYPERLINK("https://klasma.github.io/Logging_0360/klagomålsmail/A 5454-2022 FSC-klagomål mail.docx", "A 5454-2022")</f>
        <v/>
      </c>
      <c r="X406">
        <f>HYPERLINK("https://klasma.github.io/Logging_0360/tillsyn/A 5454-2022 tillsynsbegäran.docx", "A 5454-2022")</f>
        <v/>
      </c>
      <c r="Y406">
        <f>HYPERLINK("https://klasma.github.io/Logging_0360/tillsynsmail/A 5454-2022 tillsynsbegäran mail.docx", "A 5454-2022")</f>
        <v/>
      </c>
    </row>
    <row r="407" ht="15" customHeight="1">
      <c r="A407" t="inlineStr">
        <is>
          <t>A 7446-2022</t>
        </is>
      </c>
      <c r="B407" s="1" t="n">
        <v>44606</v>
      </c>
      <c r="C407" s="1" t="n">
        <v>45351</v>
      </c>
      <c r="D407" t="inlineStr">
        <is>
          <t>UPPSALA LÄN</t>
        </is>
      </c>
      <c r="E407" t="inlineStr">
        <is>
          <t>ÖSTHAMMAR</t>
        </is>
      </c>
      <c r="G407" t="n">
        <v>5</v>
      </c>
      <c r="H407" t="n">
        <v>1</v>
      </c>
      <c r="I407" t="n">
        <v>0</v>
      </c>
      <c r="J407" t="n">
        <v>0</v>
      </c>
      <c r="K407" t="n">
        <v>0</v>
      </c>
      <c r="L407" t="n">
        <v>0</v>
      </c>
      <c r="M407" t="n">
        <v>0</v>
      </c>
      <c r="N407" t="n">
        <v>0</v>
      </c>
      <c r="O407" t="n">
        <v>0</v>
      </c>
      <c r="P407" t="n">
        <v>0</v>
      </c>
      <c r="Q407" t="n">
        <v>1</v>
      </c>
      <c r="R407" s="2" t="inlineStr">
        <is>
          <t>Mattlummer</t>
        </is>
      </c>
      <c r="S407">
        <f>HYPERLINK("https://klasma.github.io/Logging_0382/artfynd/A 7446-2022 artfynd.xlsx", "A 7446-2022")</f>
        <v/>
      </c>
      <c r="T407">
        <f>HYPERLINK("https://klasma.github.io/Logging_0382/kartor/A 7446-2022 karta.png", "A 7446-2022")</f>
        <v/>
      </c>
      <c r="V407">
        <f>HYPERLINK("https://klasma.github.io/Logging_0382/klagomål/A 7446-2022 FSC-klagomål.docx", "A 7446-2022")</f>
        <v/>
      </c>
      <c r="W407">
        <f>HYPERLINK("https://klasma.github.io/Logging_0382/klagomålsmail/A 7446-2022 FSC-klagomål mail.docx", "A 7446-2022")</f>
        <v/>
      </c>
      <c r="X407">
        <f>HYPERLINK("https://klasma.github.io/Logging_0382/tillsyn/A 7446-2022 tillsynsbegäran.docx", "A 7446-2022")</f>
        <v/>
      </c>
      <c r="Y407">
        <f>HYPERLINK("https://klasma.github.io/Logging_0382/tillsynsmail/A 7446-2022 tillsynsbegäran mail.docx", "A 7446-2022")</f>
        <v/>
      </c>
    </row>
    <row r="408" ht="15" customHeight="1">
      <c r="A408" t="inlineStr">
        <is>
          <t>A 7470-2022</t>
        </is>
      </c>
      <c r="B408" s="1" t="n">
        <v>44607</v>
      </c>
      <c r="C408" s="1" t="n">
        <v>45351</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7505-2022</t>
        </is>
      </c>
      <c r="B409" s="1" t="n">
        <v>44607</v>
      </c>
      <c r="C409" s="1" t="n">
        <v>45351</v>
      </c>
      <c r="D409" t="inlineStr">
        <is>
          <t>UPPSALA LÄN</t>
        </is>
      </c>
      <c r="E409" t="inlineStr">
        <is>
          <t>TIERP</t>
        </is>
      </c>
      <c r="F409" t="inlineStr">
        <is>
          <t>Bergvik skog öst AB</t>
        </is>
      </c>
      <c r="G409" t="n">
        <v>3.8</v>
      </c>
      <c r="H409" t="n">
        <v>0</v>
      </c>
      <c r="I409" t="n">
        <v>0</v>
      </c>
      <c r="J409" t="n">
        <v>1</v>
      </c>
      <c r="K409" t="n">
        <v>0</v>
      </c>
      <c r="L409" t="n">
        <v>0</v>
      </c>
      <c r="M409" t="n">
        <v>0</v>
      </c>
      <c r="N409" t="n">
        <v>0</v>
      </c>
      <c r="O409" t="n">
        <v>1</v>
      </c>
      <c r="P409" t="n">
        <v>0</v>
      </c>
      <c r="Q409" t="n">
        <v>1</v>
      </c>
      <c r="R409" s="2" t="inlineStr">
        <is>
          <t>Grentaggsvamp</t>
        </is>
      </c>
      <c r="S409">
        <f>HYPERLINK("https://klasma.github.io/Logging_0360/artfynd/A 7505-2022 artfynd.xlsx", "A 7505-2022")</f>
        <v/>
      </c>
      <c r="T409">
        <f>HYPERLINK("https://klasma.github.io/Logging_0360/kartor/A 7505-2022 karta.png", "A 7505-2022")</f>
        <v/>
      </c>
      <c r="V409">
        <f>HYPERLINK("https://klasma.github.io/Logging_0360/klagomål/A 7505-2022 FSC-klagomål.docx", "A 7505-2022")</f>
        <v/>
      </c>
      <c r="W409">
        <f>HYPERLINK("https://klasma.github.io/Logging_0360/klagomålsmail/A 7505-2022 FSC-klagomål mail.docx", "A 7505-2022")</f>
        <v/>
      </c>
      <c r="X409">
        <f>HYPERLINK("https://klasma.github.io/Logging_0360/tillsyn/A 7505-2022 tillsynsbegäran.docx", "A 7505-2022")</f>
        <v/>
      </c>
      <c r="Y409">
        <f>HYPERLINK("https://klasma.github.io/Logging_0360/tillsynsmail/A 7505-2022 tillsynsbegäran mail.docx", "A 7505-2022")</f>
        <v/>
      </c>
    </row>
    <row r="410" ht="15" customHeight="1">
      <c r="A410" t="inlineStr">
        <is>
          <t>A 8181-2022</t>
        </is>
      </c>
      <c r="B410" s="1" t="n">
        <v>44609</v>
      </c>
      <c r="C410" s="1" t="n">
        <v>45351</v>
      </c>
      <c r="D410" t="inlineStr">
        <is>
          <t>UPPSALA LÄN</t>
        </is>
      </c>
      <c r="E410" t="inlineStr">
        <is>
          <t>HEBY</t>
        </is>
      </c>
      <c r="G410" t="n">
        <v>6.5</v>
      </c>
      <c r="H410" t="n">
        <v>1</v>
      </c>
      <c r="I410" t="n">
        <v>0</v>
      </c>
      <c r="J410" t="n">
        <v>0</v>
      </c>
      <c r="K410" t="n">
        <v>0</v>
      </c>
      <c r="L410" t="n">
        <v>0</v>
      </c>
      <c r="M410" t="n">
        <v>0</v>
      </c>
      <c r="N410" t="n">
        <v>0</v>
      </c>
      <c r="O410" t="n">
        <v>0</v>
      </c>
      <c r="P410" t="n">
        <v>0</v>
      </c>
      <c r="Q410" t="n">
        <v>1</v>
      </c>
      <c r="R410" s="2" t="inlineStr">
        <is>
          <t>Kopparödla</t>
        </is>
      </c>
      <c r="S410">
        <f>HYPERLINK("https://klasma.github.io/Logging_0331/artfynd/A 8181-2022 artfynd.xlsx", "A 8181-2022")</f>
        <v/>
      </c>
      <c r="T410">
        <f>HYPERLINK("https://klasma.github.io/Logging_0331/kartor/A 8181-2022 karta.png", "A 8181-2022")</f>
        <v/>
      </c>
      <c r="V410">
        <f>HYPERLINK("https://klasma.github.io/Logging_0331/klagomål/A 8181-2022 FSC-klagomål.docx", "A 8181-2022")</f>
        <v/>
      </c>
      <c r="W410">
        <f>HYPERLINK("https://klasma.github.io/Logging_0331/klagomålsmail/A 8181-2022 FSC-klagomål mail.docx", "A 8181-2022")</f>
        <v/>
      </c>
      <c r="X410">
        <f>HYPERLINK("https://klasma.github.io/Logging_0331/tillsyn/A 8181-2022 tillsynsbegäran.docx", "A 8181-2022")</f>
        <v/>
      </c>
      <c r="Y410">
        <f>HYPERLINK("https://klasma.github.io/Logging_0331/tillsynsmail/A 8181-2022 tillsynsbegäran mail.docx", "A 8181-2022")</f>
        <v/>
      </c>
    </row>
    <row r="411" ht="15" customHeight="1">
      <c r="A411" t="inlineStr">
        <is>
          <t>A 8865-2022</t>
        </is>
      </c>
      <c r="B411" s="1" t="n">
        <v>44614</v>
      </c>
      <c r="C411" s="1" t="n">
        <v>45351</v>
      </c>
      <c r="D411" t="inlineStr">
        <is>
          <t>UPPSALA LÄN</t>
        </is>
      </c>
      <c r="E411" t="inlineStr">
        <is>
          <t>UPPSALA</t>
        </is>
      </c>
      <c r="G411" t="n">
        <v>1.1</v>
      </c>
      <c r="H411" t="n">
        <v>0</v>
      </c>
      <c r="I411" t="n">
        <v>1</v>
      </c>
      <c r="J411" t="n">
        <v>0</v>
      </c>
      <c r="K411" t="n">
        <v>0</v>
      </c>
      <c r="L411" t="n">
        <v>0</v>
      </c>
      <c r="M411" t="n">
        <v>0</v>
      </c>
      <c r="N411" t="n">
        <v>0</v>
      </c>
      <c r="O411" t="n">
        <v>0</v>
      </c>
      <c r="P411" t="n">
        <v>0</v>
      </c>
      <c r="Q411" t="n">
        <v>1</v>
      </c>
      <c r="R411" s="2" t="inlineStr">
        <is>
          <t>Narrtagging</t>
        </is>
      </c>
      <c r="S411">
        <f>HYPERLINK("https://klasma.github.io/Logging_0380/artfynd/A 8865-2022 artfynd.xlsx", "A 8865-2022")</f>
        <v/>
      </c>
      <c r="T411">
        <f>HYPERLINK("https://klasma.github.io/Logging_0380/kartor/A 8865-2022 karta.png", "A 8865-2022")</f>
        <v/>
      </c>
      <c r="V411">
        <f>HYPERLINK("https://klasma.github.io/Logging_0380/klagomål/A 8865-2022 FSC-klagomål.docx", "A 8865-2022")</f>
        <v/>
      </c>
      <c r="W411">
        <f>HYPERLINK("https://klasma.github.io/Logging_0380/klagomålsmail/A 8865-2022 FSC-klagomål mail.docx", "A 8865-2022")</f>
        <v/>
      </c>
      <c r="X411">
        <f>HYPERLINK("https://klasma.github.io/Logging_0380/tillsyn/A 8865-2022 tillsynsbegäran.docx", "A 8865-2022")</f>
        <v/>
      </c>
      <c r="Y411">
        <f>HYPERLINK("https://klasma.github.io/Logging_0380/tillsynsmail/A 8865-2022 tillsynsbegäran mail.docx", "A 8865-2022")</f>
        <v/>
      </c>
    </row>
    <row r="412" ht="15" customHeight="1">
      <c r="A412" t="inlineStr">
        <is>
          <t>A 9396-2022</t>
        </is>
      </c>
      <c r="B412" s="1" t="n">
        <v>44616</v>
      </c>
      <c r="C412" s="1" t="n">
        <v>45351</v>
      </c>
      <c r="D412" t="inlineStr">
        <is>
          <t>UPPSALA LÄN</t>
        </is>
      </c>
      <c r="E412" t="inlineStr">
        <is>
          <t>KNIVSTA</t>
        </is>
      </c>
      <c r="F412" t="inlineStr">
        <is>
          <t>Holmen skog AB</t>
        </is>
      </c>
      <c r="G412" t="n">
        <v>5.2</v>
      </c>
      <c r="H412" t="n">
        <v>0</v>
      </c>
      <c r="I412" t="n">
        <v>0</v>
      </c>
      <c r="J412" t="n">
        <v>0</v>
      </c>
      <c r="K412" t="n">
        <v>1</v>
      </c>
      <c r="L412" t="n">
        <v>0</v>
      </c>
      <c r="M412" t="n">
        <v>0</v>
      </c>
      <c r="N412" t="n">
        <v>0</v>
      </c>
      <c r="O412" t="n">
        <v>1</v>
      </c>
      <c r="P412" t="n">
        <v>1</v>
      </c>
      <c r="Q412" t="n">
        <v>1</v>
      </c>
      <c r="R412" s="2" t="inlineStr">
        <is>
          <t>Korkmusslingsmal</t>
        </is>
      </c>
      <c r="S412">
        <f>HYPERLINK("https://klasma.github.io/Logging_0330/artfynd/A 9396-2022 artfynd.xlsx", "A 9396-2022")</f>
        <v/>
      </c>
      <c r="T412">
        <f>HYPERLINK("https://klasma.github.io/Logging_0330/kartor/A 9396-2022 karta.png", "A 9396-2022")</f>
        <v/>
      </c>
      <c r="V412">
        <f>HYPERLINK("https://klasma.github.io/Logging_0330/klagomål/A 9396-2022 FSC-klagomål.docx", "A 9396-2022")</f>
        <v/>
      </c>
      <c r="W412">
        <f>HYPERLINK("https://klasma.github.io/Logging_0330/klagomålsmail/A 9396-2022 FSC-klagomål mail.docx", "A 9396-2022")</f>
        <v/>
      </c>
      <c r="X412">
        <f>HYPERLINK("https://klasma.github.io/Logging_0330/tillsyn/A 9396-2022 tillsynsbegäran.docx", "A 9396-2022")</f>
        <v/>
      </c>
      <c r="Y412">
        <f>HYPERLINK("https://klasma.github.io/Logging_0330/tillsynsmail/A 9396-2022 tillsynsbegäran mail.docx", "A 9396-2022")</f>
        <v/>
      </c>
    </row>
    <row r="413" ht="15" customHeight="1">
      <c r="A413" t="inlineStr">
        <is>
          <t>A 13363-2022</t>
        </is>
      </c>
      <c r="B413" s="1" t="n">
        <v>44645</v>
      </c>
      <c r="C413" s="1" t="n">
        <v>45351</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18588-2022</t>
        </is>
      </c>
      <c r="B414" s="1" t="n">
        <v>44687</v>
      </c>
      <c r="C414" s="1" t="n">
        <v>45351</v>
      </c>
      <c r="D414" t="inlineStr">
        <is>
          <t>UPPSALA LÄN</t>
        </is>
      </c>
      <c r="E414" t="inlineStr">
        <is>
          <t>ENKÖPING</t>
        </is>
      </c>
      <c r="G414" t="n">
        <v>6.7</v>
      </c>
      <c r="H414" t="n">
        <v>1</v>
      </c>
      <c r="I414" t="n">
        <v>0</v>
      </c>
      <c r="J414" t="n">
        <v>0</v>
      </c>
      <c r="K414" t="n">
        <v>1</v>
      </c>
      <c r="L414" t="n">
        <v>0</v>
      </c>
      <c r="M414" t="n">
        <v>0</v>
      </c>
      <c r="N414" t="n">
        <v>0</v>
      </c>
      <c r="O414" t="n">
        <v>1</v>
      </c>
      <c r="P414" t="n">
        <v>1</v>
      </c>
      <c r="Q414" t="n">
        <v>1</v>
      </c>
      <c r="R414" s="2" t="inlineStr">
        <is>
          <t>Bombmurkla</t>
        </is>
      </c>
      <c r="S414">
        <f>HYPERLINK("https://klasma.github.io/Logging_0381/artfynd/A 18588-2022 artfynd.xlsx", "A 18588-2022")</f>
        <v/>
      </c>
      <c r="T414">
        <f>HYPERLINK("https://klasma.github.io/Logging_0381/kartor/A 18588-2022 karta.png", "A 18588-2022")</f>
        <v/>
      </c>
      <c r="V414">
        <f>HYPERLINK("https://klasma.github.io/Logging_0381/klagomål/A 18588-2022 FSC-klagomål.docx", "A 18588-2022")</f>
        <v/>
      </c>
      <c r="W414">
        <f>HYPERLINK("https://klasma.github.io/Logging_0381/klagomålsmail/A 18588-2022 FSC-klagomål mail.docx", "A 18588-2022")</f>
        <v/>
      </c>
      <c r="X414">
        <f>HYPERLINK("https://klasma.github.io/Logging_0381/tillsyn/A 18588-2022 tillsynsbegäran.docx", "A 18588-2022")</f>
        <v/>
      </c>
      <c r="Y414">
        <f>HYPERLINK("https://klasma.github.io/Logging_0381/tillsynsmail/A 18588-2022 tillsynsbegäran mail.docx", "A 18588-2022")</f>
        <v/>
      </c>
    </row>
    <row r="415" ht="15" customHeight="1">
      <c r="A415" t="inlineStr">
        <is>
          <t>A 19376-2022</t>
        </is>
      </c>
      <c r="B415" s="1" t="n">
        <v>44692</v>
      </c>
      <c r="C415" s="1" t="n">
        <v>45351</v>
      </c>
      <c r="D415" t="inlineStr">
        <is>
          <t>UPPSALA LÄN</t>
        </is>
      </c>
      <c r="E415" t="inlineStr">
        <is>
          <t>UPPSALA</t>
        </is>
      </c>
      <c r="F415" t="inlineStr">
        <is>
          <t>Bergvik skog öst AB</t>
        </is>
      </c>
      <c r="G415" t="n">
        <v>6.8</v>
      </c>
      <c r="H415" t="n">
        <v>0</v>
      </c>
      <c r="I415" t="n">
        <v>1</v>
      </c>
      <c r="J415" t="n">
        <v>0</v>
      </c>
      <c r="K415" t="n">
        <v>0</v>
      </c>
      <c r="L415" t="n">
        <v>0</v>
      </c>
      <c r="M415" t="n">
        <v>0</v>
      </c>
      <c r="N415" t="n">
        <v>0</v>
      </c>
      <c r="O415" t="n">
        <v>0</v>
      </c>
      <c r="P415" t="n">
        <v>0</v>
      </c>
      <c r="Q415" t="n">
        <v>1</v>
      </c>
      <c r="R415" s="2" t="inlineStr">
        <is>
          <t>Vårärt</t>
        </is>
      </c>
      <c r="S415">
        <f>HYPERLINK("https://klasma.github.io/Logging_0380/artfynd/A 19376-2022 artfynd.xlsx", "A 19376-2022")</f>
        <v/>
      </c>
      <c r="T415">
        <f>HYPERLINK("https://klasma.github.io/Logging_0380/kartor/A 19376-2022 karta.png", "A 19376-2022")</f>
        <v/>
      </c>
      <c r="V415">
        <f>HYPERLINK("https://klasma.github.io/Logging_0380/klagomål/A 19376-2022 FSC-klagomål.docx", "A 19376-2022")</f>
        <v/>
      </c>
      <c r="W415">
        <f>HYPERLINK("https://klasma.github.io/Logging_0380/klagomålsmail/A 19376-2022 FSC-klagomål mail.docx", "A 19376-2022")</f>
        <v/>
      </c>
      <c r="X415">
        <f>HYPERLINK("https://klasma.github.io/Logging_0380/tillsyn/A 19376-2022 tillsynsbegäran.docx", "A 19376-2022")</f>
        <v/>
      </c>
      <c r="Y415">
        <f>HYPERLINK("https://klasma.github.io/Logging_0380/tillsynsmail/A 19376-2022 tillsynsbegäran mail.docx", "A 19376-2022")</f>
        <v/>
      </c>
    </row>
    <row r="416" ht="15" customHeight="1">
      <c r="A416" t="inlineStr">
        <is>
          <t>A 22209-2022</t>
        </is>
      </c>
      <c r="B416" s="1" t="n">
        <v>44712</v>
      </c>
      <c r="C416" s="1" t="n">
        <v>45351</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22467-2022</t>
        </is>
      </c>
      <c r="B417" s="1" t="n">
        <v>44713</v>
      </c>
      <c r="C417" s="1" t="n">
        <v>45351</v>
      </c>
      <c r="D417" t="inlineStr">
        <is>
          <t>UPPSALA LÄN</t>
        </is>
      </c>
      <c r="E417" t="inlineStr">
        <is>
          <t>KNIVSTA</t>
        </is>
      </c>
      <c r="G417" t="n">
        <v>2</v>
      </c>
      <c r="H417" t="n">
        <v>1</v>
      </c>
      <c r="I417" t="n">
        <v>0</v>
      </c>
      <c r="J417" t="n">
        <v>0</v>
      </c>
      <c r="K417" t="n">
        <v>0</v>
      </c>
      <c r="L417" t="n">
        <v>0</v>
      </c>
      <c r="M417" t="n">
        <v>0</v>
      </c>
      <c r="N417" t="n">
        <v>0</v>
      </c>
      <c r="O417" t="n">
        <v>0</v>
      </c>
      <c r="P417" t="n">
        <v>0</v>
      </c>
      <c r="Q417" t="n">
        <v>1</v>
      </c>
      <c r="R417" s="2" t="inlineStr">
        <is>
          <t>Gullviva</t>
        </is>
      </c>
      <c r="S417">
        <f>HYPERLINK("https://klasma.github.io/Logging_0330/artfynd/A 22467-2022 artfynd.xlsx", "A 22467-2022")</f>
        <v/>
      </c>
      <c r="T417">
        <f>HYPERLINK("https://klasma.github.io/Logging_0330/kartor/A 22467-2022 karta.png", "A 22467-2022")</f>
        <v/>
      </c>
      <c r="V417">
        <f>HYPERLINK("https://klasma.github.io/Logging_0330/klagomål/A 22467-2022 FSC-klagomål.docx", "A 22467-2022")</f>
        <v/>
      </c>
      <c r="W417">
        <f>HYPERLINK("https://klasma.github.io/Logging_0330/klagomålsmail/A 22467-2022 FSC-klagomål mail.docx", "A 22467-2022")</f>
        <v/>
      </c>
      <c r="X417">
        <f>HYPERLINK("https://klasma.github.io/Logging_0330/tillsyn/A 22467-2022 tillsynsbegäran.docx", "A 22467-2022")</f>
        <v/>
      </c>
      <c r="Y417">
        <f>HYPERLINK("https://klasma.github.io/Logging_0330/tillsynsmail/A 22467-2022 tillsynsbegäran mail.docx", "A 22467-2022")</f>
        <v/>
      </c>
    </row>
    <row r="418" ht="15" customHeight="1">
      <c r="A418" t="inlineStr">
        <is>
          <t>A 23961-2022</t>
        </is>
      </c>
      <c r="B418" s="1" t="n">
        <v>44722</v>
      </c>
      <c r="C418" s="1" t="n">
        <v>45351</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Blåsippa</t>
        </is>
      </c>
      <c r="S418">
        <f>HYPERLINK("https://klasma.github.io/Logging_0381/artfynd/A 23961-2022 artfynd.xlsx", "A 23961-2022")</f>
        <v/>
      </c>
      <c r="T418">
        <f>HYPERLINK("https://klasma.github.io/Logging_0381/kartor/A 23961-2022 karta.png", "A 23961-2022")</f>
        <v/>
      </c>
      <c r="V418">
        <f>HYPERLINK("https://klasma.github.io/Logging_0381/klagomål/A 23961-2022 FSC-klagomål.docx", "A 23961-2022")</f>
        <v/>
      </c>
      <c r="W418">
        <f>HYPERLINK("https://klasma.github.io/Logging_0381/klagomålsmail/A 23961-2022 FSC-klagomål mail.docx", "A 23961-2022")</f>
        <v/>
      </c>
      <c r="X418">
        <f>HYPERLINK("https://klasma.github.io/Logging_0381/tillsyn/A 23961-2022 tillsynsbegäran.docx", "A 23961-2022")</f>
        <v/>
      </c>
      <c r="Y418">
        <f>HYPERLINK("https://klasma.github.io/Logging_0381/tillsynsmail/A 23961-2022 tillsynsbegäran mail.docx", "A 23961-2022")</f>
        <v/>
      </c>
    </row>
    <row r="419" ht="15" customHeight="1">
      <c r="A419" t="inlineStr">
        <is>
          <t>A 24797-2022</t>
        </is>
      </c>
      <c r="B419" s="1" t="n">
        <v>44728</v>
      </c>
      <c r="C419" s="1" t="n">
        <v>45351</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row>
    <row r="420" ht="15" customHeight="1">
      <c r="A420" t="inlineStr">
        <is>
          <t>A 25119-2022</t>
        </is>
      </c>
      <c r="B420" s="1" t="n">
        <v>44729</v>
      </c>
      <c r="C420" s="1" t="n">
        <v>45351</v>
      </c>
      <c r="D420" t="inlineStr">
        <is>
          <t>UPPSALA LÄN</t>
        </is>
      </c>
      <c r="E420" t="inlineStr">
        <is>
          <t>UPPSALA</t>
        </is>
      </c>
      <c r="F420" t="inlineStr">
        <is>
          <t>Kommuner</t>
        </is>
      </c>
      <c r="G420" t="n">
        <v>0.9</v>
      </c>
      <c r="H420" t="n">
        <v>0</v>
      </c>
      <c r="I420" t="n">
        <v>1</v>
      </c>
      <c r="J420" t="n">
        <v>0</v>
      </c>
      <c r="K420" t="n">
        <v>0</v>
      </c>
      <c r="L420" t="n">
        <v>0</v>
      </c>
      <c r="M420" t="n">
        <v>0</v>
      </c>
      <c r="N420" t="n">
        <v>0</v>
      </c>
      <c r="O420" t="n">
        <v>0</v>
      </c>
      <c r="P420" t="n">
        <v>0</v>
      </c>
      <c r="Q420" t="n">
        <v>1</v>
      </c>
      <c r="R420" s="2" t="inlineStr">
        <is>
          <t>Stor aspticka</t>
        </is>
      </c>
      <c r="S420">
        <f>HYPERLINK("https://klasma.github.io/Logging_0380/artfynd/A 25119-2022 artfynd.xlsx", "A 25119-2022")</f>
        <v/>
      </c>
      <c r="T420">
        <f>HYPERLINK("https://klasma.github.io/Logging_0380/kartor/A 25119-2022 karta.png", "A 25119-2022")</f>
        <v/>
      </c>
      <c r="V420">
        <f>HYPERLINK("https://klasma.github.io/Logging_0380/klagomål/A 25119-2022 FSC-klagomål.docx", "A 25119-2022")</f>
        <v/>
      </c>
      <c r="W420">
        <f>HYPERLINK("https://klasma.github.io/Logging_0380/klagomålsmail/A 25119-2022 FSC-klagomål mail.docx", "A 25119-2022")</f>
        <v/>
      </c>
      <c r="X420">
        <f>HYPERLINK("https://klasma.github.io/Logging_0380/tillsyn/A 25119-2022 tillsynsbegäran.docx", "A 25119-2022")</f>
        <v/>
      </c>
      <c r="Y420">
        <f>HYPERLINK("https://klasma.github.io/Logging_0380/tillsynsmail/A 25119-2022 tillsynsbegäran mail.docx", "A 25119-2022")</f>
        <v/>
      </c>
    </row>
    <row r="421" ht="15" customHeight="1">
      <c r="A421" t="inlineStr">
        <is>
          <t>A 27451-2022</t>
        </is>
      </c>
      <c r="B421" s="1" t="n">
        <v>44742</v>
      </c>
      <c r="C421" s="1" t="n">
        <v>45351</v>
      </c>
      <c r="D421" t="inlineStr">
        <is>
          <t>UPPSALA LÄN</t>
        </is>
      </c>
      <c r="E421" t="inlineStr">
        <is>
          <t>ÖSTHAMMAR</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HYPERLINK("https://klasma.github.io/Logging_0382/artfynd/A 27451-2022 artfynd.xlsx", "A 27451-2022")</f>
        <v/>
      </c>
      <c r="T421">
        <f>HYPERLINK("https://klasma.github.io/Logging_0382/kartor/A 27451-2022 karta.png", "A 27451-2022")</f>
        <v/>
      </c>
      <c r="V421">
        <f>HYPERLINK("https://klasma.github.io/Logging_0382/klagomål/A 27451-2022 FSC-klagomål.docx", "A 27451-2022")</f>
        <v/>
      </c>
      <c r="W421">
        <f>HYPERLINK("https://klasma.github.io/Logging_0382/klagomålsmail/A 27451-2022 FSC-klagomål mail.docx", "A 27451-2022")</f>
        <v/>
      </c>
      <c r="X421">
        <f>HYPERLINK("https://klasma.github.io/Logging_0382/tillsyn/A 27451-2022 tillsynsbegäran.docx", "A 27451-2022")</f>
        <v/>
      </c>
      <c r="Y421">
        <f>HYPERLINK("https://klasma.github.io/Logging_0382/tillsynsmail/A 27451-2022 tillsynsbegäran mail.docx", "A 27451-2022")</f>
        <v/>
      </c>
    </row>
    <row r="422" ht="15" customHeight="1">
      <c r="A422" t="inlineStr">
        <is>
          <t>A 29748-2022</t>
        </is>
      </c>
      <c r="B422" s="1" t="n">
        <v>44755</v>
      </c>
      <c r="C422" s="1" t="n">
        <v>45351</v>
      </c>
      <c r="D422" t="inlineStr">
        <is>
          <t>UPPSALA LÄN</t>
        </is>
      </c>
      <c r="E422" t="inlineStr">
        <is>
          <t>ÄLVKARLEBY</t>
        </is>
      </c>
      <c r="F422" t="inlineStr">
        <is>
          <t>Bergvik skog väst AB</t>
        </is>
      </c>
      <c r="G422" t="n">
        <v>2</v>
      </c>
      <c r="H422" t="n">
        <v>0</v>
      </c>
      <c r="I422" t="n">
        <v>0</v>
      </c>
      <c r="J422" t="n">
        <v>0</v>
      </c>
      <c r="K422" t="n">
        <v>0</v>
      </c>
      <c r="L422" t="n">
        <v>1</v>
      </c>
      <c r="M422" t="n">
        <v>0</v>
      </c>
      <c r="N422" t="n">
        <v>0</v>
      </c>
      <c r="O422" t="n">
        <v>1</v>
      </c>
      <c r="P422" t="n">
        <v>1</v>
      </c>
      <c r="Q422" t="n">
        <v>1</v>
      </c>
      <c r="R422" s="2" t="inlineStr">
        <is>
          <t>Stor bockrot</t>
        </is>
      </c>
      <c r="S422">
        <f>HYPERLINK("https://klasma.github.io/Logging_0319/artfynd/A 29748-2022 artfynd.xlsx", "A 29748-2022")</f>
        <v/>
      </c>
      <c r="T422">
        <f>HYPERLINK("https://klasma.github.io/Logging_0319/kartor/A 29748-2022 karta.png", "A 29748-2022")</f>
        <v/>
      </c>
      <c r="V422">
        <f>HYPERLINK("https://klasma.github.io/Logging_0319/klagomål/A 29748-2022 FSC-klagomål.docx", "A 29748-2022")</f>
        <v/>
      </c>
      <c r="W422">
        <f>HYPERLINK("https://klasma.github.io/Logging_0319/klagomålsmail/A 29748-2022 FSC-klagomål mail.docx", "A 29748-2022")</f>
        <v/>
      </c>
      <c r="X422">
        <f>HYPERLINK("https://klasma.github.io/Logging_0319/tillsyn/A 29748-2022 tillsynsbegäran.docx", "A 29748-2022")</f>
        <v/>
      </c>
      <c r="Y422">
        <f>HYPERLINK("https://klasma.github.io/Logging_0319/tillsynsmail/A 29748-2022 tillsynsbegäran mail.docx", "A 29748-2022")</f>
        <v/>
      </c>
    </row>
    <row r="423" ht="15" customHeight="1">
      <c r="A423" t="inlineStr">
        <is>
          <t>A 33375-2022</t>
        </is>
      </c>
      <c r="B423" s="1" t="n">
        <v>44788</v>
      </c>
      <c r="C423" s="1" t="n">
        <v>45351</v>
      </c>
      <c r="D423" t="inlineStr">
        <is>
          <t>UPPSALA LÄN</t>
        </is>
      </c>
      <c r="E423" t="inlineStr">
        <is>
          <t>TIERP</t>
        </is>
      </c>
      <c r="G423" t="n">
        <v>4.7</v>
      </c>
      <c r="H423" t="n">
        <v>0</v>
      </c>
      <c r="I423" t="n">
        <v>0</v>
      </c>
      <c r="J423" t="n">
        <v>0</v>
      </c>
      <c r="K423" t="n">
        <v>0</v>
      </c>
      <c r="L423" t="n">
        <v>1</v>
      </c>
      <c r="M423" t="n">
        <v>0</v>
      </c>
      <c r="N423" t="n">
        <v>0</v>
      </c>
      <c r="O423" t="n">
        <v>1</v>
      </c>
      <c r="P423" t="n">
        <v>1</v>
      </c>
      <c r="Q423" t="n">
        <v>1</v>
      </c>
      <c r="R423" s="2" t="inlineStr">
        <is>
          <t>Fältgentiana</t>
        </is>
      </c>
      <c r="S423">
        <f>HYPERLINK("https://klasma.github.io/Logging_0360/artfynd/A 33375-2022 artfynd.xlsx", "A 33375-2022")</f>
        <v/>
      </c>
      <c r="T423">
        <f>HYPERLINK("https://klasma.github.io/Logging_0360/kartor/A 33375-2022 karta.png", "A 33375-2022")</f>
        <v/>
      </c>
      <c r="V423">
        <f>HYPERLINK("https://klasma.github.io/Logging_0360/klagomål/A 33375-2022 FSC-klagomål.docx", "A 33375-2022")</f>
        <v/>
      </c>
      <c r="W423">
        <f>HYPERLINK("https://klasma.github.io/Logging_0360/klagomålsmail/A 33375-2022 FSC-klagomål mail.docx", "A 33375-2022")</f>
        <v/>
      </c>
      <c r="X423">
        <f>HYPERLINK("https://klasma.github.io/Logging_0360/tillsyn/A 33375-2022 tillsynsbegäran.docx", "A 33375-2022")</f>
        <v/>
      </c>
      <c r="Y423">
        <f>HYPERLINK("https://klasma.github.io/Logging_0360/tillsynsmail/A 33375-2022 tillsynsbegäran mail.docx", "A 33375-2022")</f>
        <v/>
      </c>
    </row>
    <row r="424" ht="15" customHeight="1">
      <c r="A424" t="inlineStr">
        <is>
          <t>A 34974-2022</t>
        </is>
      </c>
      <c r="B424" s="1" t="n">
        <v>44796</v>
      </c>
      <c r="C424" s="1" t="n">
        <v>45351</v>
      </c>
      <c r="D424" t="inlineStr">
        <is>
          <t>UPPSALA LÄN</t>
        </is>
      </c>
      <c r="E424" t="inlineStr">
        <is>
          <t>ÖSTHAMMAR</t>
        </is>
      </c>
      <c r="F424" t="inlineStr">
        <is>
          <t>Bergvik skog öst AB</t>
        </is>
      </c>
      <c r="G424" t="n">
        <v>19.4</v>
      </c>
      <c r="H424" t="n">
        <v>1</v>
      </c>
      <c r="I424" t="n">
        <v>0</v>
      </c>
      <c r="J424" t="n">
        <v>0</v>
      </c>
      <c r="K424" t="n">
        <v>0</v>
      </c>
      <c r="L424" t="n">
        <v>0</v>
      </c>
      <c r="M424" t="n">
        <v>0</v>
      </c>
      <c r="N424" t="n">
        <v>0</v>
      </c>
      <c r="O424" t="n">
        <v>0</v>
      </c>
      <c r="P424" t="n">
        <v>0</v>
      </c>
      <c r="Q424" t="n">
        <v>1</v>
      </c>
      <c r="R424" s="2" t="inlineStr">
        <is>
          <t>Kopparödla</t>
        </is>
      </c>
      <c r="S424">
        <f>HYPERLINK("https://klasma.github.io/Logging_0382/artfynd/A 34974-2022 artfynd.xlsx", "A 34974-2022")</f>
        <v/>
      </c>
      <c r="T424">
        <f>HYPERLINK("https://klasma.github.io/Logging_0382/kartor/A 34974-2022 karta.png", "A 34974-2022")</f>
        <v/>
      </c>
      <c r="V424">
        <f>HYPERLINK("https://klasma.github.io/Logging_0382/klagomål/A 34974-2022 FSC-klagomål.docx", "A 34974-2022")</f>
        <v/>
      </c>
      <c r="W424">
        <f>HYPERLINK("https://klasma.github.io/Logging_0382/klagomålsmail/A 34974-2022 FSC-klagomål mail.docx", "A 34974-2022")</f>
        <v/>
      </c>
      <c r="X424">
        <f>HYPERLINK("https://klasma.github.io/Logging_0382/tillsyn/A 34974-2022 tillsynsbegäran.docx", "A 34974-2022")</f>
        <v/>
      </c>
      <c r="Y424">
        <f>HYPERLINK("https://klasma.github.io/Logging_0382/tillsynsmail/A 34974-2022 tillsynsbegäran mail.docx", "A 34974-2022")</f>
        <v/>
      </c>
    </row>
    <row r="425" ht="15" customHeight="1">
      <c r="A425" t="inlineStr">
        <is>
          <t>A 36849-2022</t>
        </is>
      </c>
      <c r="B425" s="1" t="n">
        <v>44805</v>
      </c>
      <c r="C425" s="1" t="n">
        <v>45351</v>
      </c>
      <c r="D425" t="inlineStr">
        <is>
          <t>UPPSALA LÄN</t>
        </is>
      </c>
      <c r="E425" t="inlineStr">
        <is>
          <t>HEBY</t>
        </is>
      </c>
      <c r="G425" t="n">
        <v>3.5</v>
      </c>
      <c r="H425" t="n">
        <v>0</v>
      </c>
      <c r="I425" t="n">
        <v>1</v>
      </c>
      <c r="J425" t="n">
        <v>0</v>
      </c>
      <c r="K425" t="n">
        <v>0</v>
      </c>
      <c r="L425" t="n">
        <v>0</v>
      </c>
      <c r="M425" t="n">
        <v>0</v>
      </c>
      <c r="N425" t="n">
        <v>0</v>
      </c>
      <c r="O425" t="n">
        <v>0</v>
      </c>
      <c r="P425" t="n">
        <v>0</v>
      </c>
      <c r="Q425" t="n">
        <v>1</v>
      </c>
      <c r="R425" s="2" t="inlineStr">
        <is>
          <t>Granbarkgnagare</t>
        </is>
      </c>
      <c r="S425">
        <f>HYPERLINK("https://klasma.github.io/Logging_0331/artfynd/A 36849-2022 artfynd.xlsx", "A 36849-2022")</f>
        <v/>
      </c>
      <c r="T425">
        <f>HYPERLINK("https://klasma.github.io/Logging_0331/kartor/A 36849-2022 karta.png", "A 36849-2022")</f>
        <v/>
      </c>
      <c r="V425">
        <f>HYPERLINK("https://klasma.github.io/Logging_0331/klagomål/A 36849-2022 FSC-klagomål.docx", "A 36849-2022")</f>
        <v/>
      </c>
      <c r="W425">
        <f>HYPERLINK("https://klasma.github.io/Logging_0331/klagomålsmail/A 36849-2022 FSC-klagomål mail.docx", "A 36849-2022")</f>
        <v/>
      </c>
      <c r="X425">
        <f>HYPERLINK("https://klasma.github.io/Logging_0331/tillsyn/A 36849-2022 tillsynsbegäran.docx", "A 36849-2022")</f>
        <v/>
      </c>
      <c r="Y425">
        <f>HYPERLINK("https://klasma.github.io/Logging_0331/tillsynsmail/A 36849-2022 tillsynsbegäran mail.docx", "A 36849-2022")</f>
        <v/>
      </c>
    </row>
    <row r="426" ht="15" customHeight="1">
      <c r="A426" t="inlineStr">
        <is>
          <t>A 40362-2022</t>
        </is>
      </c>
      <c r="B426" s="1" t="n">
        <v>44823</v>
      </c>
      <c r="C426" s="1" t="n">
        <v>45351</v>
      </c>
      <c r="D426" t="inlineStr">
        <is>
          <t>UPPSALA LÄN</t>
        </is>
      </c>
      <c r="E426" t="inlineStr">
        <is>
          <t>TIERP</t>
        </is>
      </c>
      <c r="F426" t="inlineStr">
        <is>
          <t>Bergvik skog väst AB</t>
        </is>
      </c>
      <c r="G426" t="n">
        <v>18.5</v>
      </c>
      <c r="H426" t="n">
        <v>1</v>
      </c>
      <c r="I426" t="n">
        <v>0</v>
      </c>
      <c r="J426" t="n">
        <v>0</v>
      </c>
      <c r="K426" t="n">
        <v>0</v>
      </c>
      <c r="L426" t="n">
        <v>0</v>
      </c>
      <c r="M426" t="n">
        <v>0</v>
      </c>
      <c r="N426" t="n">
        <v>0</v>
      </c>
      <c r="O426" t="n">
        <v>0</v>
      </c>
      <c r="P426" t="n">
        <v>0</v>
      </c>
      <c r="Q426" t="n">
        <v>1</v>
      </c>
      <c r="R426" s="2" t="inlineStr">
        <is>
          <t>Fläcknycklar</t>
        </is>
      </c>
      <c r="S426">
        <f>HYPERLINK("https://klasma.github.io/Logging_0360/artfynd/A 40362-2022 artfynd.xlsx", "A 40362-2022")</f>
        <v/>
      </c>
      <c r="T426">
        <f>HYPERLINK("https://klasma.github.io/Logging_0360/kartor/A 40362-2022 karta.png", "A 40362-2022")</f>
        <v/>
      </c>
      <c r="V426">
        <f>HYPERLINK("https://klasma.github.io/Logging_0360/klagomål/A 40362-2022 FSC-klagomål.docx", "A 40362-2022")</f>
        <v/>
      </c>
      <c r="W426">
        <f>HYPERLINK("https://klasma.github.io/Logging_0360/klagomålsmail/A 40362-2022 FSC-klagomål mail.docx", "A 40362-2022")</f>
        <v/>
      </c>
      <c r="X426">
        <f>HYPERLINK("https://klasma.github.io/Logging_0360/tillsyn/A 40362-2022 tillsynsbegäran.docx", "A 40362-2022")</f>
        <v/>
      </c>
      <c r="Y426">
        <f>HYPERLINK("https://klasma.github.io/Logging_0360/tillsynsmail/A 40362-2022 tillsynsbegäran mail.docx", "A 40362-2022")</f>
        <v/>
      </c>
    </row>
    <row r="427" ht="15" customHeight="1">
      <c r="A427" t="inlineStr">
        <is>
          <t>A 45536-2022</t>
        </is>
      </c>
      <c r="B427" s="1" t="n">
        <v>44845</v>
      </c>
      <c r="C427" s="1" t="n">
        <v>45351</v>
      </c>
      <c r="D427" t="inlineStr">
        <is>
          <t>UPPSALA LÄN</t>
        </is>
      </c>
      <c r="E427" t="inlineStr">
        <is>
          <t>TIERP</t>
        </is>
      </c>
      <c r="F427" t="inlineStr">
        <is>
          <t>Bergvik skog öst AB</t>
        </is>
      </c>
      <c r="G427" t="n">
        <v>0.5</v>
      </c>
      <c r="H427" t="n">
        <v>0</v>
      </c>
      <c r="I427" t="n">
        <v>1</v>
      </c>
      <c r="J427" t="n">
        <v>0</v>
      </c>
      <c r="K427" t="n">
        <v>0</v>
      </c>
      <c r="L427" t="n">
        <v>0</v>
      </c>
      <c r="M427" t="n">
        <v>0</v>
      </c>
      <c r="N427" t="n">
        <v>0</v>
      </c>
      <c r="O427" t="n">
        <v>0</v>
      </c>
      <c r="P427" t="n">
        <v>0</v>
      </c>
      <c r="Q427" t="n">
        <v>1</v>
      </c>
      <c r="R427" s="2" t="inlineStr">
        <is>
          <t>Ögonpyrola</t>
        </is>
      </c>
      <c r="S427">
        <f>HYPERLINK("https://klasma.github.io/Logging_0360/artfynd/A 45536-2022 artfynd.xlsx", "A 45536-2022")</f>
        <v/>
      </c>
      <c r="T427">
        <f>HYPERLINK("https://klasma.github.io/Logging_0360/kartor/A 45536-2022 karta.png", "A 45536-2022")</f>
        <v/>
      </c>
      <c r="V427">
        <f>HYPERLINK("https://klasma.github.io/Logging_0360/klagomål/A 45536-2022 FSC-klagomål.docx", "A 45536-2022")</f>
        <v/>
      </c>
      <c r="W427">
        <f>HYPERLINK("https://klasma.github.io/Logging_0360/klagomålsmail/A 45536-2022 FSC-klagomål mail.docx", "A 45536-2022")</f>
        <v/>
      </c>
      <c r="X427">
        <f>HYPERLINK("https://klasma.github.io/Logging_0360/tillsyn/A 45536-2022 tillsynsbegäran.docx", "A 45536-2022")</f>
        <v/>
      </c>
      <c r="Y427">
        <f>HYPERLINK("https://klasma.github.io/Logging_0360/tillsynsmail/A 45536-2022 tillsynsbegäran mail.docx", "A 45536-2022")</f>
        <v/>
      </c>
    </row>
    <row r="428" ht="15" customHeight="1">
      <c r="A428" t="inlineStr">
        <is>
          <t>A 46086-2022</t>
        </is>
      </c>
      <c r="B428" s="1" t="n">
        <v>44847</v>
      </c>
      <c r="C428" s="1" t="n">
        <v>45351</v>
      </c>
      <c r="D428" t="inlineStr">
        <is>
          <t>UPPSALA LÄN</t>
        </is>
      </c>
      <c r="E428" t="inlineStr">
        <is>
          <t>HEBY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HYPERLINK("https://klasma.github.io/Logging_0331/artfynd/A 46086-2022 artfynd.xlsx", "A 46086-2022")</f>
        <v/>
      </c>
      <c r="T428">
        <f>HYPERLINK("https://klasma.github.io/Logging_0331/kartor/A 46086-2022 karta.png", "A 46086-2022")</f>
        <v/>
      </c>
      <c r="U428">
        <f>HYPERLINK("https://klasma.github.io/Logging_0331/knärot/A 46086-2022 karta knärot.png", "A 46086-2022")</f>
        <v/>
      </c>
      <c r="V428">
        <f>HYPERLINK("https://klasma.github.io/Logging_0331/klagomål/A 46086-2022 FSC-klagomål.docx", "A 46086-2022")</f>
        <v/>
      </c>
      <c r="W428">
        <f>HYPERLINK("https://klasma.github.io/Logging_0331/klagomålsmail/A 46086-2022 FSC-klagomål mail.docx", "A 46086-2022")</f>
        <v/>
      </c>
      <c r="X428">
        <f>HYPERLINK("https://klasma.github.io/Logging_0331/tillsyn/A 46086-2022 tillsynsbegäran.docx", "A 46086-2022")</f>
        <v/>
      </c>
      <c r="Y428">
        <f>HYPERLINK("https://klasma.github.io/Logging_0331/tillsynsmail/A 46086-2022 tillsynsbegäran mail.docx", "A 46086-2022")</f>
        <v/>
      </c>
    </row>
    <row r="429" ht="15" customHeight="1">
      <c r="A429" t="inlineStr">
        <is>
          <t>A 46634-2022</t>
        </is>
      </c>
      <c r="B429" s="1" t="n">
        <v>44849</v>
      </c>
      <c r="C429" s="1" t="n">
        <v>45351</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47425-2022</t>
        </is>
      </c>
      <c r="B430" s="1" t="n">
        <v>44851</v>
      </c>
      <c r="C430" s="1" t="n">
        <v>45351</v>
      </c>
      <c r="D430" t="inlineStr">
        <is>
          <t>UPPSALA LÄN</t>
        </is>
      </c>
      <c r="E430" t="inlineStr">
        <is>
          <t>HÅBO</t>
        </is>
      </c>
      <c r="G430" t="n">
        <v>1.7</v>
      </c>
      <c r="H430" t="n">
        <v>0</v>
      </c>
      <c r="I430" t="n">
        <v>1</v>
      </c>
      <c r="J430" t="n">
        <v>0</v>
      </c>
      <c r="K430" t="n">
        <v>0</v>
      </c>
      <c r="L430" t="n">
        <v>0</v>
      </c>
      <c r="M430" t="n">
        <v>0</v>
      </c>
      <c r="N430" t="n">
        <v>0</v>
      </c>
      <c r="O430" t="n">
        <v>0</v>
      </c>
      <c r="P430" t="n">
        <v>0</v>
      </c>
      <c r="Q430" t="n">
        <v>1</v>
      </c>
      <c r="R430" s="2" t="inlineStr">
        <is>
          <t>Strimspindling</t>
        </is>
      </c>
      <c r="S430">
        <f>HYPERLINK("https://klasma.github.io/Logging_0305/artfynd/A 47425-2022 artfynd.xlsx", "A 47425-2022")</f>
        <v/>
      </c>
      <c r="T430">
        <f>HYPERLINK("https://klasma.github.io/Logging_0305/kartor/A 47425-2022 karta.png", "A 47425-2022")</f>
        <v/>
      </c>
      <c r="V430">
        <f>HYPERLINK("https://klasma.github.io/Logging_0305/klagomål/A 47425-2022 FSC-klagomål.docx", "A 47425-2022")</f>
        <v/>
      </c>
      <c r="W430">
        <f>HYPERLINK("https://klasma.github.io/Logging_0305/klagomålsmail/A 47425-2022 FSC-klagomål mail.docx", "A 47425-2022")</f>
        <v/>
      </c>
      <c r="X430">
        <f>HYPERLINK("https://klasma.github.io/Logging_0305/tillsyn/A 47425-2022 tillsynsbegäran.docx", "A 47425-2022")</f>
        <v/>
      </c>
      <c r="Y430">
        <f>HYPERLINK("https://klasma.github.io/Logging_0305/tillsynsmail/A 47425-2022 tillsynsbegäran mail.docx", "A 47425-2022")</f>
        <v/>
      </c>
    </row>
    <row r="431" ht="15" customHeight="1">
      <c r="A431" t="inlineStr">
        <is>
          <t>A 47227-2022</t>
        </is>
      </c>
      <c r="B431" s="1" t="n">
        <v>44852</v>
      </c>
      <c r="C431" s="1" t="n">
        <v>45351</v>
      </c>
      <c r="D431" t="inlineStr">
        <is>
          <t>UPPSALA LÄN</t>
        </is>
      </c>
      <c r="E431" t="inlineStr">
        <is>
          <t>TIERP</t>
        </is>
      </c>
      <c r="G431" t="n">
        <v>5.9</v>
      </c>
      <c r="H431" t="n">
        <v>1</v>
      </c>
      <c r="I431" t="n">
        <v>1</v>
      </c>
      <c r="J431" t="n">
        <v>0</v>
      </c>
      <c r="K431" t="n">
        <v>0</v>
      </c>
      <c r="L431" t="n">
        <v>0</v>
      </c>
      <c r="M431" t="n">
        <v>0</v>
      </c>
      <c r="N431" t="n">
        <v>0</v>
      </c>
      <c r="O431" t="n">
        <v>0</v>
      </c>
      <c r="P431" t="n">
        <v>0</v>
      </c>
      <c r="Q431" t="n">
        <v>1</v>
      </c>
      <c r="R431" s="2" t="inlineStr">
        <is>
          <t>Nästrot</t>
        </is>
      </c>
      <c r="S431">
        <f>HYPERLINK("https://klasma.github.io/Logging_0360/artfynd/A 47227-2022 artfynd.xlsx", "A 47227-2022")</f>
        <v/>
      </c>
      <c r="T431">
        <f>HYPERLINK("https://klasma.github.io/Logging_0360/kartor/A 47227-2022 karta.png", "A 47227-2022")</f>
        <v/>
      </c>
      <c r="V431">
        <f>HYPERLINK("https://klasma.github.io/Logging_0360/klagomål/A 47227-2022 FSC-klagomål.docx", "A 47227-2022")</f>
        <v/>
      </c>
      <c r="W431">
        <f>HYPERLINK("https://klasma.github.io/Logging_0360/klagomålsmail/A 47227-2022 FSC-klagomål mail.docx", "A 47227-2022")</f>
        <v/>
      </c>
      <c r="X431">
        <f>HYPERLINK("https://klasma.github.io/Logging_0360/tillsyn/A 47227-2022 tillsynsbegäran.docx", "A 47227-2022")</f>
        <v/>
      </c>
      <c r="Y431">
        <f>HYPERLINK("https://klasma.github.io/Logging_0360/tillsynsmail/A 47227-2022 tillsynsbegäran mail.docx", "A 47227-2022")</f>
        <v/>
      </c>
    </row>
    <row r="432" ht="15" customHeight="1">
      <c r="A432" t="inlineStr">
        <is>
          <t>A 49015-2022</t>
        </is>
      </c>
      <c r="B432" s="1" t="n">
        <v>44855</v>
      </c>
      <c r="C432" s="1" t="n">
        <v>45351</v>
      </c>
      <c r="D432" t="inlineStr">
        <is>
          <t>UPPSALA LÄN</t>
        </is>
      </c>
      <c r="E432" t="inlineStr">
        <is>
          <t>UPPSALA</t>
        </is>
      </c>
      <c r="F432" t="inlineStr">
        <is>
          <t>Kommuner</t>
        </is>
      </c>
      <c r="G432" t="n">
        <v>4.5</v>
      </c>
      <c r="H432" t="n">
        <v>0</v>
      </c>
      <c r="I432" t="n">
        <v>0</v>
      </c>
      <c r="J432" t="n">
        <v>1</v>
      </c>
      <c r="K432" t="n">
        <v>0</v>
      </c>
      <c r="L432" t="n">
        <v>0</v>
      </c>
      <c r="M432" t="n">
        <v>0</v>
      </c>
      <c r="N432" t="n">
        <v>0</v>
      </c>
      <c r="O432" t="n">
        <v>1</v>
      </c>
      <c r="P432" t="n">
        <v>0</v>
      </c>
      <c r="Q432" t="n">
        <v>1</v>
      </c>
      <c r="R432" s="2" t="inlineStr">
        <is>
          <t>Harticka</t>
        </is>
      </c>
      <c r="S432">
        <f>HYPERLINK("https://klasma.github.io/Logging_0380/artfynd/A 49015-2022 artfynd.xlsx", "A 49015-2022")</f>
        <v/>
      </c>
      <c r="T432">
        <f>HYPERLINK("https://klasma.github.io/Logging_0380/kartor/A 49015-2022 karta.png", "A 49015-2022")</f>
        <v/>
      </c>
      <c r="V432">
        <f>HYPERLINK("https://klasma.github.io/Logging_0380/klagomål/A 49015-2022 FSC-klagomål.docx", "A 49015-2022")</f>
        <v/>
      </c>
      <c r="W432">
        <f>HYPERLINK("https://klasma.github.io/Logging_0380/klagomålsmail/A 49015-2022 FSC-klagomål mail.docx", "A 49015-2022")</f>
        <v/>
      </c>
      <c r="X432">
        <f>HYPERLINK("https://klasma.github.io/Logging_0380/tillsyn/A 49015-2022 tillsynsbegäran.docx", "A 49015-2022")</f>
        <v/>
      </c>
      <c r="Y432">
        <f>HYPERLINK("https://klasma.github.io/Logging_0380/tillsynsmail/A 49015-2022 tillsynsbegäran mail.docx", "A 49015-2022")</f>
        <v/>
      </c>
    </row>
    <row r="433" ht="15" customHeight="1">
      <c r="A433" t="inlineStr">
        <is>
          <t>A 52648-2022</t>
        </is>
      </c>
      <c r="B433" s="1" t="n">
        <v>44874</v>
      </c>
      <c r="C433" s="1" t="n">
        <v>45351</v>
      </c>
      <c r="D433" t="inlineStr">
        <is>
          <t>UPPSALA LÄN</t>
        </is>
      </c>
      <c r="E433" t="inlineStr">
        <is>
          <t>ÖSTHAMMAR</t>
        </is>
      </c>
      <c r="F433" t="inlineStr">
        <is>
          <t>Bergvik skog öst AB</t>
        </is>
      </c>
      <c r="G433" t="n">
        <v>2.3</v>
      </c>
      <c r="H433" t="n">
        <v>1</v>
      </c>
      <c r="I433" t="n">
        <v>0</v>
      </c>
      <c r="J433" t="n">
        <v>1</v>
      </c>
      <c r="K433" t="n">
        <v>0</v>
      </c>
      <c r="L433" t="n">
        <v>0</v>
      </c>
      <c r="M433" t="n">
        <v>0</v>
      </c>
      <c r="N433" t="n">
        <v>0</v>
      </c>
      <c r="O433" t="n">
        <v>1</v>
      </c>
      <c r="P433" t="n">
        <v>0</v>
      </c>
      <c r="Q433" t="n">
        <v>1</v>
      </c>
      <c r="R433" s="2" t="inlineStr">
        <is>
          <t>Buskskvätta</t>
        </is>
      </c>
      <c r="S433">
        <f>HYPERLINK("https://klasma.github.io/Logging_0382/artfynd/A 52648-2022 artfynd.xlsx", "A 52648-2022")</f>
        <v/>
      </c>
      <c r="T433">
        <f>HYPERLINK("https://klasma.github.io/Logging_0382/kartor/A 52648-2022 karta.png", "A 52648-2022")</f>
        <v/>
      </c>
      <c r="V433">
        <f>HYPERLINK("https://klasma.github.io/Logging_0382/klagomål/A 52648-2022 FSC-klagomål.docx", "A 52648-2022")</f>
        <v/>
      </c>
      <c r="W433">
        <f>HYPERLINK("https://klasma.github.io/Logging_0382/klagomålsmail/A 52648-2022 FSC-klagomål mail.docx", "A 52648-2022")</f>
        <v/>
      </c>
      <c r="X433">
        <f>HYPERLINK("https://klasma.github.io/Logging_0382/tillsyn/A 52648-2022 tillsynsbegäran.docx", "A 52648-2022")</f>
        <v/>
      </c>
      <c r="Y433">
        <f>HYPERLINK("https://klasma.github.io/Logging_0382/tillsynsmail/A 52648-2022 tillsynsbegäran mail.docx", "A 52648-2022")</f>
        <v/>
      </c>
    </row>
    <row r="434" ht="15" customHeight="1">
      <c r="A434" t="inlineStr">
        <is>
          <t>A 52651-2022</t>
        </is>
      </c>
      <c r="B434" s="1" t="n">
        <v>44874</v>
      </c>
      <c r="C434" s="1" t="n">
        <v>45351</v>
      </c>
      <c r="D434" t="inlineStr">
        <is>
          <t>UPPSALA LÄN</t>
        </is>
      </c>
      <c r="E434" t="inlineStr">
        <is>
          <t>ÖSTHAMMAR</t>
        </is>
      </c>
      <c r="F434" t="inlineStr">
        <is>
          <t>Bergvik skog öst AB</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HYPERLINK("https://klasma.github.io/Logging_0382/artfynd/A 52651-2022 artfynd.xlsx", "A 52651-2022")</f>
        <v/>
      </c>
      <c r="T434">
        <f>HYPERLINK("https://klasma.github.io/Logging_0382/kartor/A 52651-2022 karta.png", "A 52651-2022")</f>
        <v/>
      </c>
      <c r="V434">
        <f>HYPERLINK("https://klasma.github.io/Logging_0382/klagomål/A 52651-2022 FSC-klagomål.docx", "A 52651-2022")</f>
        <v/>
      </c>
      <c r="W434">
        <f>HYPERLINK("https://klasma.github.io/Logging_0382/klagomålsmail/A 52651-2022 FSC-klagomål mail.docx", "A 52651-2022")</f>
        <v/>
      </c>
      <c r="X434">
        <f>HYPERLINK("https://klasma.github.io/Logging_0382/tillsyn/A 52651-2022 tillsynsbegäran.docx", "A 52651-2022")</f>
        <v/>
      </c>
      <c r="Y434">
        <f>HYPERLINK("https://klasma.github.io/Logging_0382/tillsynsmail/A 52651-2022 tillsynsbegäran mail.docx", "A 52651-2022")</f>
        <v/>
      </c>
    </row>
    <row r="435" ht="15" customHeight="1">
      <c r="A435" t="inlineStr">
        <is>
          <t>A 52818-2022</t>
        </is>
      </c>
      <c r="B435" s="1" t="n">
        <v>44875</v>
      </c>
      <c r="C435" s="1" t="n">
        <v>45351</v>
      </c>
      <c r="D435" t="inlineStr">
        <is>
          <t>UPPSALA LÄN</t>
        </is>
      </c>
      <c r="E435" t="inlineStr">
        <is>
          <t>ÖSTHAMMAR</t>
        </is>
      </c>
      <c r="G435" t="n">
        <v>0.9</v>
      </c>
      <c r="H435" t="n">
        <v>1</v>
      </c>
      <c r="I435" t="n">
        <v>1</v>
      </c>
      <c r="J435" t="n">
        <v>0</v>
      </c>
      <c r="K435" t="n">
        <v>0</v>
      </c>
      <c r="L435" t="n">
        <v>0</v>
      </c>
      <c r="M435" t="n">
        <v>0</v>
      </c>
      <c r="N435" t="n">
        <v>0</v>
      </c>
      <c r="O435" t="n">
        <v>0</v>
      </c>
      <c r="P435" t="n">
        <v>0</v>
      </c>
      <c r="Q435" t="n">
        <v>1</v>
      </c>
      <c r="R435" s="2" t="inlineStr">
        <is>
          <t>Guckusko</t>
        </is>
      </c>
      <c r="S435">
        <f>HYPERLINK("https://klasma.github.io/Logging_0382/artfynd/A 52818-2022 artfynd.xlsx", "A 52818-2022")</f>
        <v/>
      </c>
      <c r="T435">
        <f>HYPERLINK("https://klasma.github.io/Logging_0382/kartor/A 52818-2022 karta.png", "A 52818-2022")</f>
        <v/>
      </c>
      <c r="V435">
        <f>HYPERLINK("https://klasma.github.io/Logging_0382/klagomål/A 52818-2022 FSC-klagomål.docx", "A 52818-2022")</f>
        <v/>
      </c>
      <c r="W435">
        <f>HYPERLINK("https://klasma.github.io/Logging_0382/klagomålsmail/A 52818-2022 FSC-klagomål mail.docx", "A 52818-2022")</f>
        <v/>
      </c>
      <c r="X435">
        <f>HYPERLINK("https://klasma.github.io/Logging_0382/tillsyn/A 52818-2022 tillsynsbegäran.docx", "A 52818-2022")</f>
        <v/>
      </c>
      <c r="Y435">
        <f>HYPERLINK("https://klasma.github.io/Logging_0382/tillsynsmail/A 52818-2022 tillsynsbegäran mail.docx", "A 52818-2022")</f>
        <v/>
      </c>
    </row>
    <row r="436" ht="15" customHeight="1">
      <c r="A436" t="inlineStr">
        <is>
          <t>A 56968-2022</t>
        </is>
      </c>
      <c r="B436" s="1" t="n">
        <v>44894</v>
      </c>
      <c r="C436" s="1" t="n">
        <v>45351</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Olivspindling</t>
        </is>
      </c>
      <c r="S436">
        <f>HYPERLINK("https://klasma.github.io/Logging_0360/artfynd/A 56968-2022 artfynd.xlsx", "A 56968-2022")</f>
        <v/>
      </c>
      <c r="T436">
        <f>HYPERLINK("https://klasma.github.io/Logging_0360/kartor/A 56968-2022 karta.png", "A 56968-2022")</f>
        <v/>
      </c>
      <c r="V436">
        <f>HYPERLINK("https://klasma.github.io/Logging_0360/klagomål/A 56968-2022 FSC-klagomål.docx", "A 56968-2022")</f>
        <v/>
      </c>
      <c r="W436">
        <f>HYPERLINK("https://klasma.github.io/Logging_0360/klagomålsmail/A 56968-2022 FSC-klagomål mail.docx", "A 56968-2022")</f>
        <v/>
      </c>
      <c r="X436">
        <f>HYPERLINK("https://klasma.github.io/Logging_0360/tillsyn/A 56968-2022 tillsynsbegäran.docx", "A 56968-2022")</f>
        <v/>
      </c>
      <c r="Y436">
        <f>HYPERLINK("https://klasma.github.io/Logging_0360/tillsynsmail/A 56968-2022 tillsynsbegäran mail.docx", "A 56968-2022")</f>
        <v/>
      </c>
    </row>
    <row r="437" ht="15" customHeight="1">
      <c r="A437" t="inlineStr">
        <is>
          <t>A 57793-2022</t>
        </is>
      </c>
      <c r="B437" s="1" t="n">
        <v>44897</v>
      </c>
      <c r="C437" s="1" t="n">
        <v>45351</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60555-2022</t>
        </is>
      </c>
      <c r="B438" s="1" t="n">
        <v>44911</v>
      </c>
      <c r="C438" s="1" t="n">
        <v>45351</v>
      </c>
      <c r="D438" t="inlineStr">
        <is>
          <t>UPPSALA LÄN</t>
        </is>
      </c>
      <c r="E438" t="inlineStr">
        <is>
          <t>TIERP</t>
        </is>
      </c>
      <c r="F438" t="inlineStr">
        <is>
          <t>Bergvik skog väst AB</t>
        </is>
      </c>
      <c r="G438" t="n">
        <v>4.5</v>
      </c>
      <c r="H438" t="n">
        <v>0</v>
      </c>
      <c r="I438" t="n">
        <v>0</v>
      </c>
      <c r="J438" t="n">
        <v>1</v>
      </c>
      <c r="K438" t="n">
        <v>0</v>
      </c>
      <c r="L438" t="n">
        <v>0</v>
      </c>
      <c r="M438" t="n">
        <v>0</v>
      </c>
      <c r="N438" t="n">
        <v>0</v>
      </c>
      <c r="O438" t="n">
        <v>1</v>
      </c>
      <c r="P438" t="n">
        <v>0</v>
      </c>
      <c r="Q438" t="n">
        <v>1</v>
      </c>
      <c r="R438" s="2" t="inlineStr">
        <is>
          <t>Skogsklocka</t>
        </is>
      </c>
      <c r="S438">
        <f>HYPERLINK("https://klasma.github.io/Logging_0360/artfynd/A 60555-2022 artfynd.xlsx", "A 60555-2022")</f>
        <v/>
      </c>
      <c r="T438">
        <f>HYPERLINK("https://klasma.github.io/Logging_0360/kartor/A 60555-2022 karta.png", "A 60555-2022")</f>
        <v/>
      </c>
      <c r="V438">
        <f>HYPERLINK("https://klasma.github.io/Logging_0360/klagomål/A 60555-2022 FSC-klagomål.docx", "A 60555-2022")</f>
        <v/>
      </c>
      <c r="W438">
        <f>HYPERLINK("https://klasma.github.io/Logging_0360/klagomålsmail/A 60555-2022 FSC-klagomål mail.docx", "A 60555-2022")</f>
        <v/>
      </c>
      <c r="X438">
        <f>HYPERLINK("https://klasma.github.io/Logging_0360/tillsyn/A 60555-2022 tillsynsbegäran.docx", "A 60555-2022")</f>
        <v/>
      </c>
      <c r="Y438">
        <f>HYPERLINK("https://klasma.github.io/Logging_0360/tillsynsmail/A 60555-2022 tillsynsbegäran mail.docx", "A 60555-2022")</f>
        <v/>
      </c>
    </row>
    <row r="439" ht="15" customHeight="1">
      <c r="A439" t="inlineStr">
        <is>
          <t>A 61818-2022</t>
        </is>
      </c>
      <c r="B439" s="1" t="n">
        <v>44917</v>
      </c>
      <c r="C439" s="1" t="n">
        <v>45351</v>
      </c>
      <c r="D439" t="inlineStr">
        <is>
          <t>UPPSALA LÄN</t>
        </is>
      </c>
      <c r="E439" t="inlineStr">
        <is>
          <t>UPPSALA</t>
        </is>
      </c>
      <c r="F439" t="inlineStr">
        <is>
          <t>Holmen skog AB</t>
        </is>
      </c>
      <c r="G439" t="n">
        <v>0.8</v>
      </c>
      <c r="H439" t="n">
        <v>0</v>
      </c>
      <c r="I439" t="n">
        <v>0</v>
      </c>
      <c r="J439" t="n">
        <v>1</v>
      </c>
      <c r="K439" t="n">
        <v>0</v>
      </c>
      <c r="L439" t="n">
        <v>0</v>
      </c>
      <c r="M439" t="n">
        <v>0</v>
      </c>
      <c r="N439" t="n">
        <v>0</v>
      </c>
      <c r="O439" t="n">
        <v>1</v>
      </c>
      <c r="P439" t="n">
        <v>0</v>
      </c>
      <c r="Q439" t="n">
        <v>1</v>
      </c>
      <c r="R439" s="2" t="inlineStr">
        <is>
          <t>Blekticka</t>
        </is>
      </c>
      <c r="S439">
        <f>HYPERLINK("https://klasma.github.io/Logging_0380/artfynd/A 61818-2022 artfynd.xlsx", "A 61818-2022")</f>
        <v/>
      </c>
      <c r="T439">
        <f>HYPERLINK("https://klasma.github.io/Logging_0380/kartor/A 61818-2022 karta.png", "A 61818-2022")</f>
        <v/>
      </c>
      <c r="V439">
        <f>HYPERLINK("https://klasma.github.io/Logging_0380/klagomål/A 61818-2022 FSC-klagomål.docx", "A 61818-2022")</f>
        <v/>
      </c>
      <c r="W439">
        <f>HYPERLINK("https://klasma.github.io/Logging_0380/klagomålsmail/A 61818-2022 FSC-klagomål mail.docx", "A 61818-2022")</f>
        <v/>
      </c>
      <c r="X439">
        <f>HYPERLINK("https://klasma.github.io/Logging_0380/tillsyn/A 61818-2022 tillsynsbegäran.docx", "A 61818-2022")</f>
        <v/>
      </c>
      <c r="Y439">
        <f>HYPERLINK("https://klasma.github.io/Logging_0380/tillsynsmail/A 61818-2022 tillsynsbegäran mail.docx", "A 61818-2022")</f>
        <v/>
      </c>
    </row>
    <row r="440" ht="15" customHeight="1">
      <c r="A440" t="inlineStr">
        <is>
          <t>A 61830-2022</t>
        </is>
      </c>
      <c r="B440" s="1" t="n">
        <v>44917</v>
      </c>
      <c r="C440" s="1" t="n">
        <v>45351</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1783-2023</t>
        </is>
      </c>
      <c r="B441" s="1" t="n">
        <v>44938</v>
      </c>
      <c r="C441" s="1" t="n">
        <v>45351</v>
      </c>
      <c r="D441" t="inlineStr">
        <is>
          <t>UPPSALA LÄN</t>
        </is>
      </c>
      <c r="E441" t="inlineStr">
        <is>
          <t>ÖSTHAMMAR</t>
        </is>
      </c>
      <c r="G441" t="n">
        <v>4.1</v>
      </c>
      <c r="H441" t="n">
        <v>0</v>
      </c>
      <c r="I441" t="n">
        <v>0</v>
      </c>
      <c r="J441" t="n">
        <v>1</v>
      </c>
      <c r="K441" t="n">
        <v>0</v>
      </c>
      <c r="L441" t="n">
        <v>0</v>
      </c>
      <c r="M441" t="n">
        <v>0</v>
      </c>
      <c r="N441" t="n">
        <v>0</v>
      </c>
      <c r="O441" t="n">
        <v>1</v>
      </c>
      <c r="P441" t="n">
        <v>0</v>
      </c>
      <c r="Q441" t="n">
        <v>1</v>
      </c>
      <c r="R441" s="2" t="inlineStr">
        <is>
          <t>Svart taggsvamp</t>
        </is>
      </c>
      <c r="S441">
        <f>HYPERLINK("https://klasma.github.io/Logging_0382/artfynd/A 1783-2023 artfynd.xlsx", "A 1783-2023")</f>
        <v/>
      </c>
      <c r="T441">
        <f>HYPERLINK("https://klasma.github.io/Logging_0382/kartor/A 1783-2023 karta.png", "A 1783-2023")</f>
        <v/>
      </c>
      <c r="V441">
        <f>HYPERLINK("https://klasma.github.io/Logging_0382/klagomål/A 1783-2023 FSC-klagomål.docx", "A 1783-2023")</f>
        <v/>
      </c>
      <c r="W441">
        <f>HYPERLINK("https://klasma.github.io/Logging_0382/klagomålsmail/A 1783-2023 FSC-klagomål mail.docx", "A 1783-2023")</f>
        <v/>
      </c>
      <c r="X441">
        <f>HYPERLINK("https://klasma.github.io/Logging_0382/tillsyn/A 1783-2023 tillsynsbegäran.docx", "A 1783-2023")</f>
        <v/>
      </c>
      <c r="Y441">
        <f>HYPERLINK("https://klasma.github.io/Logging_0382/tillsynsmail/A 1783-2023 tillsynsbegäran mail.docx", "A 1783-2023")</f>
        <v/>
      </c>
    </row>
    <row r="442" ht="15" customHeight="1">
      <c r="A442" t="inlineStr">
        <is>
          <t>A 5009-2023</t>
        </is>
      </c>
      <c r="B442" s="1" t="n">
        <v>44958</v>
      </c>
      <c r="C442" s="1" t="n">
        <v>45351</v>
      </c>
      <c r="D442" t="inlineStr">
        <is>
          <t>UPPSALA LÄN</t>
        </is>
      </c>
      <c r="E442" t="inlineStr">
        <is>
          <t>UPPSALA</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HYPERLINK("https://klasma.github.io/Logging_0380/artfynd/A 5009-2023 artfynd.xlsx", "A 5009-2023")</f>
        <v/>
      </c>
      <c r="T442">
        <f>HYPERLINK("https://klasma.github.io/Logging_0380/kartor/A 5009-2023 karta.png", "A 5009-2023")</f>
        <v/>
      </c>
      <c r="V442">
        <f>HYPERLINK("https://klasma.github.io/Logging_0380/klagomål/A 5009-2023 FSC-klagomål.docx", "A 5009-2023")</f>
        <v/>
      </c>
      <c r="W442">
        <f>HYPERLINK("https://klasma.github.io/Logging_0380/klagomålsmail/A 5009-2023 FSC-klagomål mail.docx", "A 5009-2023")</f>
        <v/>
      </c>
      <c r="X442">
        <f>HYPERLINK("https://klasma.github.io/Logging_0380/tillsyn/A 5009-2023 tillsynsbegäran.docx", "A 5009-2023")</f>
        <v/>
      </c>
      <c r="Y442">
        <f>HYPERLINK("https://klasma.github.io/Logging_0380/tillsynsmail/A 5009-2023 tillsynsbegäran mail.docx", "A 5009-2023")</f>
        <v/>
      </c>
    </row>
    <row r="443" ht="15" customHeight="1">
      <c r="A443" t="inlineStr">
        <is>
          <t>A 5472-2023</t>
        </is>
      </c>
      <c r="B443" s="1" t="n">
        <v>44960</v>
      </c>
      <c r="C443" s="1" t="n">
        <v>45351</v>
      </c>
      <c r="D443" t="inlineStr">
        <is>
          <t>UPPSALA LÄN</t>
        </is>
      </c>
      <c r="E443" t="inlineStr">
        <is>
          <t>TIERP</t>
        </is>
      </c>
      <c r="F443" t="inlineStr">
        <is>
          <t>Bergvik skog öst AB</t>
        </is>
      </c>
      <c r="G443" t="n">
        <v>7.8</v>
      </c>
      <c r="H443" t="n">
        <v>1</v>
      </c>
      <c r="I443" t="n">
        <v>0</v>
      </c>
      <c r="J443" t="n">
        <v>0</v>
      </c>
      <c r="K443" t="n">
        <v>0</v>
      </c>
      <c r="L443" t="n">
        <v>0</v>
      </c>
      <c r="M443" t="n">
        <v>0</v>
      </c>
      <c r="N443" t="n">
        <v>0</v>
      </c>
      <c r="O443" t="n">
        <v>0</v>
      </c>
      <c r="P443" t="n">
        <v>0</v>
      </c>
      <c r="Q443" t="n">
        <v>1</v>
      </c>
      <c r="R443" s="2" t="inlineStr">
        <is>
          <t>Blåsippa</t>
        </is>
      </c>
      <c r="S443">
        <f>HYPERLINK("https://klasma.github.io/Logging_0360/artfynd/A 5472-2023 artfynd.xlsx", "A 5472-2023")</f>
        <v/>
      </c>
      <c r="T443">
        <f>HYPERLINK("https://klasma.github.io/Logging_0360/kartor/A 5472-2023 karta.png", "A 5472-2023")</f>
        <v/>
      </c>
      <c r="V443">
        <f>HYPERLINK("https://klasma.github.io/Logging_0360/klagomål/A 5472-2023 FSC-klagomål.docx", "A 5472-2023")</f>
        <v/>
      </c>
      <c r="W443">
        <f>HYPERLINK("https://klasma.github.io/Logging_0360/klagomålsmail/A 5472-2023 FSC-klagomål mail.docx", "A 5472-2023")</f>
        <v/>
      </c>
      <c r="X443">
        <f>HYPERLINK("https://klasma.github.io/Logging_0360/tillsyn/A 5472-2023 tillsynsbegäran.docx", "A 5472-2023")</f>
        <v/>
      </c>
      <c r="Y443">
        <f>HYPERLINK("https://klasma.github.io/Logging_0360/tillsynsmail/A 5472-2023 tillsynsbegäran mail.docx", "A 5472-2023")</f>
        <v/>
      </c>
    </row>
    <row r="444" ht="15" customHeight="1">
      <c r="A444" t="inlineStr">
        <is>
          <t>A 5750-2023</t>
        </is>
      </c>
      <c r="B444" s="1" t="n">
        <v>44963</v>
      </c>
      <c r="C444" s="1" t="n">
        <v>45351</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10973-2023</t>
        </is>
      </c>
      <c r="B445" s="1" t="n">
        <v>44991</v>
      </c>
      <c r="C445" s="1" t="n">
        <v>45351</v>
      </c>
      <c r="D445" t="inlineStr">
        <is>
          <t>UPPSALA LÄN</t>
        </is>
      </c>
      <c r="E445" t="inlineStr">
        <is>
          <t>KNIVSTA</t>
        </is>
      </c>
      <c r="F445" t="inlineStr">
        <is>
          <t>Holmen skog AB</t>
        </is>
      </c>
      <c r="G445" t="n">
        <v>3.2</v>
      </c>
      <c r="H445" t="n">
        <v>1</v>
      </c>
      <c r="I445" t="n">
        <v>0</v>
      </c>
      <c r="J445" t="n">
        <v>0</v>
      </c>
      <c r="K445" t="n">
        <v>0</v>
      </c>
      <c r="L445" t="n">
        <v>0</v>
      </c>
      <c r="M445" t="n">
        <v>0</v>
      </c>
      <c r="N445" t="n">
        <v>0</v>
      </c>
      <c r="O445" t="n">
        <v>0</v>
      </c>
      <c r="P445" t="n">
        <v>0</v>
      </c>
      <c r="Q445" t="n">
        <v>1</v>
      </c>
      <c r="R445" s="2" t="inlineStr">
        <is>
          <t>Blåsippa</t>
        </is>
      </c>
      <c r="S445">
        <f>HYPERLINK("https://klasma.github.io/Logging_0330/artfynd/A 10973-2023 artfynd.xlsx", "A 10973-2023")</f>
        <v/>
      </c>
      <c r="T445">
        <f>HYPERLINK("https://klasma.github.io/Logging_0330/kartor/A 10973-2023 karta.png", "A 10973-2023")</f>
        <v/>
      </c>
      <c r="V445">
        <f>HYPERLINK("https://klasma.github.io/Logging_0330/klagomål/A 10973-2023 FSC-klagomål.docx", "A 10973-2023")</f>
        <v/>
      </c>
      <c r="W445">
        <f>HYPERLINK("https://klasma.github.io/Logging_0330/klagomålsmail/A 10973-2023 FSC-klagomål mail.docx", "A 10973-2023")</f>
        <v/>
      </c>
      <c r="X445">
        <f>HYPERLINK("https://klasma.github.io/Logging_0330/tillsyn/A 10973-2023 tillsynsbegäran.docx", "A 10973-2023")</f>
        <v/>
      </c>
      <c r="Y445">
        <f>HYPERLINK("https://klasma.github.io/Logging_0330/tillsynsmail/A 10973-2023 tillsynsbegäran mail.docx", "A 10973-2023")</f>
        <v/>
      </c>
    </row>
    <row r="446" ht="15" customHeight="1">
      <c r="A446" t="inlineStr">
        <is>
          <t>A 12415-2023</t>
        </is>
      </c>
      <c r="B446" s="1" t="n">
        <v>44999</v>
      </c>
      <c r="C446" s="1" t="n">
        <v>45351</v>
      </c>
      <c r="D446" t="inlineStr">
        <is>
          <t>UPPSALA LÄN</t>
        </is>
      </c>
      <c r="E446" t="inlineStr">
        <is>
          <t>ÄLVKARLEBY</t>
        </is>
      </c>
      <c r="F446" t="inlineStr">
        <is>
          <t>Bergvik skog väst AB</t>
        </is>
      </c>
      <c r="G446" t="n">
        <v>7.2</v>
      </c>
      <c r="H446" t="n">
        <v>0</v>
      </c>
      <c r="I446" t="n">
        <v>1</v>
      </c>
      <c r="J446" t="n">
        <v>0</v>
      </c>
      <c r="K446" t="n">
        <v>0</v>
      </c>
      <c r="L446" t="n">
        <v>0</v>
      </c>
      <c r="M446" t="n">
        <v>0</v>
      </c>
      <c r="N446" t="n">
        <v>0</v>
      </c>
      <c r="O446" t="n">
        <v>0</v>
      </c>
      <c r="P446" t="n">
        <v>0</v>
      </c>
      <c r="Q446" t="n">
        <v>1</v>
      </c>
      <c r="R446" s="2" t="inlineStr">
        <is>
          <t>Sårläka</t>
        </is>
      </c>
      <c r="S446">
        <f>HYPERLINK("https://klasma.github.io/Logging_0319/artfynd/A 12415-2023 artfynd.xlsx", "A 12415-2023")</f>
        <v/>
      </c>
      <c r="T446">
        <f>HYPERLINK("https://klasma.github.io/Logging_0319/kartor/A 12415-2023 karta.png", "A 12415-2023")</f>
        <v/>
      </c>
      <c r="V446">
        <f>HYPERLINK("https://klasma.github.io/Logging_0319/klagomål/A 12415-2023 FSC-klagomål.docx", "A 12415-2023")</f>
        <v/>
      </c>
      <c r="W446">
        <f>HYPERLINK("https://klasma.github.io/Logging_0319/klagomålsmail/A 12415-2023 FSC-klagomål mail.docx", "A 12415-2023")</f>
        <v/>
      </c>
      <c r="X446">
        <f>HYPERLINK("https://klasma.github.io/Logging_0319/tillsyn/A 12415-2023 tillsynsbegäran.docx", "A 12415-2023")</f>
        <v/>
      </c>
      <c r="Y446">
        <f>HYPERLINK("https://klasma.github.io/Logging_0319/tillsynsmail/A 12415-2023 tillsynsbegäran mail.docx", "A 12415-2023")</f>
        <v/>
      </c>
    </row>
    <row r="447" ht="15" customHeight="1">
      <c r="A447" t="inlineStr">
        <is>
          <t>A 13154-2023</t>
        </is>
      </c>
      <c r="B447" s="1" t="n">
        <v>45002</v>
      </c>
      <c r="C447" s="1" t="n">
        <v>45351</v>
      </c>
      <c r="D447" t="inlineStr">
        <is>
          <t>UPPSALA LÄN</t>
        </is>
      </c>
      <c r="E447" t="inlineStr">
        <is>
          <t>UPPSALA</t>
        </is>
      </c>
      <c r="F447" t="inlineStr">
        <is>
          <t>Holmen skog AB</t>
        </is>
      </c>
      <c r="G447" t="n">
        <v>2.6</v>
      </c>
      <c r="H447" t="n">
        <v>0</v>
      </c>
      <c r="I447" t="n">
        <v>1</v>
      </c>
      <c r="J447" t="n">
        <v>0</v>
      </c>
      <c r="K447" t="n">
        <v>0</v>
      </c>
      <c r="L447" t="n">
        <v>0</v>
      </c>
      <c r="M447" t="n">
        <v>0</v>
      </c>
      <c r="N447" t="n">
        <v>0</v>
      </c>
      <c r="O447" t="n">
        <v>0</v>
      </c>
      <c r="P447" t="n">
        <v>0</v>
      </c>
      <c r="Q447" t="n">
        <v>1</v>
      </c>
      <c r="R447" s="2" t="inlineStr">
        <is>
          <t>Korallblylav</t>
        </is>
      </c>
      <c r="S447">
        <f>HYPERLINK("https://klasma.github.io/Logging_0380/artfynd/A 13154-2023 artfynd.xlsx", "A 13154-2023")</f>
        <v/>
      </c>
      <c r="T447">
        <f>HYPERLINK("https://klasma.github.io/Logging_0380/kartor/A 13154-2023 karta.png", "A 13154-2023")</f>
        <v/>
      </c>
      <c r="V447">
        <f>HYPERLINK("https://klasma.github.io/Logging_0380/klagomål/A 13154-2023 FSC-klagomål.docx", "A 13154-2023")</f>
        <v/>
      </c>
      <c r="W447">
        <f>HYPERLINK("https://klasma.github.io/Logging_0380/klagomålsmail/A 13154-2023 FSC-klagomål mail.docx", "A 13154-2023")</f>
        <v/>
      </c>
      <c r="X447">
        <f>HYPERLINK("https://klasma.github.io/Logging_0380/tillsyn/A 13154-2023 tillsynsbegäran.docx", "A 13154-2023")</f>
        <v/>
      </c>
      <c r="Y447">
        <f>HYPERLINK("https://klasma.github.io/Logging_0380/tillsynsmail/A 13154-2023 tillsynsbegäran mail.docx", "A 13154-2023")</f>
        <v/>
      </c>
    </row>
    <row r="448" ht="15" customHeight="1">
      <c r="A448" t="inlineStr">
        <is>
          <t>A 13433-2023</t>
        </is>
      </c>
      <c r="B448" s="1" t="n">
        <v>45005</v>
      </c>
      <c r="C448" s="1" t="n">
        <v>45351</v>
      </c>
      <c r="D448" t="inlineStr">
        <is>
          <t>UPPSALA LÄN</t>
        </is>
      </c>
      <c r="E448" t="inlineStr">
        <is>
          <t>TIERP</t>
        </is>
      </c>
      <c r="F448" t="inlineStr">
        <is>
          <t>Bergvik skog väst AB</t>
        </is>
      </c>
      <c r="G448" t="n">
        <v>2.6</v>
      </c>
      <c r="H448" t="n">
        <v>1</v>
      </c>
      <c r="I448" t="n">
        <v>1</v>
      </c>
      <c r="J448" t="n">
        <v>0</v>
      </c>
      <c r="K448" t="n">
        <v>0</v>
      </c>
      <c r="L448" t="n">
        <v>0</v>
      </c>
      <c r="M448" t="n">
        <v>0</v>
      </c>
      <c r="N448" t="n">
        <v>0</v>
      </c>
      <c r="O448" t="n">
        <v>0</v>
      </c>
      <c r="P448" t="n">
        <v>0</v>
      </c>
      <c r="Q448" t="n">
        <v>1</v>
      </c>
      <c r="R448" s="2" t="inlineStr">
        <is>
          <t>Skogsknipprot</t>
        </is>
      </c>
      <c r="S448">
        <f>HYPERLINK("https://klasma.github.io/Logging_0360/artfynd/A 13433-2023 artfynd.xlsx", "A 13433-2023")</f>
        <v/>
      </c>
      <c r="T448">
        <f>HYPERLINK("https://klasma.github.io/Logging_0360/kartor/A 13433-2023 karta.png", "A 13433-2023")</f>
        <v/>
      </c>
      <c r="V448">
        <f>HYPERLINK("https://klasma.github.io/Logging_0360/klagomål/A 13433-2023 FSC-klagomål.docx", "A 13433-2023")</f>
        <v/>
      </c>
      <c r="W448">
        <f>HYPERLINK("https://klasma.github.io/Logging_0360/klagomålsmail/A 13433-2023 FSC-klagomål mail.docx", "A 13433-2023")</f>
        <v/>
      </c>
      <c r="X448">
        <f>HYPERLINK("https://klasma.github.io/Logging_0360/tillsyn/A 13433-2023 tillsynsbegäran.docx", "A 13433-2023")</f>
        <v/>
      </c>
      <c r="Y448">
        <f>HYPERLINK("https://klasma.github.io/Logging_0360/tillsynsmail/A 13433-2023 tillsynsbegäran mail.docx", "A 13433-2023")</f>
        <v/>
      </c>
    </row>
    <row r="449" ht="15" customHeight="1">
      <c r="A449" t="inlineStr">
        <is>
          <t>A 14706-2023</t>
        </is>
      </c>
      <c r="B449" s="1" t="n">
        <v>45013</v>
      </c>
      <c r="C449" s="1" t="n">
        <v>45351</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15610-2023</t>
        </is>
      </c>
      <c r="B450" s="1" t="n">
        <v>45020</v>
      </c>
      <c r="C450" s="1" t="n">
        <v>45351</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15610-2023 artfynd.xlsx", "A 15610-2023")</f>
        <v/>
      </c>
      <c r="T450">
        <f>HYPERLINK("https://klasma.github.io/Logging_0331/kartor/A 15610-2023 karta.png", "A 15610-2023")</f>
        <v/>
      </c>
      <c r="U450">
        <f>HYPERLINK("https://klasma.github.io/Logging_0331/knärot/A 15610-2023 karta knärot.png", "A 15610-2023")</f>
        <v/>
      </c>
      <c r="V450">
        <f>HYPERLINK("https://klasma.github.io/Logging_0331/klagomål/A 15610-2023 FSC-klagomål.docx", "A 15610-2023")</f>
        <v/>
      </c>
      <c r="W450">
        <f>HYPERLINK("https://klasma.github.io/Logging_0331/klagomålsmail/A 15610-2023 FSC-klagomål mail.docx", "A 15610-2023")</f>
        <v/>
      </c>
      <c r="X450">
        <f>HYPERLINK("https://klasma.github.io/Logging_0331/tillsyn/A 15610-2023 tillsynsbegäran.docx", "A 15610-2023")</f>
        <v/>
      </c>
      <c r="Y450">
        <f>HYPERLINK("https://klasma.github.io/Logging_0331/tillsynsmail/A 15610-2023 tillsynsbegäran mail.docx", "A 15610-2023")</f>
        <v/>
      </c>
    </row>
    <row r="451" ht="15" customHeight="1">
      <c r="A451" t="inlineStr">
        <is>
          <t>A 15627-2023</t>
        </is>
      </c>
      <c r="B451" s="1" t="n">
        <v>45021</v>
      </c>
      <c r="C451" s="1" t="n">
        <v>45351</v>
      </c>
      <c r="D451" t="inlineStr">
        <is>
          <t>UPPSALA LÄN</t>
        </is>
      </c>
      <c r="E451" t="inlineStr">
        <is>
          <t>ÖSTHAMMAR</t>
        </is>
      </c>
      <c r="F451" t="inlineStr">
        <is>
          <t>Övriga Aktiebolag</t>
        </is>
      </c>
      <c r="G451" t="n">
        <v>22.8</v>
      </c>
      <c r="H451" t="n">
        <v>1</v>
      </c>
      <c r="I451" t="n">
        <v>1</v>
      </c>
      <c r="J451" t="n">
        <v>0</v>
      </c>
      <c r="K451" t="n">
        <v>0</v>
      </c>
      <c r="L451" t="n">
        <v>0</v>
      </c>
      <c r="M451" t="n">
        <v>0</v>
      </c>
      <c r="N451" t="n">
        <v>0</v>
      </c>
      <c r="O451" t="n">
        <v>0</v>
      </c>
      <c r="P451" t="n">
        <v>0</v>
      </c>
      <c r="Q451" t="n">
        <v>1</v>
      </c>
      <c r="R451" s="2" t="inlineStr">
        <is>
          <t>Guckusko</t>
        </is>
      </c>
      <c r="S451">
        <f>HYPERLINK("https://klasma.github.io/Logging_0382/artfynd/A 15627-2023 artfynd.xlsx", "A 15627-2023")</f>
        <v/>
      </c>
      <c r="T451">
        <f>HYPERLINK("https://klasma.github.io/Logging_0382/kartor/A 15627-2023 karta.png", "A 15627-2023")</f>
        <v/>
      </c>
      <c r="V451">
        <f>HYPERLINK("https://klasma.github.io/Logging_0382/klagomål/A 15627-2023 FSC-klagomål.docx", "A 15627-2023")</f>
        <v/>
      </c>
      <c r="W451">
        <f>HYPERLINK("https://klasma.github.io/Logging_0382/klagomålsmail/A 15627-2023 FSC-klagomål mail.docx", "A 15627-2023")</f>
        <v/>
      </c>
      <c r="X451">
        <f>HYPERLINK("https://klasma.github.io/Logging_0382/tillsyn/A 15627-2023 tillsynsbegäran.docx", "A 15627-2023")</f>
        <v/>
      </c>
      <c r="Y451">
        <f>HYPERLINK("https://klasma.github.io/Logging_0382/tillsynsmail/A 15627-2023 tillsynsbegäran mail.docx", "A 15627-2023")</f>
        <v/>
      </c>
    </row>
    <row r="452" ht="15" customHeight="1">
      <c r="A452" t="inlineStr">
        <is>
          <t>A 15628-2023</t>
        </is>
      </c>
      <c r="B452" s="1" t="n">
        <v>45021</v>
      </c>
      <c r="C452" s="1" t="n">
        <v>45351</v>
      </c>
      <c r="D452" t="inlineStr">
        <is>
          <t>UPPSALA LÄN</t>
        </is>
      </c>
      <c r="E452" t="inlineStr">
        <is>
          <t>ÖSTHAMMAR</t>
        </is>
      </c>
      <c r="F452" t="inlineStr">
        <is>
          <t>Övriga Aktiebolag</t>
        </is>
      </c>
      <c r="G452" t="n">
        <v>14.8</v>
      </c>
      <c r="H452" t="n">
        <v>1</v>
      </c>
      <c r="I452" t="n">
        <v>0</v>
      </c>
      <c r="J452" t="n">
        <v>0</v>
      </c>
      <c r="K452" t="n">
        <v>1</v>
      </c>
      <c r="L452" t="n">
        <v>0</v>
      </c>
      <c r="M452" t="n">
        <v>0</v>
      </c>
      <c r="N452" t="n">
        <v>0</v>
      </c>
      <c r="O452" t="n">
        <v>1</v>
      </c>
      <c r="P452" t="n">
        <v>1</v>
      </c>
      <c r="Q452" t="n">
        <v>1</v>
      </c>
      <c r="R452" s="2" t="inlineStr">
        <is>
          <t>Knärot</t>
        </is>
      </c>
      <c r="S452">
        <f>HYPERLINK("https://klasma.github.io/Logging_0382/artfynd/A 15628-2023 artfynd.xlsx", "A 15628-2023")</f>
        <v/>
      </c>
      <c r="T452">
        <f>HYPERLINK("https://klasma.github.io/Logging_0382/kartor/A 15628-2023 karta.png", "A 15628-2023")</f>
        <v/>
      </c>
      <c r="U452">
        <f>HYPERLINK("https://klasma.github.io/Logging_0382/knärot/A 15628-2023 karta knärot.png", "A 15628-2023")</f>
        <v/>
      </c>
      <c r="V452">
        <f>HYPERLINK("https://klasma.github.io/Logging_0382/klagomål/A 15628-2023 FSC-klagomål.docx", "A 15628-2023")</f>
        <v/>
      </c>
      <c r="W452">
        <f>HYPERLINK("https://klasma.github.io/Logging_0382/klagomålsmail/A 15628-2023 FSC-klagomål mail.docx", "A 15628-2023")</f>
        <v/>
      </c>
      <c r="X452">
        <f>HYPERLINK("https://klasma.github.io/Logging_0382/tillsyn/A 15628-2023 tillsynsbegäran.docx", "A 15628-2023")</f>
        <v/>
      </c>
      <c r="Y452">
        <f>HYPERLINK("https://klasma.github.io/Logging_0382/tillsynsmail/A 15628-2023 tillsynsbegäran mail.docx", "A 15628-2023")</f>
        <v/>
      </c>
    </row>
    <row r="453" ht="15" customHeight="1">
      <c r="A453" t="inlineStr">
        <is>
          <t>A 15722-2023</t>
        </is>
      </c>
      <c r="B453" s="1" t="n">
        <v>45021</v>
      </c>
      <c r="C453" s="1" t="n">
        <v>45351</v>
      </c>
      <c r="D453" t="inlineStr">
        <is>
          <t>UPPSALA LÄN</t>
        </is>
      </c>
      <c r="E453" t="inlineStr">
        <is>
          <t>UPPSALA</t>
        </is>
      </c>
      <c r="G453" t="n">
        <v>15.2</v>
      </c>
      <c r="H453" t="n">
        <v>0</v>
      </c>
      <c r="I453" t="n">
        <v>1</v>
      </c>
      <c r="J453" t="n">
        <v>0</v>
      </c>
      <c r="K453" t="n">
        <v>0</v>
      </c>
      <c r="L453" t="n">
        <v>0</v>
      </c>
      <c r="M453" t="n">
        <v>0</v>
      </c>
      <c r="N453" t="n">
        <v>0</v>
      </c>
      <c r="O453" t="n">
        <v>0</v>
      </c>
      <c r="P453" t="n">
        <v>0</v>
      </c>
      <c r="Q453" t="n">
        <v>1</v>
      </c>
      <c r="R453" s="2" t="inlineStr">
        <is>
          <t>Tibast</t>
        </is>
      </c>
      <c r="S453">
        <f>HYPERLINK("https://klasma.github.io/Logging_0380/artfynd/A 15722-2023 artfynd.xlsx", "A 15722-2023")</f>
        <v/>
      </c>
      <c r="T453">
        <f>HYPERLINK("https://klasma.github.io/Logging_0380/kartor/A 15722-2023 karta.png", "A 15722-2023")</f>
        <v/>
      </c>
      <c r="V453">
        <f>HYPERLINK("https://klasma.github.io/Logging_0380/klagomål/A 15722-2023 FSC-klagomål.docx", "A 15722-2023")</f>
        <v/>
      </c>
      <c r="W453">
        <f>HYPERLINK("https://klasma.github.io/Logging_0380/klagomålsmail/A 15722-2023 FSC-klagomål mail.docx", "A 15722-2023")</f>
        <v/>
      </c>
      <c r="X453">
        <f>HYPERLINK("https://klasma.github.io/Logging_0380/tillsyn/A 15722-2023 tillsynsbegäran.docx", "A 15722-2023")</f>
        <v/>
      </c>
      <c r="Y453">
        <f>HYPERLINK("https://klasma.github.io/Logging_0380/tillsynsmail/A 15722-2023 tillsynsbegäran mail.docx", "A 15722-2023")</f>
        <v/>
      </c>
    </row>
    <row r="454" ht="15" customHeight="1">
      <c r="A454" t="inlineStr">
        <is>
          <t>A 15919-2023</t>
        </is>
      </c>
      <c r="B454" s="1" t="n">
        <v>45022</v>
      </c>
      <c r="C454" s="1" t="n">
        <v>45351</v>
      </c>
      <c r="D454" t="inlineStr">
        <is>
          <t>UPPSALA LÄN</t>
        </is>
      </c>
      <c r="E454" t="inlineStr">
        <is>
          <t>UPPSALA</t>
        </is>
      </c>
      <c r="F454" t="inlineStr">
        <is>
          <t>Holmen skog AB</t>
        </is>
      </c>
      <c r="G454" t="n">
        <v>10</v>
      </c>
      <c r="H454" t="n">
        <v>1</v>
      </c>
      <c r="I454" t="n">
        <v>0</v>
      </c>
      <c r="J454" t="n">
        <v>0</v>
      </c>
      <c r="K454" t="n">
        <v>0</v>
      </c>
      <c r="L454" t="n">
        <v>0</v>
      </c>
      <c r="M454" t="n">
        <v>0</v>
      </c>
      <c r="N454" t="n">
        <v>0</v>
      </c>
      <c r="O454" t="n">
        <v>0</v>
      </c>
      <c r="P454" t="n">
        <v>0</v>
      </c>
      <c r="Q454" t="n">
        <v>1</v>
      </c>
      <c r="R454" s="2" t="inlineStr">
        <is>
          <t>Blåsippa</t>
        </is>
      </c>
      <c r="S454">
        <f>HYPERLINK("https://klasma.github.io/Logging_0380/artfynd/A 15919-2023 artfynd.xlsx", "A 15919-2023")</f>
        <v/>
      </c>
      <c r="T454">
        <f>HYPERLINK("https://klasma.github.io/Logging_0380/kartor/A 15919-2023 karta.png", "A 15919-2023")</f>
        <v/>
      </c>
      <c r="V454">
        <f>HYPERLINK("https://klasma.github.io/Logging_0380/klagomål/A 15919-2023 FSC-klagomål.docx", "A 15919-2023")</f>
        <v/>
      </c>
      <c r="W454">
        <f>HYPERLINK("https://klasma.github.io/Logging_0380/klagomålsmail/A 15919-2023 FSC-klagomål mail.docx", "A 15919-2023")</f>
        <v/>
      </c>
      <c r="X454">
        <f>HYPERLINK("https://klasma.github.io/Logging_0380/tillsyn/A 15919-2023 tillsynsbegäran.docx", "A 15919-2023")</f>
        <v/>
      </c>
      <c r="Y454">
        <f>HYPERLINK("https://klasma.github.io/Logging_0380/tillsynsmail/A 15919-2023 tillsynsbegäran mail.docx", "A 15919-2023")</f>
        <v/>
      </c>
    </row>
    <row r="455" ht="15" customHeight="1">
      <c r="A455" t="inlineStr">
        <is>
          <t>A 15918-2023</t>
        </is>
      </c>
      <c r="B455" s="1" t="n">
        <v>45022</v>
      </c>
      <c r="C455" s="1" t="n">
        <v>45351</v>
      </c>
      <c r="D455" t="inlineStr">
        <is>
          <t>UPPSALA LÄN</t>
        </is>
      </c>
      <c r="E455" t="inlineStr">
        <is>
          <t>UPPSALA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HYPERLINK("https://klasma.github.io/Logging_0380/artfynd/A 15918-2023 artfynd.xlsx", "A 15918-2023")</f>
        <v/>
      </c>
      <c r="T455">
        <f>HYPERLINK("https://klasma.github.io/Logging_0380/kartor/A 15918-2023 karta.png", "A 15918-2023")</f>
        <v/>
      </c>
      <c r="V455">
        <f>HYPERLINK("https://klasma.github.io/Logging_0380/klagomål/A 15918-2023 FSC-klagomål.docx", "A 15918-2023")</f>
        <v/>
      </c>
      <c r="W455">
        <f>HYPERLINK("https://klasma.github.io/Logging_0380/klagomålsmail/A 15918-2023 FSC-klagomål mail.docx", "A 15918-2023")</f>
        <v/>
      </c>
      <c r="X455">
        <f>HYPERLINK("https://klasma.github.io/Logging_0380/tillsyn/A 15918-2023 tillsynsbegäran.docx", "A 15918-2023")</f>
        <v/>
      </c>
      <c r="Y455">
        <f>HYPERLINK("https://klasma.github.io/Logging_0380/tillsynsmail/A 15918-2023 tillsynsbegäran mail.docx", "A 15918-2023")</f>
        <v/>
      </c>
    </row>
    <row r="456" ht="15" customHeight="1">
      <c r="A456" t="inlineStr">
        <is>
          <t>A 17389-2023</t>
        </is>
      </c>
      <c r="B456" s="1" t="n">
        <v>45035</v>
      </c>
      <c r="C456" s="1" t="n">
        <v>45351</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Gullklöver</t>
        </is>
      </c>
      <c r="S456">
        <f>HYPERLINK("https://klasma.github.io/Logging_0331/artfynd/A 17389-2023 artfynd.xlsx", "A 17389-2023")</f>
        <v/>
      </c>
      <c r="T456">
        <f>HYPERLINK("https://klasma.github.io/Logging_0331/kartor/A 17389-2023 karta.png", "A 17389-2023")</f>
        <v/>
      </c>
      <c r="V456">
        <f>HYPERLINK("https://klasma.github.io/Logging_0331/klagomål/A 17389-2023 FSC-klagomål.docx", "A 17389-2023")</f>
        <v/>
      </c>
      <c r="W456">
        <f>HYPERLINK("https://klasma.github.io/Logging_0331/klagomålsmail/A 17389-2023 FSC-klagomål mail.docx", "A 17389-2023")</f>
        <v/>
      </c>
      <c r="X456">
        <f>HYPERLINK("https://klasma.github.io/Logging_0331/tillsyn/A 17389-2023 tillsynsbegäran.docx", "A 17389-2023")</f>
        <v/>
      </c>
      <c r="Y456">
        <f>HYPERLINK("https://klasma.github.io/Logging_0331/tillsynsmail/A 17389-2023 tillsynsbegäran mail.docx", "A 17389-2023")</f>
        <v/>
      </c>
    </row>
    <row r="457" ht="15" customHeight="1">
      <c r="A457" t="inlineStr">
        <is>
          <t>A 17790-2023</t>
        </is>
      </c>
      <c r="B457" s="1" t="n">
        <v>45037</v>
      </c>
      <c r="C457" s="1" t="n">
        <v>45351</v>
      </c>
      <c r="D457" t="inlineStr">
        <is>
          <t>UPPSALA LÄN</t>
        </is>
      </c>
      <c r="E457" t="inlineStr">
        <is>
          <t>HEBY</t>
        </is>
      </c>
      <c r="G457" t="n">
        <v>1.1</v>
      </c>
      <c r="H457" t="n">
        <v>1</v>
      </c>
      <c r="I457" t="n">
        <v>0</v>
      </c>
      <c r="J457" t="n">
        <v>0</v>
      </c>
      <c r="K457" t="n">
        <v>0</v>
      </c>
      <c r="L457" t="n">
        <v>0</v>
      </c>
      <c r="M457" t="n">
        <v>0</v>
      </c>
      <c r="N457" t="n">
        <v>0</v>
      </c>
      <c r="O457" t="n">
        <v>0</v>
      </c>
      <c r="P457" t="n">
        <v>0</v>
      </c>
      <c r="Q457" t="n">
        <v>1</v>
      </c>
      <c r="R457" s="2" t="inlineStr">
        <is>
          <t>Mindre vattensalamander</t>
        </is>
      </c>
      <c r="S457">
        <f>HYPERLINK("https://klasma.github.io/Logging_0331/artfynd/A 17790-2023 artfynd.xlsx", "A 17790-2023")</f>
        <v/>
      </c>
      <c r="T457">
        <f>HYPERLINK("https://klasma.github.io/Logging_0331/kartor/A 17790-2023 karta.png", "A 17790-2023")</f>
        <v/>
      </c>
      <c r="V457">
        <f>HYPERLINK("https://klasma.github.io/Logging_0331/klagomål/A 17790-2023 FSC-klagomål.docx", "A 17790-2023")</f>
        <v/>
      </c>
      <c r="W457">
        <f>HYPERLINK("https://klasma.github.io/Logging_0331/klagomålsmail/A 17790-2023 FSC-klagomål mail.docx", "A 17790-2023")</f>
        <v/>
      </c>
      <c r="X457">
        <f>HYPERLINK("https://klasma.github.io/Logging_0331/tillsyn/A 17790-2023 tillsynsbegäran.docx", "A 17790-2023")</f>
        <v/>
      </c>
      <c r="Y457">
        <f>HYPERLINK("https://klasma.github.io/Logging_0331/tillsynsmail/A 17790-2023 tillsynsbegäran mail.docx", "A 17790-2023")</f>
        <v/>
      </c>
    </row>
    <row r="458" ht="15" customHeight="1">
      <c r="A458" t="inlineStr">
        <is>
          <t>A 19100-2023</t>
        </is>
      </c>
      <c r="B458" s="1" t="n">
        <v>45048</v>
      </c>
      <c r="C458" s="1" t="n">
        <v>45351</v>
      </c>
      <c r="D458" t="inlineStr">
        <is>
          <t>UPPSALA LÄN</t>
        </is>
      </c>
      <c r="E458" t="inlineStr">
        <is>
          <t>ÖSTHAMMAR</t>
        </is>
      </c>
      <c r="F458" t="inlineStr">
        <is>
          <t>Bergvik skog öst AB</t>
        </is>
      </c>
      <c r="G458" t="n">
        <v>2.1</v>
      </c>
      <c r="H458" t="n">
        <v>1</v>
      </c>
      <c r="I458" t="n">
        <v>0</v>
      </c>
      <c r="J458" t="n">
        <v>0</v>
      </c>
      <c r="K458" t="n">
        <v>0</v>
      </c>
      <c r="L458" t="n">
        <v>0</v>
      </c>
      <c r="M458" t="n">
        <v>0</v>
      </c>
      <c r="N458" t="n">
        <v>0</v>
      </c>
      <c r="O458" t="n">
        <v>0</v>
      </c>
      <c r="P458" t="n">
        <v>0</v>
      </c>
      <c r="Q458" t="n">
        <v>1</v>
      </c>
      <c r="R458" s="2" t="inlineStr">
        <is>
          <t>Blåsippa</t>
        </is>
      </c>
      <c r="S458">
        <f>HYPERLINK("https://klasma.github.io/Logging_0382/artfynd/A 19100-2023 artfynd.xlsx", "A 19100-2023")</f>
        <v/>
      </c>
      <c r="T458">
        <f>HYPERLINK("https://klasma.github.io/Logging_0382/kartor/A 19100-2023 karta.png", "A 19100-2023")</f>
        <v/>
      </c>
      <c r="V458">
        <f>HYPERLINK("https://klasma.github.io/Logging_0382/klagomål/A 19100-2023 FSC-klagomål.docx", "A 19100-2023")</f>
        <v/>
      </c>
      <c r="W458">
        <f>HYPERLINK("https://klasma.github.io/Logging_0382/klagomålsmail/A 19100-2023 FSC-klagomål mail.docx", "A 19100-2023")</f>
        <v/>
      </c>
      <c r="X458">
        <f>HYPERLINK("https://klasma.github.io/Logging_0382/tillsyn/A 19100-2023 tillsynsbegäran.docx", "A 19100-2023")</f>
        <v/>
      </c>
      <c r="Y458">
        <f>HYPERLINK("https://klasma.github.io/Logging_0382/tillsynsmail/A 19100-2023 tillsynsbegäran mail.docx", "A 19100-2023")</f>
        <v/>
      </c>
    </row>
    <row r="459" ht="15" customHeight="1">
      <c r="A459" t="inlineStr">
        <is>
          <t>A 20172-2023</t>
        </is>
      </c>
      <c r="B459" s="1" t="n">
        <v>45055</v>
      </c>
      <c r="C459" s="1" t="n">
        <v>45351</v>
      </c>
      <c r="D459" t="inlineStr">
        <is>
          <t>UPPSALA LÄN</t>
        </is>
      </c>
      <c r="E459" t="inlineStr">
        <is>
          <t>UPPSALA</t>
        </is>
      </c>
      <c r="G459" t="n">
        <v>3.2</v>
      </c>
      <c r="H459" t="n">
        <v>0</v>
      </c>
      <c r="I459" t="n">
        <v>1</v>
      </c>
      <c r="J459" t="n">
        <v>0</v>
      </c>
      <c r="K459" t="n">
        <v>0</v>
      </c>
      <c r="L459" t="n">
        <v>0</v>
      </c>
      <c r="M459" t="n">
        <v>0</v>
      </c>
      <c r="N459" t="n">
        <v>0</v>
      </c>
      <c r="O459" t="n">
        <v>0</v>
      </c>
      <c r="P459" t="n">
        <v>0</v>
      </c>
      <c r="Q459" t="n">
        <v>1</v>
      </c>
      <c r="R459" s="2" t="inlineStr">
        <is>
          <t>Mörk husmossa</t>
        </is>
      </c>
      <c r="S459">
        <f>HYPERLINK("https://klasma.github.io/Logging_0380/artfynd/A 20172-2023 artfynd.xlsx", "A 20172-2023")</f>
        <v/>
      </c>
      <c r="T459">
        <f>HYPERLINK("https://klasma.github.io/Logging_0380/kartor/A 20172-2023 karta.png", "A 20172-2023")</f>
        <v/>
      </c>
      <c r="V459">
        <f>HYPERLINK("https://klasma.github.io/Logging_0380/klagomål/A 20172-2023 FSC-klagomål.docx", "A 20172-2023")</f>
        <v/>
      </c>
      <c r="W459">
        <f>HYPERLINK("https://klasma.github.io/Logging_0380/klagomålsmail/A 20172-2023 FSC-klagomål mail.docx", "A 20172-2023")</f>
        <v/>
      </c>
      <c r="X459">
        <f>HYPERLINK("https://klasma.github.io/Logging_0380/tillsyn/A 20172-2023 tillsynsbegäran.docx", "A 20172-2023")</f>
        <v/>
      </c>
      <c r="Y459">
        <f>HYPERLINK("https://klasma.github.io/Logging_0380/tillsynsmail/A 20172-2023 tillsynsbegäran mail.docx", "A 20172-2023")</f>
        <v/>
      </c>
    </row>
    <row r="460" ht="15" customHeight="1">
      <c r="A460" t="inlineStr">
        <is>
          <t>A 20930-2023</t>
        </is>
      </c>
      <c r="B460" s="1" t="n">
        <v>45061</v>
      </c>
      <c r="C460" s="1" t="n">
        <v>45351</v>
      </c>
      <c r="D460" t="inlineStr">
        <is>
          <t>UPPSALA LÄN</t>
        </is>
      </c>
      <c r="E460" t="inlineStr">
        <is>
          <t>UPPSALA</t>
        </is>
      </c>
      <c r="G460" t="n">
        <v>5.1</v>
      </c>
      <c r="H460" t="n">
        <v>0</v>
      </c>
      <c r="I460" t="n">
        <v>1</v>
      </c>
      <c r="J460" t="n">
        <v>0</v>
      </c>
      <c r="K460" t="n">
        <v>0</v>
      </c>
      <c r="L460" t="n">
        <v>0</v>
      </c>
      <c r="M460" t="n">
        <v>0</v>
      </c>
      <c r="N460" t="n">
        <v>0</v>
      </c>
      <c r="O460" t="n">
        <v>0</v>
      </c>
      <c r="P460" t="n">
        <v>0</v>
      </c>
      <c r="Q460" t="n">
        <v>1</v>
      </c>
      <c r="R460" s="2" t="inlineStr">
        <is>
          <t>Grönpyrola</t>
        </is>
      </c>
      <c r="S460">
        <f>HYPERLINK("https://klasma.github.io/Logging_0380/artfynd/A 20930-2023 artfynd.xlsx", "A 20930-2023")</f>
        <v/>
      </c>
      <c r="T460">
        <f>HYPERLINK("https://klasma.github.io/Logging_0380/kartor/A 20930-2023 karta.png", "A 20930-2023")</f>
        <v/>
      </c>
      <c r="V460">
        <f>HYPERLINK("https://klasma.github.io/Logging_0380/klagomål/A 20930-2023 FSC-klagomål.docx", "A 20930-2023")</f>
        <v/>
      </c>
      <c r="W460">
        <f>HYPERLINK("https://klasma.github.io/Logging_0380/klagomålsmail/A 20930-2023 FSC-klagomål mail.docx", "A 20930-2023")</f>
        <v/>
      </c>
      <c r="X460">
        <f>HYPERLINK("https://klasma.github.io/Logging_0380/tillsyn/A 20930-2023 tillsynsbegäran.docx", "A 20930-2023")</f>
        <v/>
      </c>
      <c r="Y460">
        <f>HYPERLINK("https://klasma.github.io/Logging_0380/tillsynsmail/A 20930-2023 tillsynsbegäran mail.docx", "A 20930-2023")</f>
        <v/>
      </c>
    </row>
    <row r="461" ht="15" customHeight="1">
      <c r="A461" t="inlineStr">
        <is>
          <t>A 20923-2023</t>
        </is>
      </c>
      <c r="B461" s="1" t="n">
        <v>45061</v>
      </c>
      <c r="C461" s="1" t="n">
        <v>45351</v>
      </c>
      <c r="D461" t="inlineStr">
        <is>
          <t>UPPSALA LÄN</t>
        </is>
      </c>
      <c r="E461" t="inlineStr">
        <is>
          <t>UPPSALA</t>
        </is>
      </c>
      <c r="G461" t="n">
        <v>1.1</v>
      </c>
      <c r="H461" t="n">
        <v>0</v>
      </c>
      <c r="I461" t="n">
        <v>1</v>
      </c>
      <c r="J461" t="n">
        <v>0</v>
      </c>
      <c r="K461" t="n">
        <v>0</v>
      </c>
      <c r="L461" t="n">
        <v>0</v>
      </c>
      <c r="M461" t="n">
        <v>0</v>
      </c>
      <c r="N461" t="n">
        <v>0</v>
      </c>
      <c r="O461" t="n">
        <v>0</v>
      </c>
      <c r="P461" t="n">
        <v>0</v>
      </c>
      <c r="Q461" t="n">
        <v>1</v>
      </c>
      <c r="R461" s="2" t="inlineStr">
        <is>
          <t>Dvärghäxört</t>
        </is>
      </c>
      <c r="S461">
        <f>HYPERLINK("https://klasma.github.io/Logging_0380/artfynd/A 20923-2023 artfynd.xlsx", "A 20923-2023")</f>
        <v/>
      </c>
      <c r="T461">
        <f>HYPERLINK("https://klasma.github.io/Logging_0380/kartor/A 20923-2023 karta.png", "A 20923-2023")</f>
        <v/>
      </c>
      <c r="V461">
        <f>HYPERLINK("https://klasma.github.io/Logging_0380/klagomål/A 20923-2023 FSC-klagomål.docx", "A 20923-2023")</f>
        <v/>
      </c>
      <c r="W461">
        <f>HYPERLINK("https://klasma.github.io/Logging_0380/klagomålsmail/A 20923-2023 FSC-klagomål mail.docx", "A 20923-2023")</f>
        <v/>
      </c>
      <c r="X461">
        <f>HYPERLINK("https://klasma.github.io/Logging_0380/tillsyn/A 20923-2023 tillsynsbegäran.docx", "A 20923-2023")</f>
        <v/>
      </c>
      <c r="Y461">
        <f>HYPERLINK("https://klasma.github.io/Logging_0380/tillsynsmail/A 20923-2023 tillsynsbegäran mail.docx", "A 20923-2023")</f>
        <v/>
      </c>
    </row>
    <row r="462" ht="15" customHeight="1">
      <c r="A462" t="inlineStr">
        <is>
          <t>A 21628-2023</t>
        </is>
      </c>
      <c r="B462" s="1" t="n">
        <v>45063</v>
      </c>
      <c r="C462" s="1" t="n">
        <v>45351</v>
      </c>
      <c r="D462" t="inlineStr">
        <is>
          <t>UPPSALA LÄN</t>
        </is>
      </c>
      <c r="E462" t="inlineStr">
        <is>
          <t>ÖSTHAMMAR</t>
        </is>
      </c>
      <c r="F462" t="inlineStr">
        <is>
          <t>Sveaskog</t>
        </is>
      </c>
      <c r="G462" t="n">
        <v>4.9</v>
      </c>
      <c r="H462" t="n">
        <v>1</v>
      </c>
      <c r="I462" t="n">
        <v>0</v>
      </c>
      <c r="J462" t="n">
        <v>1</v>
      </c>
      <c r="K462" t="n">
        <v>0</v>
      </c>
      <c r="L462" t="n">
        <v>0</v>
      </c>
      <c r="M462" t="n">
        <v>0</v>
      </c>
      <c r="N462" t="n">
        <v>0</v>
      </c>
      <c r="O462" t="n">
        <v>1</v>
      </c>
      <c r="P462" t="n">
        <v>0</v>
      </c>
      <c r="Q462" t="n">
        <v>1</v>
      </c>
      <c r="R462" s="2" t="inlineStr">
        <is>
          <t>Slaguggla</t>
        </is>
      </c>
      <c r="S462">
        <f>HYPERLINK("https://klasma.github.io/Logging_0382/artfynd/A 21628-2023 artfynd.xlsx", "A 21628-2023")</f>
        <v/>
      </c>
      <c r="T462">
        <f>HYPERLINK("https://klasma.github.io/Logging_0382/kartor/A 21628-2023 karta.png", "A 21628-2023")</f>
        <v/>
      </c>
      <c r="V462">
        <f>HYPERLINK("https://klasma.github.io/Logging_0382/klagomål/A 21628-2023 FSC-klagomål.docx", "A 21628-2023")</f>
        <v/>
      </c>
      <c r="W462">
        <f>HYPERLINK("https://klasma.github.io/Logging_0382/klagomålsmail/A 21628-2023 FSC-klagomål mail.docx", "A 21628-2023")</f>
        <v/>
      </c>
      <c r="X462">
        <f>HYPERLINK("https://klasma.github.io/Logging_0382/tillsyn/A 21628-2023 tillsynsbegäran.docx", "A 21628-2023")</f>
        <v/>
      </c>
      <c r="Y462">
        <f>HYPERLINK("https://klasma.github.io/Logging_0382/tillsynsmail/A 21628-2023 tillsynsbegäran mail.docx", "A 21628-2023")</f>
        <v/>
      </c>
      <c r="Z462">
        <f>HYPERLINK("https://klasma.github.io/Logging_0382/fåglar/A 21628-2023 prioriterade fågelarter.docx", "A 21628-2023")</f>
        <v/>
      </c>
    </row>
    <row r="463" ht="15" customHeight="1">
      <c r="A463" t="inlineStr">
        <is>
          <t>A 22307-2023</t>
        </is>
      </c>
      <c r="B463" s="1" t="n">
        <v>45070</v>
      </c>
      <c r="C463" s="1" t="n">
        <v>45351</v>
      </c>
      <c r="D463" t="inlineStr">
        <is>
          <t>UPPSALA LÄN</t>
        </is>
      </c>
      <c r="E463" t="inlineStr">
        <is>
          <t>ÖSTHAMMAR</t>
        </is>
      </c>
      <c r="F463" t="inlineStr">
        <is>
          <t>Bergvik skog öst AB</t>
        </is>
      </c>
      <c r="G463" t="n">
        <v>13.9</v>
      </c>
      <c r="H463" t="n">
        <v>0</v>
      </c>
      <c r="I463" t="n">
        <v>1</v>
      </c>
      <c r="J463" t="n">
        <v>0</v>
      </c>
      <c r="K463" t="n">
        <v>0</v>
      </c>
      <c r="L463" t="n">
        <v>0</v>
      </c>
      <c r="M463" t="n">
        <v>0</v>
      </c>
      <c r="N463" t="n">
        <v>0</v>
      </c>
      <c r="O463" t="n">
        <v>0</v>
      </c>
      <c r="P463" t="n">
        <v>0</v>
      </c>
      <c r="Q463" t="n">
        <v>1</v>
      </c>
      <c r="R463" s="2" t="inlineStr">
        <is>
          <t>Myskmadra</t>
        </is>
      </c>
      <c r="S463">
        <f>HYPERLINK("https://klasma.github.io/Logging_0382/artfynd/A 22307-2023 artfynd.xlsx", "A 22307-2023")</f>
        <v/>
      </c>
      <c r="T463">
        <f>HYPERLINK("https://klasma.github.io/Logging_0382/kartor/A 22307-2023 karta.png", "A 22307-2023")</f>
        <v/>
      </c>
      <c r="V463">
        <f>HYPERLINK("https://klasma.github.io/Logging_0382/klagomål/A 22307-2023 FSC-klagomål.docx", "A 22307-2023")</f>
        <v/>
      </c>
      <c r="W463">
        <f>HYPERLINK("https://klasma.github.io/Logging_0382/klagomålsmail/A 22307-2023 FSC-klagomål mail.docx", "A 22307-2023")</f>
        <v/>
      </c>
      <c r="X463">
        <f>HYPERLINK("https://klasma.github.io/Logging_0382/tillsyn/A 22307-2023 tillsynsbegäran.docx", "A 22307-2023")</f>
        <v/>
      </c>
      <c r="Y463">
        <f>HYPERLINK("https://klasma.github.io/Logging_0382/tillsynsmail/A 22307-2023 tillsynsbegäran mail.docx", "A 22307-2023")</f>
        <v/>
      </c>
    </row>
    <row r="464" ht="15" customHeight="1">
      <c r="A464" t="inlineStr">
        <is>
          <t>A 22287-2023</t>
        </is>
      </c>
      <c r="B464" s="1" t="n">
        <v>45070</v>
      </c>
      <c r="C464" s="1" t="n">
        <v>45351</v>
      </c>
      <c r="D464" t="inlineStr">
        <is>
          <t>UPPSALA LÄN</t>
        </is>
      </c>
      <c r="E464" t="inlineStr">
        <is>
          <t>ÖSTHAMMAR</t>
        </is>
      </c>
      <c r="G464" t="n">
        <v>6.3</v>
      </c>
      <c r="H464" t="n">
        <v>1</v>
      </c>
      <c r="I464" t="n">
        <v>1</v>
      </c>
      <c r="J464" t="n">
        <v>0</v>
      </c>
      <c r="K464" t="n">
        <v>0</v>
      </c>
      <c r="L464" t="n">
        <v>0</v>
      </c>
      <c r="M464" t="n">
        <v>0</v>
      </c>
      <c r="N464" t="n">
        <v>0</v>
      </c>
      <c r="O464" t="n">
        <v>0</v>
      </c>
      <c r="P464" t="n">
        <v>0</v>
      </c>
      <c r="Q464" t="n">
        <v>1</v>
      </c>
      <c r="R464" s="2" t="inlineStr">
        <is>
          <t>Guckusko</t>
        </is>
      </c>
      <c r="S464">
        <f>HYPERLINK("https://klasma.github.io/Logging_0382/artfynd/A 22287-2023 artfynd.xlsx", "A 22287-2023")</f>
        <v/>
      </c>
      <c r="T464">
        <f>HYPERLINK("https://klasma.github.io/Logging_0382/kartor/A 22287-2023 karta.png", "A 22287-2023")</f>
        <v/>
      </c>
      <c r="V464">
        <f>HYPERLINK("https://klasma.github.io/Logging_0382/klagomål/A 22287-2023 FSC-klagomål.docx", "A 22287-2023")</f>
        <v/>
      </c>
      <c r="W464">
        <f>HYPERLINK("https://klasma.github.io/Logging_0382/klagomålsmail/A 22287-2023 FSC-klagomål mail.docx", "A 22287-2023")</f>
        <v/>
      </c>
      <c r="X464">
        <f>HYPERLINK("https://klasma.github.io/Logging_0382/tillsyn/A 22287-2023 tillsynsbegäran.docx", "A 22287-2023")</f>
        <v/>
      </c>
      <c r="Y464">
        <f>HYPERLINK("https://klasma.github.io/Logging_0382/tillsynsmail/A 22287-2023 tillsynsbegäran mail.docx", "A 22287-2023")</f>
        <v/>
      </c>
    </row>
    <row r="465" ht="15" customHeight="1">
      <c r="A465" t="inlineStr">
        <is>
          <t>A 22688-2023</t>
        </is>
      </c>
      <c r="B465" s="1" t="n">
        <v>45071</v>
      </c>
      <c r="C465" s="1" t="n">
        <v>45351</v>
      </c>
      <c r="D465" t="inlineStr">
        <is>
          <t>UPPSALA LÄN</t>
        </is>
      </c>
      <c r="E465" t="inlineStr">
        <is>
          <t>ÖSTHAMMAR</t>
        </is>
      </c>
      <c r="G465" t="n">
        <v>3</v>
      </c>
      <c r="H465" t="n">
        <v>1</v>
      </c>
      <c r="I465" t="n">
        <v>1</v>
      </c>
      <c r="J465" t="n">
        <v>0</v>
      </c>
      <c r="K465" t="n">
        <v>0</v>
      </c>
      <c r="L465" t="n">
        <v>0</v>
      </c>
      <c r="M465" t="n">
        <v>0</v>
      </c>
      <c r="N465" t="n">
        <v>0</v>
      </c>
      <c r="O465" t="n">
        <v>0</v>
      </c>
      <c r="P465" t="n">
        <v>0</v>
      </c>
      <c r="Q465" t="n">
        <v>1</v>
      </c>
      <c r="R465" s="2" t="inlineStr">
        <is>
          <t>Nästrot</t>
        </is>
      </c>
      <c r="S465">
        <f>HYPERLINK("https://klasma.github.io/Logging_0382/artfynd/A 22688-2023 artfynd.xlsx", "A 22688-2023")</f>
        <v/>
      </c>
      <c r="T465">
        <f>HYPERLINK("https://klasma.github.io/Logging_0382/kartor/A 22688-2023 karta.png", "A 22688-2023")</f>
        <v/>
      </c>
      <c r="V465">
        <f>HYPERLINK("https://klasma.github.io/Logging_0382/klagomål/A 22688-2023 FSC-klagomål.docx", "A 22688-2023")</f>
        <v/>
      </c>
      <c r="W465">
        <f>HYPERLINK("https://klasma.github.io/Logging_0382/klagomålsmail/A 22688-2023 FSC-klagomål mail.docx", "A 22688-2023")</f>
        <v/>
      </c>
      <c r="X465">
        <f>HYPERLINK("https://klasma.github.io/Logging_0382/tillsyn/A 22688-2023 tillsynsbegäran.docx", "A 22688-2023")</f>
        <v/>
      </c>
      <c r="Y465">
        <f>HYPERLINK("https://klasma.github.io/Logging_0382/tillsynsmail/A 22688-2023 tillsynsbegäran mail.docx", "A 22688-2023")</f>
        <v/>
      </c>
    </row>
    <row r="466" ht="15" customHeight="1">
      <c r="A466" t="inlineStr">
        <is>
          <t>A 22958-2023</t>
        </is>
      </c>
      <c r="B466" s="1" t="n">
        <v>45072</v>
      </c>
      <c r="C466" s="1" t="n">
        <v>45351</v>
      </c>
      <c r="D466" t="inlineStr">
        <is>
          <t>UPPSALA LÄN</t>
        </is>
      </c>
      <c r="E466" t="inlineStr">
        <is>
          <t>UPPSALA</t>
        </is>
      </c>
      <c r="F466" t="inlineStr">
        <is>
          <t>Holmen skog AB</t>
        </is>
      </c>
      <c r="G466" t="n">
        <v>6.4</v>
      </c>
      <c r="H466" t="n">
        <v>0</v>
      </c>
      <c r="I466" t="n">
        <v>0</v>
      </c>
      <c r="J466" t="n">
        <v>1</v>
      </c>
      <c r="K466" t="n">
        <v>0</v>
      </c>
      <c r="L466" t="n">
        <v>0</v>
      </c>
      <c r="M466" t="n">
        <v>0</v>
      </c>
      <c r="N466" t="n">
        <v>0</v>
      </c>
      <c r="O466" t="n">
        <v>1</v>
      </c>
      <c r="P466" t="n">
        <v>0</v>
      </c>
      <c r="Q466" t="n">
        <v>1</v>
      </c>
      <c r="R466" s="2" t="inlineStr">
        <is>
          <t>Krusfrö</t>
        </is>
      </c>
      <c r="S466">
        <f>HYPERLINK("https://klasma.github.io/Logging_0380/artfynd/A 22958-2023 artfynd.xlsx", "A 22958-2023")</f>
        <v/>
      </c>
      <c r="T466">
        <f>HYPERLINK("https://klasma.github.io/Logging_0380/kartor/A 22958-2023 karta.png", "A 22958-2023")</f>
        <v/>
      </c>
      <c r="V466">
        <f>HYPERLINK("https://klasma.github.io/Logging_0380/klagomål/A 22958-2023 FSC-klagomål.docx", "A 22958-2023")</f>
        <v/>
      </c>
      <c r="W466">
        <f>HYPERLINK("https://klasma.github.io/Logging_0380/klagomålsmail/A 22958-2023 FSC-klagomål mail.docx", "A 22958-2023")</f>
        <v/>
      </c>
      <c r="X466">
        <f>HYPERLINK("https://klasma.github.io/Logging_0380/tillsyn/A 22958-2023 tillsynsbegäran.docx", "A 22958-2023")</f>
        <v/>
      </c>
      <c r="Y466">
        <f>HYPERLINK("https://klasma.github.io/Logging_0380/tillsynsmail/A 22958-2023 tillsynsbegäran mail.docx", "A 22958-2023")</f>
        <v/>
      </c>
    </row>
    <row r="467" ht="15" customHeight="1">
      <c r="A467" t="inlineStr">
        <is>
          <t>A 23128-2023</t>
        </is>
      </c>
      <c r="B467" s="1" t="n">
        <v>45075</v>
      </c>
      <c r="C467" s="1" t="n">
        <v>45351</v>
      </c>
      <c r="D467" t="inlineStr">
        <is>
          <t>UPPSALA LÄN</t>
        </is>
      </c>
      <c r="E467" t="inlineStr">
        <is>
          <t>ÖSTHAMMAR</t>
        </is>
      </c>
      <c r="G467" t="n">
        <v>6</v>
      </c>
      <c r="H467" t="n">
        <v>0</v>
      </c>
      <c r="I467" t="n">
        <v>0</v>
      </c>
      <c r="J467" t="n">
        <v>1</v>
      </c>
      <c r="K467" t="n">
        <v>0</v>
      </c>
      <c r="L467" t="n">
        <v>0</v>
      </c>
      <c r="M467" t="n">
        <v>0</v>
      </c>
      <c r="N467" t="n">
        <v>0</v>
      </c>
      <c r="O467" t="n">
        <v>1</v>
      </c>
      <c r="P467" t="n">
        <v>0</v>
      </c>
      <c r="Q467" t="n">
        <v>1</v>
      </c>
      <c r="R467" s="2" t="inlineStr">
        <is>
          <t>Grönhjon</t>
        </is>
      </c>
      <c r="S467">
        <f>HYPERLINK("https://klasma.github.io/Logging_0382/artfynd/A 23128-2023 artfynd.xlsx", "A 23128-2023")</f>
        <v/>
      </c>
      <c r="T467">
        <f>HYPERLINK("https://klasma.github.io/Logging_0382/kartor/A 23128-2023 karta.png", "A 23128-2023")</f>
        <v/>
      </c>
      <c r="V467">
        <f>HYPERLINK("https://klasma.github.io/Logging_0382/klagomål/A 23128-2023 FSC-klagomål.docx", "A 23128-2023")</f>
        <v/>
      </c>
      <c r="W467">
        <f>HYPERLINK("https://klasma.github.io/Logging_0382/klagomålsmail/A 23128-2023 FSC-klagomål mail.docx", "A 23128-2023")</f>
        <v/>
      </c>
      <c r="X467">
        <f>HYPERLINK("https://klasma.github.io/Logging_0382/tillsyn/A 23128-2023 tillsynsbegäran.docx", "A 23128-2023")</f>
        <v/>
      </c>
      <c r="Y467">
        <f>HYPERLINK("https://klasma.github.io/Logging_0382/tillsynsmail/A 23128-2023 tillsynsbegäran mail.docx", "A 23128-2023")</f>
        <v/>
      </c>
    </row>
    <row r="468" ht="15" customHeight="1">
      <c r="A468" t="inlineStr">
        <is>
          <t>A 25179-2023</t>
        </is>
      </c>
      <c r="B468" s="1" t="n">
        <v>45078</v>
      </c>
      <c r="C468" s="1" t="n">
        <v>45351</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26896-2023</t>
        </is>
      </c>
      <c r="B469" s="1" t="n">
        <v>45093</v>
      </c>
      <c r="C469" s="1" t="n">
        <v>45351</v>
      </c>
      <c r="D469" t="inlineStr">
        <is>
          <t>UPPSALA LÄN</t>
        </is>
      </c>
      <c r="E469" t="inlineStr">
        <is>
          <t>ÖSTHAMMAR</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HYPERLINK("https://klasma.github.io/Logging_0382/artfynd/A 26896-2023 artfynd.xlsx", "A 26896-2023")</f>
        <v/>
      </c>
      <c r="T469">
        <f>HYPERLINK("https://klasma.github.io/Logging_0382/kartor/A 26896-2023 karta.png", "A 26896-2023")</f>
        <v/>
      </c>
      <c r="V469">
        <f>HYPERLINK("https://klasma.github.io/Logging_0382/klagomål/A 26896-2023 FSC-klagomål.docx", "A 26896-2023")</f>
        <v/>
      </c>
      <c r="W469">
        <f>HYPERLINK("https://klasma.github.io/Logging_0382/klagomålsmail/A 26896-2023 FSC-klagomål mail.docx", "A 26896-2023")</f>
        <v/>
      </c>
      <c r="X469">
        <f>HYPERLINK("https://klasma.github.io/Logging_0382/tillsyn/A 26896-2023 tillsynsbegäran.docx", "A 26896-2023")</f>
        <v/>
      </c>
      <c r="Y469">
        <f>HYPERLINK("https://klasma.github.io/Logging_0382/tillsynsmail/A 26896-2023 tillsynsbegäran mail.docx", "A 26896-2023")</f>
        <v/>
      </c>
    </row>
    <row r="470" ht="15" customHeight="1">
      <c r="A470" t="inlineStr">
        <is>
          <t>A 26932-2023</t>
        </is>
      </c>
      <c r="B470" s="1" t="n">
        <v>45093</v>
      </c>
      <c r="C470" s="1" t="n">
        <v>45351</v>
      </c>
      <c r="D470" t="inlineStr">
        <is>
          <t>UPPSALA LÄN</t>
        </is>
      </c>
      <c r="E470" t="inlineStr">
        <is>
          <t>HEBY</t>
        </is>
      </c>
      <c r="G470" t="n">
        <v>12.3</v>
      </c>
      <c r="H470" t="n">
        <v>1</v>
      </c>
      <c r="I470" t="n">
        <v>0</v>
      </c>
      <c r="J470" t="n">
        <v>1</v>
      </c>
      <c r="K470" t="n">
        <v>0</v>
      </c>
      <c r="L470" t="n">
        <v>0</v>
      </c>
      <c r="M470" t="n">
        <v>0</v>
      </c>
      <c r="N470" t="n">
        <v>0</v>
      </c>
      <c r="O470" t="n">
        <v>1</v>
      </c>
      <c r="P470" t="n">
        <v>0</v>
      </c>
      <c r="Q470" t="n">
        <v>1</v>
      </c>
      <c r="R470" s="2" t="inlineStr">
        <is>
          <t>Tretåig hackspett</t>
        </is>
      </c>
      <c r="S470">
        <f>HYPERLINK("https://klasma.github.io/Logging_0331/artfynd/A 26932-2023 artfynd.xlsx", "A 26932-2023")</f>
        <v/>
      </c>
      <c r="T470">
        <f>HYPERLINK("https://klasma.github.io/Logging_0331/kartor/A 26932-2023 karta.png", "A 26932-2023")</f>
        <v/>
      </c>
      <c r="V470">
        <f>HYPERLINK("https://klasma.github.io/Logging_0331/klagomål/A 26932-2023 FSC-klagomål.docx", "A 26932-2023")</f>
        <v/>
      </c>
      <c r="W470">
        <f>HYPERLINK("https://klasma.github.io/Logging_0331/klagomålsmail/A 26932-2023 FSC-klagomål mail.docx", "A 26932-2023")</f>
        <v/>
      </c>
      <c r="X470">
        <f>HYPERLINK("https://klasma.github.io/Logging_0331/tillsyn/A 26932-2023 tillsynsbegäran.docx", "A 26932-2023")</f>
        <v/>
      </c>
      <c r="Y470">
        <f>HYPERLINK("https://klasma.github.io/Logging_0331/tillsynsmail/A 26932-2023 tillsynsbegäran mail.docx", "A 26932-2023")</f>
        <v/>
      </c>
      <c r="Z470">
        <f>HYPERLINK("https://klasma.github.io/Logging_0331/fåglar/A 26932-2023 prioriterade fågelarter.docx", "A 26932-2023")</f>
        <v/>
      </c>
    </row>
    <row r="471" ht="15" customHeight="1">
      <c r="A471" t="inlineStr">
        <is>
          <t>A 27625-2023</t>
        </is>
      </c>
      <c r="B471" s="1" t="n">
        <v>45097</v>
      </c>
      <c r="C471" s="1" t="n">
        <v>45351</v>
      </c>
      <c r="D471" t="inlineStr">
        <is>
          <t>UPPSALA LÄN</t>
        </is>
      </c>
      <c r="E471" t="inlineStr">
        <is>
          <t>UPPSALA</t>
        </is>
      </c>
      <c r="G471" t="n">
        <v>6</v>
      </c>
      <c r="H471" t="n">
        <v>0</v>
      </c>
      <c r="I471" t="n">
        <v>1</v>
      </c>
      <c r="J471" t="n">
        <v>0</v>
      </c>
      <c r="K471" t="n">
        <v>0</v>
      </c>
      <c r="L471" t="n">
        <v>0</v>
      </c>
      <c r="M471" t="n">
        <v>0</v>
      </c>
      <c r="N471" t="n">
        <v>0</v>
      </c>
      <c r="O471" t="n">
        <v>0</v>
      </c>
      <c r="P471" t="n">
        <v>0</v>
      </c>
      <c r="Q471" t="n">
        <v>1</v>
      </c>
      <c r="R471" s="2" t="inlineStr">
        <is>
          <t>Fällmossa</t>
        </is>
      </c>
      <c r="S471">
        <f>HYPERLINK("https://klasma.github.io/Logging_0380/artfynd/A 27625-2023 artfynd.xlsx", "A 27625-2023")</f>
        <v/>
      </c>
      <c r="T471">
        <f>HYPERLINK("https://klasma.github.io/Logging_0380/kartor/A 27625-2023 karta.png", "A 27625-2023")</f>
        <v/>
      </c>
      <c r="V471">
        <f>HYPERLINK("https://klasma.github.io/Logging_0380/klagomål/A 27625-2023 FSC-klagomål.docx", "A 27625-2023")</f>
        <v/>
      </c>
      <c r="W471">
        <f>HYPERLINK("https://klasma.github.io/Logging_0380/klagomålsmail/A 27625-2023 FSC-klagomål mail.docx", "A 27625-2023")</f>
        <v/>
      </c>
      <c r="X471">
        <f>HYPERLINK("https://klasma.github.io/Logging_0380/tillsyn/A 27625-2023 tillsynsbegäran.docx", "A 27625-2023")</f>
        <v/>
      </c>
      <c r="Y471">
        <f>HYPERLINK("https://klasma.github.io/Logging_0380/tillsynsmail/A 27625-2023 tillsynsbegäran mail.docx", "A 27625-2023")</f>
        <v/>
      </c>
    </row>
    <row r="472" ht="15" customHeight="1">
      <c r="A472" t="inlineStr">
        <is>
          <t>A 27848-2023</t>
        </is>
      </c>
      <c r="B472" s="1" t="n">
        <v>45098</v>
      </c>
      <c r="C472" s="1" t="n">
        <v>45351</v>
      </c>
      <c r="D472" t="inlineStr">
        <is>
          <t>UPPSALA LÄN</t>
        </is>
      </c>
      <c r="E472" t="inlineStr">
        <is>
          <t>UPPSALA</t>
        </is>
      </c>
      <c r="G472" t="n">
        <v>14.3</v>
      </c>
      <c r="H472" t="n">
        <v>0</v>
      </c>
      <c r="I472" t="n">
        <v>1</v>
      </c>
      <c r="J472" t="n">
        <v>0</v>
      </c>
      <c r="K472" t="n">
        <v>0</v>
      </c>
      <c r="L472" t="n">
        <v>0</v>
      </c>
      <c r="M472" t="n">
        <v>0</v>
      </c>
      <c r="N472" t="n">
        <v>0</v>
      </c>
      <c r="O472" t="n">
        <v>0</v>
      </c>
      <c r="P472" t="n">
        <v>0</v>
      </c>
      <c r="Q472" t="n">
        <v>1</v>
      </c>
      <c r="R472" s="2" t="inlineStr">
        <is>
          <t>Blåmossa</t>
        </is>
      </c>
      <c r="S472">
        <f>HYPERLINK("https://klasma.github.io/Logging_0380/artfynd/A 27848-2023 artfynd.xlsx", "A 27848-2023")</f>
        <v/>
      </c>
      <c r="T472">
        <f>HYPERLINK("https://klasma.github.io/Logging_0380/kartor/A 27848-2023 karta.png", "A 27848-2023")</f>
        <v/>
      </c>
      <c r="V472">
        <f>HYPERLINK("https://klasma.github.io/Logging_0380/klagomål/A 27848-2023 FSC-klagomål.docx", "A 27848-2023")</f>
        <v/>
      </c>
      <c r="W472">
        <f>HYPERLINK("https://klasma.github.io/Logging_0380/klagomålsmail/A 27848-2023 FSC-klagomål mail.docx", "A 27848-2023")</f>
        <v/>
      </c>
      <c r="X472">
        <f>HYPERLINK("https://klasma.github.io/Logging_0380/tillsyn/A 27848-2023 tillsynsbegäran.docx", "A 27848-2023")</f>
        <v/>
      </c>
      <c r="Y472">
        <f>HYPERLINK("https://klasma.github.io/Logging_0380/tillsynsmail/A 27848-2023 tillsynsbegäran mail.docx", "A 27848-2023")</f>
        <v/>
      </c>
    </row>
    <row r="473" ht="15" customHeight="1">
      <c r="A473" t="inlineStr">
        <is>
          <t>A 27871-2023</t>
        </is>
      </c>
      <c r="B473" s="1" t="n">
        <v>45098</v>
      </c>
      <c r="C473" s="1" t="n">
        <v>45351</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28951-2023</t>
        </is>
      </c>
      <c r="B474" s="1" t="n">
        <v>45104</v>
      </c>
      <c r="C474" s="1" t="n">
        <v>45351</v>
      </c>
      <c r="D474" t="inlineStr">
        <is>
          <t>UPPSALA LÄN</t>
        </is>
      </c>
      <c r="E474" t="inlineStr">
        <is>
          <t>UPPSALA</t>
        </is>
      </c>
      <c r="G474" t="n">
        <v>3.7</v>
      </c>
      <c r="H474" t="n">
        <v>0</v>
      </c>
      <c r="I474" t="n">
        <v>1</v>
      </c>
      <c r="J474" t="n">
        <v>0</v>
      </c>
      <c r="K474" t="n">
        <v>0</v>
      </c>
      <c r="L474" t="n">
        <v>0</v>
      </c>
      <c r="M474" t="n">
        <v>0</v>
      </c>
      <c r="N474" t="n">
        <v>0</v>
      </c>
      <c r="O474" t="n">
        <v>0</v>
      </c>
      <c r="P474" t="n">
        <v>0</v>
      </c>
      <c r="Q474" t="n">
        <v>1</v>
      </c>
      <c r="R474" s="2" t="inlineStr">
        <is>
          <t>Grönpyrola</t>
        </is>
      </c>
      <c r="S474">
        <f>HYPERLINK("https://klasma.github.io/Logging_0380/artfynd/A 28951-2023 artfynd.xlsx", "A 28951-2023")</f>
        <v/>
      </c>
      <c r="T474">
        <f>HYPERLINK("https://klasma.github.io/Logging_0380/kartor/A 28951-2023 karta.png", "A 28951-2023")</f>
        <v/>
      </c>
      <c r="V474">
        <f>HYPERLINK("https://klasma.github.io/Logging_0380/klagomål/A 28951-2023 FSC-klagomål.docx", "A 28951-2023")</f>
        <v/>
      </c>
      <c r="W474">
        <f>HYPERLINK("https://klasma.github.io/Logging_0380/klagomålsmail/A 28951-2023 FSC-klagomål mail.docx", "A 28951-2023")</f>
        <v/>
      </c>
      <c r="X474">
        <f>HYPERLINK("https://klasma.github.io/Logging_0380/tillsyn/A 28951-2023 tillsynsbegäran.docx", "A 28951-2023")</f>
        <v/>
      </c>
      <c r="Y474">
        <f>HYPERLINK("https://klasma.github.io/Logging_0380/tillsynsmail/A 28951-2023 tillsynsbegäran mail.docx", "A 28951-2023")</f>
        <v/>
      </c>
    </row>
    <row r="475" ht="15" customHeight="1">
      <c r="A475" t="inlineStr">
        <is>
          <t>A 29679-2023</t>
        </is>
      </c>
      <c r="B475" s="1" t="n">
        <v>45107</v>
      </c>
      <c r="C475" s="1" t="n">
        <v>45351</v>
      </c>
      <c r="D475" t="inlineStr">
        <is>
          <t>UPPSALA LÄN</t>
        </is>
      </c>
      <c r="E475" t="inlineStr">
        <is>
          <t>ÖSTHAMMAR</t>
        </is>
      </c>
      <c r="F475" t="inlineStr">
        <is>
          <t>Övriga Aktiebolag</t>
        </is>
      </c>
      <c r="G475" t="n">
        <v>7.3</v>
      </c>
      <c r="H475" t="n">
        <v>0</v>
      </c>
      <c r="I475" t="n">
        <v>0</v>
      </c>
      <c r="J475" t="n">
        <v>1</v>
      </c>
      <c r="K475" t="n">
        <v>0</v>
      </c>
      <c r="L475" t="n">
        <v>0</v>
      </c>
      <c r="M475" t="n">
        <v>0</v>
      </c>
      <c r="N475" t="n">
        <v>0</v>
      </c>
      <c r="O475" t="n">
        <v>1</v>
      </c>
      <c r="P475" t="n">
        <v>0</v>
      </c>
      <c r="Q475" t="n">
        <v>1</v>
      </c>
      <c r="R475" s="2" t="inlineStr">
        <is>
          <t>Vintertagging</t>
        </is>
      </c>
      <c r="S475">
        <f>HYPERLINK("https://klasma.github.io/Logging_0382/artfynd/A 29679-2023 artfynd.xlsx", "A 29679-2023")</f>
        <v/>
      </c>
      <c r="T475">
        <f>HYPERLINK("https://klasma.github.io/Logging_0382/kartor/A 29679-2023 karta.png", "A 29679-2023")</f>
        <v/>
      </c>
      <c r="V475">
        <f>HYPERLINK("https://klasma.github.io/Logging_0382/klagomål/A 29679-2023 FSC-klagomål.docx", "A 29679-2023")</f>
        <v/>
      </c>
      <c r="W475">
        <f>HYPERLINK("https://klasma.github.io/Logging_0382/klagomålsmail/A 29679-2023 FSC-klagomål mail.docx", "A 29679-2023")</f>
        <v/>
      </c>
      <c r="X475">
        <f>HYPERLINK("https://klasma.github.io/Logging_0382/tillsyn/A 29679-2023 tillsynsbegäran.docx", "A 29679-2023")</f>
        <v/>
      </c>
      <c r="Y475">
        <f>HYPERLINK("https://klasma.github.io/Logging_0382/tillsynsmail/A 29679-2023 tillsynsbegäran mail.docx", "A 29679-2023")</f>
        <v/>
      </c>
    </row>
    <row r="476" ht="15" customHeight="1">
      <c r="A476" t="inlineStr">
        <is>
          <t>A 29906-2023</t>
        </is>
      </c>
      <c r="B476" s="1" t="n">
        <v>45107</v>
      </c>
      <c r="C476" s="1" t="n">
        <v>45351</v>
      </c>
      <c r="D476" t="inlineStr">
        <is>
          <t>UPPSALA LÄN</t>
        </is>
      </c>
      <c r="E476" t="inlineStr">
        <is>
          <t>UPPSALA</t>
        </is>
      </c>
      <c r="F476" t="inlineStr">
        <is>
          <t>Kyrkan</t>
        </is>
      </c>
      <c r="G476" t="n">
        <v>0.5</v>
      </c>
      <c r="H476" t="n">
        <v>0</v>
      </c>
      <c r="I476" t="n">
        <v>1</v>
      </c>
      <c r="J476" t="n">
        <v>0</v>
      </c>
      <c r="K476" t="n">
        <v>0</v>
      </c>
      <c r="L476" t="n">
        <v>0</v>
      </c>
      <c r="M476" t="n">
        <v>0</v>
      </c>
      <c r="N476" t="n">
        <v>0</v>
      </c>
      <c r="O476" t="n">
        <v>0</v>
      </c>
      <c r="P476" t="n">
        <v>0</v>
      </c>
      <c r="Q476" t="n">
        <v>1</v>
      </c>
      <c r="R476" s="2" t="inlineStr">
        <is>
          <t>Sotriska</t>
        </is>
      </c>
      <c r="S476">
        <f>HYPERLINK("https://klasma.github.io/Logging_0380/artfynd/A 29906-2023 artfynd.xlsx", "A 29906-2023")</f>
        <v/>
      </c>
      <c r="T476">
        <f>HYPERLINK("https://klasma.github.io/Logging_0380/kartor/A 29906-2023 karta.png", "A 29906-2023")</f>
        <v/>
      </c>
      <c r="V476">
        <f>HYPERLINK("https://klasma.github.io/Logging_0380/klagomål/A 29906-2023 FSC-klagomål.docx", "A 29906-2023")</f>
        <v/>
      </c>
      <c r="W476">
        <f>HYPERLINK("https://klasma.github.io/Logging_0380/klagomålsmail/A 29906-2023 FSC-klagomål mail.docx", "A 29906-2023")</f>
        <v/>
      </c>
      <c r="X476">
        <f>HYPERLINK("https://klasma.github.io/Logging_0380/tillsyn/A 29906-2023 tillsynsbegäran.docx", "A 29906-2023")</f>
        <v/>
      </c>
      <c r="Y476">
        <f>HYPERLINK("https://klasma.github.io/Logging_0380/tillsynsmail/A 29906-2023 tillsynsbegäran mail.docx", "A 29906-2023")</f>
        <v/>
      </c>
    </row>
    <row r="477" ht="15" customHeight="1">
      <c r="A477" t="inlineStr">
        <is>
          <t>A 30526-2023</t>
        </is>
      </c>
      <c r="B477" s="1" t="n">
        <v>45111</v>
      </c>
      <c r="C477" s="1" t="n">
        <v>45351</v>
      </c>
      <c r="D477" t="inlineStr">
        <is>
          <t>UPPSALA LÄN</t>
        </is>
      </c>
      <c r="E477" t="inlineStr">
        <is>
          <t>HEBY</t>
        </is>
      </c>
      <c r="G477" t="n">
        <v>1.9</v>
      </c>
      <c r="H477" t="n">
        <v>1</v>
      </c>
      <c r="I477" t="n">
        <v>0</v>
      </c>
      <c r="J477" t="n">
        <v>1</v>
      </c>
      <c r="K477" t="n">
        <v>0</v>
      </c>
      <c r="L477" t="n">
        <v>0</v>
      </c>
      <c r="M477" t="n">
        <v>0</v>
      </c>
      <c r="N477" t="n">
        <v>0</v>
      </c>
      <c r="O477" t="n">
        <v>1</v>
      </c>
      <c r="P477" t="n">
        <v>0</v>
      </c>
      <c r="Q477" t="n">
        <v>1</v>
      </c>
      <c r="R477" s="2" t="inlineStr">
        <is>
          <t>Järpe</t>
        </is>
      </c>
      <c r="S477">
        <f>HYPERLINK("https://klasma.github.io/Logging_0331/artfynd/A 30526-2023 artfynd.xlsx", "A 30526-2023")</f>
        <v/>
      </c>
      <c r="T477">
        <f>HYPERLINK("https://klasma.github.io/Logging_0331/kartor/A 30526-2023 karta.png", "A 30526-2023")</f>
        <v/>
      </c>
      <c r="V477">
        <f>HYPERLINK("https://klasma.github.io/Logging_0331/klagomål/A 30526-2023 FSC-klagomål.docx", "A 30526-2023")</f>
        <v/>
      </c>
      <c r="W477">
        <f>HYPERLINK("https://klasma.github.io/Logging_0331/klagomålsmail/A 30526-2023 FSC-klagomål mail.docx", "A 30526-2023")</f>
        <v/>
      </c>
      <c r="X477">
        <f>HYPERLINK("https://klasma.github.io/Logging_0331/tillsyn/A 30526-2023 tillsynsbegäran.docx", "A 30526-2023")</f>
        <v/>
      </c>
      <c r="Y477">
        <f>HYPERLINK("https://klasma.github.io/Logging_0331/tillsynsmail/A 30526-2023 tillsynsbegäran mail.docx", "A 30526-2023")</f>
        <v/>
      </c>
      <c r="Z477">
        <f>HYPERLINK("https://klasma.github.io/Logging_0331/fåglar/A 30526-2023 prioriterade fågelarter.docx", "A 30526-2023")</f>
        <v/>
      </c>
    </row>
    <row r="478" ht="15" customHeight="1">
      <c r="A478" t="inlineStr">
        <is>
          <t>A 32292-2023</t>
        </is>
      </c>
      <c r="B478" s="1" t="n">
        <v>45120</v>
      </c>
      <c r="C478" s="1" t="n">
        <v>45351</v>
      </c>
      <c r="D478" t="inlineStr">
        <is>
          <t>UPPSALA LÄN</t>
        </is>
      </c>
      <c r="E478" t="inlineStr">
        <is>
          <t>HEBY</t>
        </is>
      </c>
      <c r="G478" t="n">
        <v>4.2</v>
      </c>
      <c r="H478" t="n">
        <v>0</v>
      </c>
      <c r="I478" t="n">
        <v>1</v>
      </c>
      <c r="J478" t="n">
        <v>0</v>
      </c>
      <c r="K478" t="n">
        <v>0</v>
      </c>
      <c r="L478" t="n">
        <v>0</v>
      </c>
      <c r="M478" t="n">
        <v>0</v>
      </c>
      <c r="N478" t="n">
        <v>0</v>
      </c>
      <c r="O478" t="n">
        <v>0</v>
      </c>
      <c r="P478" t="n">
        <v>0</v>
      </c>
      <c r="Q478" t="n">
        <v>1</v>
      </c>
      <c r="R478" s="2" t="inlineStr">
        <is>
          <t>Vedticka</t>
        </is>
      </c>
      <c r="S478">
        <f>HYPERLINK("https://klasma.github.io/Logging_0331/artfynd/A 32292-2023 artfynd.xlsx", "A 32292-2023")</f>
        <v/>
      </c>
      <c r="T478">
        <f>HYPERLINK("https://klasma.github.io/Logging_0331/kartor/A 32292-2023 karta.png", "A 32292-2023")</f>
        <v/>
      </c>
      <c r="V478">
        <f>HYPERLINK("https://klasma.github.io/Logging_0331/klagomål/A 32292-2023 FSC-klagomål.docx", "A 32292-2023")</f>
        <v/>
      </c>
      <c r="W478">
        <f>HYPERLINK("https://klasma.github.io/Logging_0331/klagomålsmail/A 32292-2023 FSC-klagomål mail.docx", "A 32292-2023")</f>
        <v/>
      </c>
      <c r="X478">
        <f>HYPERLINK("https://klasma.github.io/Logging_0331/tillsyn/A 32292-2023 tillsynsbegäran.docx", "A 32292-2023")</f>
        <v/>
      </c>
      <c r="Y478">
        <f>HYPERLINK("https://klasma.github.io/Logging_0331/tillsynsmail/A 32292-2023 tillsynsbegäran mail.docx", "A 32292-2023")</f>
        <v/>
      </c>
    </row>
    <row r="479" ht="15" customHeight="1">
      <c r="A479" t="inlineStr">
        <is>
          <t>A 32299-2023</t>
        </is>
      </c>
      <c r="B479" s="1" t="n">
        <v>45120</v>
      </c>
      <c r="C479" s="1" t="n">
        <v>45351</v>
      </c>
      <c r="D479" t="inlineStr">
        <is>
          <t>UPPSALA LÄN</t>
        </is>
      </c>
      <c r="E479" t="inlineStr">
        <is>
          <t>HEBY</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HYPERLINK("https://klasma.github.io/Logging_0331/artfynd/A 32299-2023 artfynd.xlsx", "A 32299-2023")</f>
        <v/>
      </c>
      <c r="T479">
        <f>HYPERLINK("https://klasma.github.io/Logging_0331/kartor/A 32299-2023 karta.png", "A 32299-2023")</f>
        <v/>
      </c>
      <c r="V479">
        <f>HYPERLINK("https://klasma.github.io/Logging_0331/klagomål/A 32299-2023 FSC-klagomål.docx", "A 32299-2023")</f>
        <v/>
      </c>
      <c r="W479">
        <f>HYPERLINK("https://klasma.github.io/Logging_0331/klagomålsmail/A 32299-2023 FSC-klagomål mail.docx", "A 32299-2023")</f>
        <v/>
      </c>
      <c r="X479">
        <f>HYPERLINK("https://klasma.github.io/Logging_0331/tillsyn/A 32299-2023 tillsynsbegäran.docx", "A 32299-2023")</f>
        <v/>
      </c>
      <c r="Y479">
        <f>HYPERLINK("https://klasma.github.io/Logging_0331/tillsynsmail/A 32299-2023 tillsynsbegäran mail.docx", "A 32299-2023")</f>
        <v/>
      </c>
    </row>
    <row r="480" ht="15" customHeight="1">
      <c r="A480" t="inlineStr">
        <is>
          <t>A 32302-2023</t>
        </is>
      </c>
      <c r="B480" s="1" t="n">
        <v>45120</v>
      </c>
      <c r="C480" s="1" t="n">
        <v>45351</v>
      </c>
      <c r="D480" t="inlineStr">
        <is>
          <t>UPPSALA LÄN</t>
        </is>
      </c>
      <c r="E480" t="inlineStr">
        <is>
          <t>HEBY</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HYPERLINK("https://klasma.github.io/Logging_0331/artfynd/A 32302-2023 artfynd.xlsx", "A 32302-2023")</f>
        <v/>
      </c>
      <c r="T480">
        <f>HYPERLINK("https://klasma.github.io/Logging_0331/kartor/A 32302-2023 karta.png", "A 32302-2023")</f>
        <v/>
      </c>
      <c r="V480">
        <f>HYPERLINK("https://klasma.github.io/Logging_0331/klagomål/A 32302-2023 FSC-klagomål.docx", "A 32302-2023")</f>
        <v/>
      </c>
      <c r="W480">
        <f>HYPERLINK("https://klasma.github.io/Logging_0331/klagomålsmail/A 32302-2023 FSC-klagomål mail.docx", "A 32302-2023")</f>
        <v/>
      </c>
      <c r="X480">
        <f>HYPERLINK("https://klasma.github.io/Logging_0331/tillsyn/A 32302-2023 tillsynsbegäran.docx", "A 32302-2023")</f>
        <v/>
      </c>
      <c r="Y480">
        <f>HYPERLINK("https://klasma.github.io/Logging_0331/tillsynsmail/A 32302-2023 tillsynsbegäran mail.docx", "A 32302-2023")</f>
        <v/>
      </c>
      <c r="Z480">
        <f>HYPERLINK("https://klasma.github.io/Logging_0331/fåglar/A 32302-2023 prioriterade fågelarter.docx", "A 32302-2023")</f>
        <v/>
      </c>
    </row>
    <row r="481" ht="15" customHeight="1">
      <c r="A481" t="inlineStr">
        <is>
          <t>A 32518-2023</t>
        </is>
      </c>
      <c r="B481" s="1" t="n">
        <v>45121</v>
      </c>
      <c r="C481" s="1" t="n">
        <v>45351</v>
      </c>
      <c r="D481" t="inlineStr">
        <is>
          <t>UPPSALA LÄN</t>
        </is>
      </c>
      <c r="E481" t="inlineStr">
        <is>
          <t>ÖSTHAMMAR</t>
        </is>
      </c>
      <c r="G481" t="n">
        <v>11.1</v>
      </c>
      <c r="H481" t="n">
        <v>0</v>
      </c>
      <c r="I481" t="n">
        <v>1</v>
      </c>
      <c r="J481" t="n">
        <v>0</v>
      </c>
      <c r="K481" t="n">
        <v>0</v>
      </c>
      <c r="L481" t="n">
        <v>0</v>
      </c>
      <c r="M481" t="n">
        <v>0</v>
      </c>
      <c r="N481" t="n">
        <v>0</v>
      </c>
      <c r="O481" t="n">
        <v>0</v>
      </c>
      <c r="P481" t="n">
        <v>0</v>
      </c>
      <c r="Q481" t="n">
        <v>1</v>
      </c>
      <c r="R481" s="2" t="inlineStr">
        <is>
          <t>Olivspindling</t>
        </is>
      </c>
      <c r="S481">
        <f>HYPERLINK("https://klasma.github.io/Logging_0382/artfynd/A 32518-2023 artfynd.xlsx", "A 32518-2023")</f>
        <v/>
      </c>
      <c r="T481">
        <f>HYPERLINK("https://klasma.github.io/Logging_0382/kartor/A 32518-2023 karta.png", "A 32518-2023")</f>
        <v/>
      </c>
      <c r="V481">
        <f>HYPERLINK("https://klasma.github.io/Logging_0382/klagomål/A 32518-2023 FSC-klagomål.docx", "A 32518-2023")</f>
        <v/>
      </c>
      <c r="W481">
        <f>HYPERLINK("https://klasma.github.io/Logging_0382/klagomålsmail/A 32518-2023 FSC-klagomål mail.docx", "A 32518-2023")</f>
        <v/>
      </c>
      <c r="X481">
        <f>HYPERLINK("https://klasma.github.io/Logging_0382/tillsyn/A 32518-2023 tillsynsbegäran.docx", "A 32518-2023")</f>
        <v/>
      </c>
      <c r="Y481">
        <f>HYPERLINK("https://klasma.github.io/Logging_0382/tillsynsmail/A 32518-2023 tillsynsbegäran mail.docx", "A 32518-2023")</f>
        <v/>
      </c>
    </row>
    <row r="482" ht="15" customHeight="1">
      <c r="A482" t="inlineStr">
        <is>
          <t>A 32668-2023</t>
        </is>
      </c>
      <c r="B482" s="1" t="n">
        <v>45121</v>
      </c>
      <c r="C482" s="1" t="n">
        <v>45351</v>
      </c>
      <c r="D482" t="inlineStr">
        <is>
          <t>UPPSALA LÄN</t>
        </is>
      </c>
      <c r="E482" t="inlineStr">
        <is>
          <t>UPPSALA</t>
        </is>
      </c>
      <c r="F482" t="inlineStr">
        <is>
          <t>Holmen skog AB</t>
        </is>
      </c>
      <c r="G482" t="n">
        <v>6.3</v>
      </c>
      <c r="H482" t="n">
        <v>1</v>
      </c>
      <c r="I482" t="n">
        <v>0</v>
      </c>
      <c r="J482" t="n">
        <v>0</v>
      </c>
      <c r="K482" t="n">
        <v>0</v>
      </c>
      <c r="L482" t="n">
        <v>0</v>
      </c>
      <c r="M482" t="n">
        <v>0</v>
      </c>
      <c r="N482" t="n">
        <v>0</v>
      </c>
      <c r="O482" t="n">
        <v>0</v>
      </c>
      <c r="P482" t="n">
        <v>0</v>
      </c>
      <c r="Q482" t="n">
        <v>1</v>
      </c>
      <c r="R482" s="2" t="inlineStr">
        <is>
          <t>Blåsippa</t>
        </is>
      </c>
      <c r="S482">
        <f>HYPERLINK("https://klasma.github.io/Logging_0380/artfynd/A 32668-2023 artfynd.xlsx", "A 32668-2023")</f>
        <v/>
      </c>
      <c r="T482">
        <f>HYPERLINK("https://klasma.github.io/Logging_0380/kartor/A 32668-2023 karta.png", "A 32668-2023")</f>
        <v/>
      </c>
      <c r="V482">
        <f>HYPERLINK("https://klasma.github.io/Logging_0380/klagomål/A 32668-2023 FSC-klagomål.docx", "A 32668-2023")</f>
        <v/>
      </c>
      <c r="W482">
        <f>HYPERLINK("https://klasma.github.io/Logging_0380/klagomålsmail/A 32668-2023 FSC-klagomål mail.docx", "A 32668-2023")</f>
        <v/>
      </c>
      <c r="X482">
        <f>HYPERLINK("https://klasma.github.io/Logging_0380/tillsyn/A 32668-2023 tillsynsbegäran.docx", "A 32668-2023")</f>
        <v/>
      </c>
      <c r="Y482">
        <f>HYPERLINK("https://klasma.github.io/Logging_0380/tillsynsmail/A 32668-2023 tillsynsbegäran mail.docx", "A 32668-2023")</f>
        <v/>
      </c>
    </row>
    <row r="483" ht="15" customHeight="1">
      <c r="A483" t="inlineStr">
        <is>
          <t>A 32759-2023</t>
        </is>
      </c>
      <c r="B483" s="1" t="n">
        <v>45123</v>
      </c>
      <c r="C483" s="1" t="n">
        <v>45351</v>
      </c>
      <c r="D483" t="inlineStr">
        <is>
          <t>UPPSALA LÄN</t>
        </is>
      </c>
      <c r="E483" t="inlineStr">
        <is>
          <t>HEBY</t>
        </is>
      </c>
      <c r="G483" t="n">
        <v>23.9</v>
      </c>
      <c r="H483" t="n">
        <v>0</v>
      </c>
      <c r="I483" t="n">
        <v>1</v>
      </c>
      <c r="J483" t="n">
        <v>0</v>
      </c>
      <c r="K483" t="n">
        <v>0</v>
      </c>
      <c r="L483" t="n">
        <v>0</v>
      </c>
      <c r="M483" t="n">
        <v>0</v>
      </c>
      <c r="N483" t="n">
        <v>0</v>
      </c>
      <c r="O483" t="n">
        <v>0</v>
      </c>
      <c r="P483" t="n">
        <v>0</v>
      </c>
      <c r="Q483" t="n">
        <v>1</v>
      </c>
      <c r="R483" s="2" t="inlineStr">
        <is>
          <t>Vedticka</t>
        </is>
      </c>
      <c r="S483">
        <f>HYPERLINK("https://klasma.github.io/Logging_0331/artfynd/A 32759-2023 artfynd.xlsx", "A 32759-2023")</f>
        <v/>
      </c>
      <c r="T483">
        <f>HYPERLINK("https://klasma.github.io/Logging_0331/kartor/A 32759-2023 karta.png", "A 32759-2023")</f>
        <v/>
      </c>
      <c r="V483">
        <f>HYPERLINK("https://klasma.github.io/Logging_0331/klagomål/A 32759-2023 FSC-klagomål.docx", "A 32759-2023")</f>
        <v/>
      </c>
      <c r="W483">
        <f>HYPERLINK("https://klasma.github.io/Logging_0331/klagomålsmail/A 32759-2023 FSC-klagomål mail.docx", "A 32759-2023")</f>
        <v/>
      </c>
      <c r="X483">
        <f>HYPERLINK("https://klasma.github.io/Logging_0331/tillsyn/A 32759-2023 tillsynsbegäran.docx", "A 32759-2023")</f>
        <v/>
      </c>
      <c r="Y483">
        <f>HYPERLINK("https://klasma.github.io/Logging_0331/tillsynsmail/A 32759-2023 tillsynsbegäran mail.docx", "A 32759-2023")</f>
        <v/>
      </c>
    </row>
    <row r="484" ht="15" customHeight="1">
      <c r="A484" t="inlineStr">
        <is>
          <t>A 33770-2023</t>
        </is>
      </c>
      <c r="B484" s="1" t="n">
        <v>45133</v>
      </c>
      <c r="C484" s="1" t="n">
        <v>45351</v>
      </c>
      <c r="D484" t="inlineStr">
        <is>
          <t>UPPSALA LÄN</t>
        </is>
      </c>
      <c r="E484" t="inlineStr">
        <is>
          <t>KNIVSTA</t>
        </is>
      </c>
      <c r="F484" t="inlineStr">
        <is>
          <t>Holmen skog AB</t>
        </is>
      </c>
      <c r="G484" t="n">
        <v>4</v>
      </c>
      <c r="H484" t="n">
        <v>1</v>
      </c>
      <c r="I484" t="n">
        <v>0</v>
      </c>
      <c r="J484" t="n">
        <v>1</v>
      </c>
      <c r="K484" t="n">
        <v>0</v>
      </c>
      <c r="L484" t="n">
        <v>0</v>
      </c>
      <c r="M484" t="n">
        <v>0</v>
      </c>
      <c r="N484" t="n">
        <v>0</v>
      </c>
      <c r="O484" t="n">
        <v>1</v>
      </c>
      <c r="P484" t="n">
        <v>0</v>
      </c>
      <c r="Q484" t="n">
        <v>1</v>
      </c>
      <c r="R484" s="2" t="inlineStr">
        <is>
          <t>Slaguggla</t>
        </is>
      </c>
      <c r="S484">
        <f>HYPERLINK("https://klasma.github.io/Logging_0330/artfynd/A 33770-2023 artfynd.xlsx", "A 33770-2023")</f>
        <v/>
      </c>
      <c r="T484">
        <f>HYPERLINK("https://klasma.github.io/Logging_0330/kartor/A 33770-2023 karta.png", "A 33770-2023")</f>
        <v/>
      </c>
      <c r="V484">
        <f>HYPERLINK("https://klasma.github.io/Logging_0330/klagomål/A 33770-2023 FSC-klagomål.docx", "A 33770-2023")</f>
        <v/>
      </c>
      <c r="W484">
        <f>HYPERLINK("https://klasma.github.io/Logging_0330/klagomålsmail/A 33770-2023 FSC-klagomål mail.docx", "A 33770-2023")</f>
        <v/>
      </c>
      <c r="X484">
        <f>HYPERLINK("https://klasma.github.io/Logging_0330/tillsyn/A 33770-2023 tillsynsbegäran.docx", "A 33770-2023")</f>
        <v/>
      </c>
      <c r="Y484">
        <f>HYPERLINK("https://klasma.github.io/Logging_0330/tillsynsmail/A 33770-2023 tillsynsbegäran mail.docx", "A 33770-2023")</f>
        <v/>
      </c>
      <c r="Z484">
        <f>HYPERLINK("https://klasma.github.io/Logging_0330/fåglar/A 33770-2023 prioriterade fågelarter.docx", "A 33770-2023")</f>
        <v/>
      </c>
    </row>
    <row r="485" ht="15" customHeight="1">
      <c r="A485" t="inlineStr">
        <is>
          <t>A 33858-2023</t>
        </is>
      </c>
      <c r="B485" s="1" t="n">
        <v>45133</v>
      </c>
      <c r="C485" s="1" t="n">
        <v>45351</v>
      </c>
      <c r="D485" t="inlineStr">
        <is>
          <t>UPPSALA LÄN</t>
        </is>
      </c>
      <c r="E485" t="inlineStr">
        <is>
          <t>HEBY</t>
        </is>
      </c>
      <c r="G485" t="n">
        <v>1</v>
      </c>
      <c r="H485" t="n">
        <v>0</v>
      </c>
      <c r="I485" t="n">
        <v>1</v>
      </c>
      <c r="J485" t="n">
        <v>0</v>
      </c>
      <c r="K485" t="n">
        <v>0</v>
      </c>
      <c r="L485" t="n">
        <v>0</v>
      </c>
      <c r="M485" t="n">
        <v>0</v>
      </c>
      <c r="N485" t="n">
        <v>0</v>
      </c>
      <c r="O485" t="n">
        <v>0</v>
      </c>
      <c r="P485" t="n">
        <v>0</v>
      </c>
      <c r="Q485" t="n">
        <v>1</v>
      </c>
      <c r="R485" s="2" t="inlineStr">
        <is>
          <t>Myskbock</t>
        </is>
      </c>
      <c r="S485">
        <f>HYPERLINK("https://klasma.github.io/Logging_0331/artfynd/A 33858-2023 artfynd.xlsx", "A 33858-2023")</f>
        <v/>
      </c>
      <c r="T485">
        <f>HYPERLINK("https://klasma.github.io/Logging_0331/kartor/A 33858-2023 karta.png", "A 33858-2023")</f>
        <v/>
      </c>
      <c r="V485">
        <f>HYPERLINK("https://klasma.github.io/Logging_0331/klagomål/A 33858-2023 FSC-klagomål.docx", "A 33858-2023")</f>
        <v/>
      </c>
      <c r="W485">
        <f>HYPERLINK("https://klasma.github.io/Logging_0331/klagomålsmail/A 33858-2023 FSC-klagomål mail.docx", "A 33858-2023")</f>
        <v/>
      </c>
      <c r="X485">
        <f>HYPERLINK("https://klasma.github.io/Logging_0331/tillsyn/A 33858-2023 tillsynsbegäran.docx", "A 33858-2023")</f>
        <v/>
      </c>
      <c r="Y485">
        <f>HYPERLINK("https://klasma.github.io/Logging_0331/tillsynsmail/A 33858-2023 tillsynsbegäran mail.docx", "A 33858-2023")</f>
        <v/>
      </c>
    </row>
    <row r="486" ht="15" customHeight="1">
      <c r="A486" t="inlineStr">
        <is>
          <t>A 34090-2023</t>
        </is>
      </c>
      <c r="B486" s="1" t="n">
        <v>45135</v>
      </c>
      <c r="C486" s="1" t="n">
        <v>45351</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34732-2023</t>
        </is>
      </c>
      <c r="B487" s="1" t="n">
        <v>45139</v>
      </c>
      <c r="C487" s="1" t="n">
        <v>45351</v>
      </c>
      <c r="D487" t="inlineStr">
        <is>
          <t>UPPSALA LÄN</t>
        </is>
      </c>
      <c r="E487" t="inlineStr">
        <is>
          <t>UPPSALA</t>
        </is>
      </c>
      <c r="G487" t="n">
        <v>8.1</v>
      </c>
      <c r="H487" t="n">
        <v>1</v>
      </c>
      <c r="I487" t="n">
        <v>1</v>
      </c>
      <c r="J487" t="n">
        <v>0</v>
      </c>
      <c r="K487" t="n">
        <v>0</v>
      </c>
      <c r="L487" t="n">
        <v>0</v>
      </c>
      <c r="M487" t="n">
        <v>0</v>
      </c>
      <c r="N487" t="n">
        <v>0</v>
      </c>
      <c r="O487" t="n">
        <v>0</v>
      </c>
      <c r="P487" t="n">
        <v>0</v>
      </c>
      <c r="Q487" t="n">
        <v>1</v>
      </c>
      <c r="R487" s="2" t="inlineStr">
        <is>
          <t>Grön sköldmossa</t>
        </is>
      </c>
      <c r="S487">
        <f>HYPERLINK("https://klasma.github.io/Logging_0380/artfynd/A 34732-2023 artfynd.xlsx", "A 34732-2023")</f>
        <v/>
      </c>
      <c r="T487">
        <f>HYPERLINK("https://klasma.github.io/Logging_0380/kartor/A 34732-2023 karta.png", "A 34732-2023")</f>
        <v/>
      </c>
      <c r="V487">
        <f>HYPERLINK("https://klasma.github.io/Logging_0380/klagomål/A 34732-2023 FSC-klagomål.docx", "A 34732-2023")</f>
        <v/>
      </c>
      <c r="W487">
        <f>HYPERLINK("https://klasma.github.io/Logging_0380/klagomålsmail/A 34732-2023 FSC-klagomål mail.docx", "A 34732-2023")</f>
        <v/>
      </c>
      <c r="X487">
        <f>HYPERLINK("https://klasma.github.io/Logging_0380/tillsyn/A 34732-2023 tillsynsbegäran.docx", "A 34732-2023")</f>
        <v/>
      </c>
      <c r="Y487">
        <f>HYPERLINK("https://klasma.github.io/Logging_0380/tillsynsmail/A 34732-2023 tillsynsbegäran mail.docx", "A 34732-2023")</f>
        <v/>
      </c>
    </row>
    <row r="488" ht="15" customHeight="1">
      <c r="A488" t="inlineStr">
        <is>
          <t>A 38151-2023</t>
        </is>
      </c>
      <c r="B488" s="1" t="n">
        <v>45160</v>
      </c>
      <c r="C488" s="1" t="n">
        <v>45351</v>
      </c>
      <c r="D488" t="inlineStr">
        <is>
          <t>UPPSALA LÄN</t>
        </is>
      </c>
      <c r="E488" t="inlineStr">
        <is>
          <t>TIERP</t>
        </is>
      </c>
      <c r="G488" t="n">
        <v>1.4</v>
      </c>
      <c r="H488" t="n">
        <v>1</v>
      </c>
      <c r="I488" t="n">
        <v>0</v>
      </c>
      <c r="J488" t="n">
        <v>0</v>
      </c>
      <c r="K488" t="n">
        <v>0</v>
      </c>
      <c r="L488" t="n">
        <v>1</v>
      </c>
      <c r="M488" t="n">
        <v>0</v>
      </c>
      <c r="N488" t="n">
        <v>0</v>
      </c>
      <c r="O488" t="n">
        <v>1</v>
      </c>
      <c r="P488" t="n">
        <v>1</v>
      </c>
      <c r="Q488" t="n">
        <v>1</v>
      </c>
      <c r="R488" s="2" t="inlineStr">
        <is>
          <t>Tornseglare</t>
        </is>
      </c>
      <c r="S488">
        <f>HYPERLINK("https://klasma.github.io/Logging_0360/artfynd/A 38151-2023 artfynd.xlsx", "A 38151-2023")</f>
        <v/>
      </c>
      <c r="T488">
        <f>HYPERLINK("https://klasma.github.io/Logging_0360/kartor/A 38151-2023 karta.png", "A 38151-2023")</f>
        <v/>
      </c>
      <c r="V488">
        <f>HYPERLINK("https://klasma.github.io/Logging_0360/klagomål/A 38151-2023 FSC-klagomål.docx", "A 38151-2023")</f>
        <v/>
      </c>
      <c r="W488">
        <f>HYPERLINK("https://klasma.github.io/Logging_0360/klagomålsmail/A 38151-2023 FSC-klagomål mail.docx", "A 38151-2023")</f>
        <v/>
      </c>
      <c r="X488">
        <f>HYPERLINK("https://klasma.github.io/Logging_0360/tillsyn/A 38151-2023 tillsynsbegäran.docx", "A 38151-2023")</f>
        <v/>
      </c>
      <c r="Y488">
        <f>HYPERLINK("https://klasma.github.io/Logging_0360/tillsynsmail/A 38151-2023 tillsynsbegäran mail.docx", "A 38151-2023")</f>
        <v/>
      </c>
      <c r="Z488">
        <f>HYPERLINK("https://klasma.github.io/Logging_0360/fåglar/A 38151-2023 prioriterade fågelarter.docx", "A 38151-2023")</f>
        <v/>
      </c>
    </row>
    <row r="489" ht="15" customHeight="1">
      <c r="A489" t="inlineStr">
        <is>
          <t>A 38821-2023</t>
        </is>
      </c>
      <c r="B489" s="1" t="n">
        <v>45163</v>
      </c>
      <c r="C489" s="1" t="n">
        <v>45351</v>
      </c>
      <c r="D489" t="inlineStr">
        <is>
          <t>UPPSALA LÄN</t>
        </is>
      </c>
      <c r="E489" t="inlineStr">
        <is>
          <t>TIERP</t>
        </is>
      </c>
      <c r="G489" t="n">
        <v>20.3</v>
      </c>
      <c r="H489" t="n">
        <v>1</v>
      </c>
      <c r="I489" t="n">
        <v>0</v>
      </c>
      <c r="J489" t="n">
        <v>0</v>
      </c>
      <c r="K489" t="n">
        <v>0</v>
      </c>
      <c r="L489" t="n">
        <v>0</v>
      </c>
      <c r="M489" t="n">
        <v>0</v>
      </c>
      <c r="N489" t="n">
        <v>0</v>
      </c>
      <c r="O489" t="n">
        <v>0</v>
      </c>
      <c r="P489" t="n">
        <v>0</v>
      </c>
      <c r="Q489" t="n">
        <v>1</v>
      </c>
      <c r="R489" s="2" t="inlineStr">
        <is>
          <t>Revlummer</t>
        </is>
      </c>
      <c r="S489">
        <f>HYPERLINK("https://klasma.github.io/Logging_0360/artfynd/A 38821-2023 artfynd.xlsx", "A 38821-2023")</f>
        <v/>
      </c>
      <c r="T489">
        <f>HYPERLINK("https://klasma.github.io/Logging_0360/kartor/A 38821-2023 karta.png", "A 38821-2023")</f>
        <v/>
      </c>
      <c r="V489">
        <f>HYPERLINK("https://klasma.github.io/Logging_0360/klagomål/A 38821-2023 FSC-klagomål.docx", "A 38821-2023")</f>
        <v/>
      </c>
      <c r="W489">
        <f>HYPERLINK("https://klasma.github.io/Logging_0360/klagomålsmail/A 38821-2023 FSC-klagomål mail.docx", "A 38821-2023")</f>
        <v/>
      </c>
      <c r="X489">
        <f>HYPERLINK("https://klasma.github.io/Logging_0360/tillsyn/A 38821-2023 tillsynsbegäran.docx", "A 38821-2023")</f>
        <v/>
      </c>
      <c r="Y489">
        <f>HYPERLINK("https://klasma.github.io/Logging_0360/tillsynsmail/A 38821-2023 tillsynsbegäran mail.docx", "A 38821-2023")</f>
        <v/>
      </c>
    </row>
    <row r="490" ht="15" customHeight="1">
      <c r="A490" t="inlineStr">
        <is>
          <t>A 39623-2023</t>
        </is>
      </c>
      <c r="B490" s="1" t="n">
        <v>45164</v>
      </c>
      <c r="C490" s="1" t="n">
        <v>45351</v>
      </c>
      <c r="D490" t="inlineStr">
        <is>
          <t>UPPSALA LÄN</t>
        </is>
      </c>
      <c r="E490" t="inlineStr">
        <is>
          <t>ENKÖPING</t>
        </is>
      </c>
      <c r="G490" t="n">
        <v>7.6</v>
      </c>
      <c r="H490" t="n">
        <v>0</v>
      </c>
      <c r="I490" t="n">
        <v>1</v>
      </c>
      <c r="J490" t="n">
        <v>0</v>
      </c>
      <c r="K490" t="n">
        <v>0</v>
      </c>
      <c r="L490" t="n">
        <v>0</v>
      </c>
      <c r="M490" t="n">
        <v>0</v>
      </c>
      <c r="N490" t="n">
        <v>0</v>
      </c>
      <c r="O490" t="n">
        <v>0</v>
      </c>
      <c r="P490" t="n">
        <v>0</v>
      </c>
      <c r="Q490" t="n">
        <v>1</v>
      </c>
      <c r="R490" s="2" t="inlineStr">
        <is>
          <t>Strimspindling</t>
        </is>
      </c>
      <c r="S490">
        <f>HYPERLINK("https://klasma.github.io/Logging_0381/artfynd/A 39623-2023 artfynd.xlsx", "A 39623-2023")</f>
        <v/>
      </c>
      <c r="T490">
        <f>HYPERLINK("https://klasma.github.io/Logging_0381/kartor/A 39623-2023 karta.png", "A 39623-2023")</f>
        <v/>
      </c>
      <c r="V490">
        <f>HYPERLINK("https://klasma.github.io/Logging_0381/klagomål/A 39623-2023 FSC-klagomål.docx", "A 39623-2023")</f>
        <v/>
      </c>
      <c r="W490">
        <f>HYPERLINK("https://klasma.github.io/Logging_0381/klagomålsmail/A 39623-2023 FSC-klagomål mail.docx", "A 39623-2023")</f>
        <v/>
      </c>
      <c r="X490">
        <f>HYPERLINK("https://klasma.github.io/Logging_0381/tillsyn/A 39623-2023 tillsynsbegäran.docx", "A 39623-2023")</f>
        <v/>
      </c>
      <c r="Y490">
        <f>HYPERLINK("https://klasma.github.io/Logging_0381/tillsynsmail/A 39623-2023 tillsynsbegäran mail.docx", "A 39623-2023")</f>
        <v/>
      </c>
    </row>
    <row r="491" ht="15" customHeight="1">
      <c r="A491" t="inlineStr">
        <is>
          <t>A 40349-2023</t>
        </is>
      </c>
      <c r="B491" s="1" t="n">
        <v>45169</v>
      </c>
      <c r="C491" s="1" t="n">
        <v>45351</v>
      </c>
      <c r="D491" t="inlineStr">
        <is>
          <t>UPPSALA LÄN</t>
        </is>
      </c>
      <c r="E491" t="inlineStr">
        <is>
          <t>HEBY</t>
        </is>
      </c>
      <c r="F491" t="inlineStr">
        <is>
          <t>Kyrkan</t>
        </is>
      </c>
      <c r="G491" t="n">
        <v>9.1</v>
      </c>
      <c r="H491" t="n">
        <v>1</v>
      </c>
      <c r="I491" t="n">
        <v>0</v>
      </c>
      <c r="J491" t="n">
        <v>0</v>
      </c>
      <c r="K491" t="n">
        <v>0</v>
      </c>
      <c r="L491" t="n">
        <v>0</v>
      </c>
      <c r="M491" t="n">
        <v>0</v>
      </c>
      <c r="N491" t="n">
        <v>0</v>
      </c>
      <c r="O491" t="n">
        <v>0</v>
      </c>
      <c r="P491" t="n">
        <v>0</v>
      </c>
      <c r="Q491" t="n">
        <v>1</v>
      </c>
      <c r="R491" s="2" t="inlineStr">
        <is>
          <t>Blåsippa</t>
        </is>
      </c>
      <c r="S491">
        <f>HYPERLINK("https://klasma.github.io/Logging_0331/artfynd/A 40349-2023 artfynd.xlsx", "A 40349-2023")</f>
        <v/>
      </c>
      <c r="T491">
        <f>HYPERLINK("https://klasma.github.io/Logging_0331/kartor/A 40349-2023 karta.png", "A 40349-2023")</f>
        <v/>
      </c>
      <c r="V491">
        <f>HYPERLINK("https://klasma.github.io/Logging_0331/klagomål/A 40349-2023 FSC-klagomål.docx", "A 40349-2023")</f>
        <v/>
      </c>
      <c r="W491">
        <f>HYPERLINK("https://klasma.github.io/Logging_0331/klagomålsmail/A 40349-2023 FSC-klagomål mail.docx", "A 40349-2023")</f>
        <v/>
      </c>
      <c r="X491">
        <f>HYPERLINK("https://klasma.github.io/Logging_0331/tillsyn/A 40349-2023 tillsynsbegäran.docx", "A 40349-2023")</f>
        <v/>
      </c>
      <c r="Y491">
        <f>HYPERLINK("https://klasma.github.io/Logging_0331/tillsynsmail/A 40349-2023 tillsynsbegäran mail.docx", "A 40349-2023")</f>
        <v/>
      </c>
    </row>
    <row r="492" ht="15" customHeight="1">
      <c r="A492" t="inlineStr">
        <is>
          <t>A 40878-2023</t>
        </is>
      </c>
      <c r="B492" s="1" t="n">
        <v>45173</v>
      </c>
      <c r="C492" s="1" t="n">
        <v>45351</v>
      </c>
      <c r="D492" t="inlineStr">
        <is>
          <t>UPPSALA LÄN</t>
        </is>
      </c>
      <c r="E492" t="inlineStr">
        <is>
          <t>TIERP</t>
        </is>
      </c>
      <c r="F492" t="inlineStr">
        <is>
          <t>Bergvik skog väst AB</t>
        </is>
      </c>
      <c r="G492" t="n">
        <v>4.7</v>
      </c>
      <c r="H492" t="n">
        <v>1</v>
      </c>
      <c r="I492" t="n">
        <v>1</v>
      </c>
      <c r="J492" t="n">
        <v>0</v>
      </c>
      <c r="K492" t="n">
        <v>0</v>
      </c>
      <c r="L492" t="n">
        <v>0</v>
      </c>
      <c r="M492" t="n">
        <v>0</v>
      </c>
      <c r="N492" t="n">
        <v>0</v>
      </c>
      <c r="O492" t="n">
        <v>0</v>
      </c>
      <c r="P492" t="n">
        <v>0</v>
      </c>
      <c r="Q492" t="n">
        <v>1</v>
      </c>
      <c r="R492" s="2" t="inlineStr">
        <is>
          <t>Grön sköldmossa</t>
        </is>
      </c>
      <c r="S492">
        <f>HYPERLINK("https://klasma.github.io/Logging_0360/artfynd/A 40878-2023 artfynd.xlsx", "A 40878-2023")</f>
        <v/>
      </c>
      <c r="T492">
        <f>HYPERLINK("https://klasma.github.io/Logging_0360/kartor/A 40878-2023 karta.png", "A 40878-2023")</f>
        <v/>
      </c>
      <c r="V492">
        <f>HYPERLINK("https://klasma.github.io/Logging_0360/klagomål/A 40878-2023 FSC-klagomål.docx", "A 40878-2023")</f>
        <v/>
      </c>
      <c r="W492">
        <f>HYPERLINK("https://klasma.github.io/Logging_0360/klagomålsmail/A 40878-2023 FSC-klagomål mail.docx", "A 40878-2023")</f>
        <v/>
      </c>
      <c r="X492">
        <f>HYPERLINK("https://klasma.github.io/Logging_0360/tillsyn/A 40878-2023 tillsynsbegäran.docx", "A 40878-2023")</f>
        <v/>
      </c>
      <c r="Y492">
        <f>HYPERLINK("https://klasma.github.io/Logging_0360/tillsynsmail/A 40878-2023 tillsynsbegäran mail.docx", "A 40878-2023")</f>
        <v/>
      </c>
    </row>
    <row r="493" ht="15" customHeight="1">
      <c r="A493" t="inlineStr">
        <is>
          <t>A 40940-2023</t>
        </is>
      </c>
      <c r="B493" s="1" t="n">
        <v>45173</v>
      </c>
      <c r="C493" s="1" t="n">
        <v>45351</v>
      </c>
      <c r="D493" t="inlineStr">
        <is>
          <t>UPPSALA LÄN</t>
        </is>
      </c>
      <c r="E493" t="inlineStr">
        <is>
          <t>TIERP</t>
        </is>
      </c>
      <c r="F493" t="inlineStr">
        <is>
          <t>Bergvik skog väst AB</t>
        </is>
      </c>
      <c r="G493" t="n">
        <v>1.3</v>
      </c>
      <c r="H493" t="n">
        <v>1</v>
      </c>
      <c r="I493" t="n">
        <v>1</v>
      </c>
      <c r="J493" t="n">
        <v>0</v>
      </c>
      <c r="K493" t="n">
        <v>0</v>
      </c>
      <c r="L493" t="n">
        <v>0</v>
      </c>
      <c r="M493" t="n">
        <v>0</v>
      </c>
      <c r="N493" t="n">
        <v>0</v>
      </c>
      <c r="O493" t="n">
        <v>0</v>
      </c>
      <c r="P493" t="n">
        <v>0</v>
      </c>
      <c r="Q493" t="n">
        <v>1</v>
      </c>
      <c r="R493" s="2" t="inlineStr">
        <is>
          <t>Skogsknipprot</t>
        </is>
      </c>
      <c r="S493">
        <f>HYPERLINK("https://klasma.github.io/Logging_0360/artfynd/A 40940-2023 artfynd.xlsx", "A 40940-2023")</f>
        <v/>
      </c>
      <c r="T493">
        <f>HYPERLINK("https://klasma.github.io/Logging_0360/kartor/A 40940-2023 karta.png", "A 40940-2023")</f>
        <v/>
      </c>
      <c r="V493">
        <f>HYPERLINK("https://klasma.github.io/Logging_0360/klagomål/A 40940-2023 FSC-klagomål.docx", "A 40940-2023")</f>
        <v/>
      </c>
      <c r="W493">
        <f>HYPERLINK("https://klasma.github.io/Logging_0360/klagomålsmail/A 40940-2023 FSC-klagomål mail.docx", "A 40940-2023")</f>
        <v/>
      </c>
      <c r="X493">
        <f>HYPERLINK("https://klasma.github.io/Logging_0360/tillsyn/A 40940-2023 tillsynsbegäran.docx", "A 40940-2023")</f>
        <v/>
      </c>
      <c r="Y493">
        <f>HYPERLINK("https://klasma.github.io/Logging_0360/tillsynsmail/A 40940-2023 tillsynsbegäran mail.docx", "A 40940-2023")</f>
        <v/>
      </c>
    </row>
    <row r="494" ht="15" customHeight="1">
      <c r="A494" t="inlineStr">
        <is>
          <t>A 43162-2023</t>
        </is>
      </c>
      <c r="B494" s="1" t="n">
        <v>45183</v>
      </c>
      <c r="C494" s="1" t="n">
        <v>45351</v>
      </c>
      <c r="D494" t="inlineStr">
        <is>
          <t>UPPSALA LÄN</t>
        </is>
      </c>
      <c r="E494" t="inlineStr">
        <is>
          <t>TIERP</t>
        </is>
      </c>
      <c r="F494" t="inlineStr">
        <is>
          <t>Bergvik skog öst AB</t>
        </is>
      </c>
      <c r="G494" t="n">
        <v>15.7</v>
      </c>
      <c r="H494" t="n">
        <v>1</v>
      </c>
      <c r="I494" t="n">
        <v>0</v>
      </c>
      <c r="J494" t="n">
        <v>1</v>
      </c>
      <c r="K494" t="n">
        <v>0</v>
      </c>
      <c r="L494" t="n">
        <v>0</v>
      </c>
      <c r="M494" t="n">
        <v>0</v>
      </c>
      <c r="N494" t="n">
        <v>0</v>
      </c>
      <c r="O494" t="n">
        <v>1</v>
      </c>
      <c r="P494" t="n">
        <v>0</v>
      </c>
      <c r="Q494" t="n">
        <v>1</v>
      </c>
      <c r="R494" s="2" t="inlineStr">
        <is>
          <t>Gulsparv</t>
        </is>
      </c>
      <c r="S494">
        <f>HYPERLINK("https://klasma.github.io/Logging_0360/artfynd/A 43162-2023 artfynd.xlsx", "A 43162-2023")</f>
        <v/>
      </c>
      <c r="T494">
        <f>HYPERLINK("https://klasma.github.io/Logging_0360/kartor/A 43162-2023 karta.png", "A 43162-2023")</f>
        <v/>
      </c>
      <c r="V494">
        <f>HYPERLINK("https://klasma.github.io/Logging_0360/klagomål/A 43162-2023 FSC-klagomål.docx", "A 43162-2023")</f>
        <v/>
      </c>
      <c r="W494">
        <f>HYPERLINK("https://klasma.github.io/Logging_0360/klagomålsmail/A 43162-2023 FSC-klagomål mail.docx", "A 43162-2023")</f>
        <v/>
      </c>
      <c r="X494">
        <f>HYPERLINK("https://klasma.github.io/Logging_0360/tillsyn/A 43162-2023 tillsynsbegäran.docx", "A 43162-2023")</f>
        <v/>
      </c>
      <c r="Y494">
        <f>HYPERLINK("https://klasma.github.io/Logging_0360/tillsynsmail/A 43162-2023 tillsynsbegäran mail.docx", "A 43162-2023")</f>
        <v/>
      </c>
    </row>
    <row r="495" ht="15" customHeight="1">
      <c r="A495" t="inlineStr">
        <is>
          <t>A 44675-2023</t>
        </is>
      </c>
      <c r="B495" s="1" t="n">
        <v>45189</v>
      </c>
      <c r="C495" s="1" t="n">
        <v>45351</v>
      </c>
      <c r="D495" t="inlineStr">
        <is>
          <t>UPPSALA LÄN</t>
        </is>
      </c>
      <c r="E495" t="inlineStr">
        <is>
          <t>UPPSALA</t>
        </is>
      </c>
      <c r="G495" t="n">
        <v>7.1</v>
      </c>
      <c r="H495" t="n">
        <v>1</v>
      </c>
      <c r="I495" t="n">
        <v>0</v>
      </c>
      <c r="J495" t="n">
        <v>1</v>
      </c>
      <c r="K495" t="n">
        <v>0</v>
      </c>
      <c r="L495" t="n">
        <v>0</v>
      </c>
      <c r="M495" t="n">
        <v>0</v>
      </c>
      <c r="N495" t="n">
        <v>0</v>
      </c>
      <c r="O495" t="n">
        <v>1</v>
      </c>
      <c r="P495" t="n">
        <v>0</v>
      </c>
      <c r="Q495" t="n">
        <v>1</v>
      </c>
      <c r="R495" s="2" t="inlineStr">
        <is>
          <t>Talltita</t>
        </is>
      </c>
      <c r="S495">
        <f>HYPERLINK("https://klasma.github.io/Logging_0380/artfynd/A 44675-2023 artfynd.xlsx", "A 44675-2023")</f>
        <v/>
      </c>
      <c r="T495">
        <f>HYPERLINK("https://klasma.github.io/Logging_0380/kartor/A 44675-2023 karta.png", "A 44675-2023")</f>
        <v/>
      </c>
      <c r="V495">
        <f>HYPERLINK("https://klasma.github.io/Logging_0380/klagomål/A 44675-2023 FSC-klagomål.docx", "A 44675-2023")</f>
        <v/>
      </c>
      <c r="W495">
        <f>HYPERLINK("https://klasma.github.io/Logging_0380/klagomålsmail/A 44675-2023 FSC-klagomål mail.docx", "A 44675-2023")</f>
        <v/>
      </c>
      <c r="X495">
        <f>HYPERLINK("https://klasma.github.io/Logging_0380/tillsyn/A 44675-2023 tillsynsbegäran.docx", "A 44675-2023")</f>
        <v/>
      </c>
      <c r="Y495">
        <f>HYPERLINK("https://klasma.github.io/Logging_0380/tillsynsmail/A 44675-2023 tillsynsbegäran mail.docx", "A 44675-2023")</f>
        <v/>
      </c>
      <c r="Z495">
        <f>HYPERLINK("https://klasma.github.io/Logging_0380/fåglar/A 44675-2023 prioriterade fågelarter.docx", "A 44675-2023")</f>
        <v/>
      </c>
    </row>
    <row r="496" ht="15" customHeight="1">
      <c r="A496" t="inlineStr">
        <is>
          <t>A 45116-2023</t>
        </is>
      </c>
      <c r="B496" s="1" t="n">
        <v>45191</v>
      </c>
      <c r="C496" s="1" t="n">
        <v>45351</v>
      </c>
      <c r="D496" t="inlineStr">
        <is>
          <t>UPPSALA LÄN</t>
        </is>
      </c>
      <c r="E496" t="inlineStr">
        <is>
          <t>ENKÖPING</t>
        </is>
      </c>
      <c r="G496" t="n">
        <v>2</v>
      </c>
      <c r="H496" t="n">
        <v>0</v>
      </c>
      <c r="I496" t="n">
        <v>1</v>
      </c>
      <c r="J496" t="n">
        <v>0</v>
      </c>
      <c r="K496" t="n">
        <v>0</v>
      </c>
      <c r="L496" t="n">
        <v>0</v>
      </c>
      <c r="M496" t="n">
        <v>0</v>
      </c>
      <c r="N496" t="n">
        <v>0</v>
      </c>
      <c r="O496" t="n">
        <v>0</v>
      </c>
      <c r="P496" t="n">
        <v>0</v>
      </c>
      <c r="Q496" t="n">
        <v>1</v>
      </c>
      <c r="R496" s="2" t="inlineStr">
        <is>
          <t>Rävticka</t>
        </is>
      </c>
      <c r="S496">
        <f>HYPERLINK("https://klasma.github.io/Logging_0381/artfynd/A 45116-2023 artfynd.xlsx", "A 45116-2023")</f>
        <v/>
      </c>
      <c r="T496">
        <f>HYPERLINK("https://klasma.github.io/Logging_0381/kartor/A 45116-2023 karta.png", "A 45116-2023")</f>
        <v/>
      </c>
      <c r="V496">
        <f>HYPERLINK("https://klasma.github.io/Logging_0381/klagomål/A 45116-2023 FSC-klagomål.docx", "A 45116-2023")</f>
        <v/>
      </c>
      <c r="W496">
        <f>HYPERLINK("https://klasma.github.io/Logging_0381/klagomålsmail/A 45116-2023 FSC-klagomål mail.docx", "A 45116-2023")</f>
        <v/>
      </c>
      <c r="X496">
        <f>HYPERLINK("https://klasma.github.io/Logging_0381/tillsyn/A 45116-2023 tillsynsbegäran.docx", "A 45116-2023")</f>
        <v/>
      </c>
      <c r="Y496">
        <f>HYPERLINK("https://klasma.github.io/Logging_0381/tillsynsmail/A 45116-2023 tillsynsbegäran mail.docx", "A 45116-2023")</f>
        <v/>
      </c>
    </row>
    <row r="497" ht="15" customHeight="1">
      <c r="A497" t="inlineStr">
        <is>
          <t>A 45617-2023</t>
        </is>
      </c>
      <c r="B497" s="1" t="n">
        <v>45194</v>
      </c>
      <c r="C497" s="1" t="n">
        <v>45351</v>
      </c>
      <c r="D497" t="inlineStr">
        <is>
          <t>UPPSALA LÄN</t>
        </is>
      </c>
      <c r="E497" t="inlineStr">
        <is>
          <t>ENKÖPING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HYPERLINK("https://klasma.github.io/Logging_0381/artfynd/A 45617-2023 artfynd.xlsx", "A 45617-2023")</f>
        <v/>
      </c>
      <c r="T497">
        <f>HYPERLINK("https://klasma.github.io/Logging_0381/kartor/A 45617-2023 karta.png", "A 45617-2023")</f>
        <v/>
      </c>
      <c r="U497">
        <f>HYPERLINK("https://klasma.github.io/Logging_0381/knärot/A 45617-2023 karta knärot.png", "A 45617-2023")</f>
        <v/>
      </c>
      <c r="V497">
        <f>HYPERLINK("https://klasma.github.io/Logging_0381/klagomål/A 45617-2023 FSC-klagomål.docx", "A 45617-2023")</f>
        <v/>
      </c>
      <c r="W497">
        <f>HYPERLINK("https://klasma.github.io/Logging_0381/klagomålsmail/A 45617-2023 FSC-klagomål mail.docx", "A 45617-2023")</f>
        <v/>
      </c>
      <c r="X497">
        <f>HYPERLINK("https://klasma.github.io/Logging_0381/tillsyn/A 45617-2023 tillsynsbegäran.docx", "A 45617-2023")</f>
        <v/>
      </c>
      <c r="Y497">
        <f>HYPERLINK("https://klasma.github.io/Logging_0381/tillsynsmail/A 45617-2023 tillsynsbegäran mail.docx", "A 45617-2023")</f>
        <v/>
      </c>
    </row>
    <row r="498" ht="15" customHeight="1">
      <c r="A498" t="inlineStr">
        <is>
          <t>A 46354-2023</t>
        </is>
      </c>
      <c r="B498" s="1" t="n">
        <v>45197</v>
      </c>
      <c r="C498" s="1" t="n">
        <v>45351</v>
      </c>
      <c r="D498" t="inlineStr">
        <is>
          <t>UPPSALA LÄN</t>
        </is>
      </c>
      <c r="E498" t="inlineStr">
        <is>
          <t>ÄLVKARLEBY</t>
        </is>
      </c>
      <c r="F498" t="inlineStr">
        <is>
          <t>Bergvik skog öst AB</t>
        </is>
      </c>
      <c r="G498" t="n">
        <v>2.3</v>
      </c>
      <c r="H498" t="n">
        <v>1</v>
      </c>
      <c r="I498" t="n">
        <v>1</v>
      </c>
      <c r="J498" t="n">
        <v>0</v>
      </c>
      <c r="K498" t="n">
        <v>0</v>
      </c>
      <c r="L498" t="n">
        <v>0</v>
      </c>
      <c r="M498" t="n">
        <v>0</v>
      </c>
      <c r="N498" t="n">
        <v>0</v>
      </c>
      <c r="O498" t="n">
        <v>0</v>
      </c>
      <c r="P498" t="n">
        <v>0</v>
      </c>
      <c r="Q498" t="n">
        <v>1</v>
      </c>
      <c r="R498" s="2" t="inlineStr">
        <is>
          <t>Skogsknipprot</t>
        </is>
      </c>
      <c r="S498">
        <f>HYPERLINK("https://klasma.github.io/Logging_0319/artfynd/A 46354-2023 artfynd.xlsx", "A 46354-2023")</f>
        <v/>
      </c>
      <c r="T498">
        <f>HYPERLINK("https://klasma.github.io/Logging_0319/kartor/A 46354-2023 karta.png", "A 46354-2023")</f>
        <v/>
      </c>
      <c r="V498">
        <f>HYPERLINK("https://klasma.github.io/Logging_0319/klagomål/A 46354-2023 FSC-klagomål.docx", "A 46354-2023")</f>
        <v/>
      </c>
      <c r="W498">
        <f>HYPERLINK("https://klasma.github.io/Logging_0319/klagomålsmail/A 46354-2023 FSC-klagomål mail.docx", "A 46354-2023")</f>
        <v/>
      </c>
      <c r="X498">
        <f>HYPERLINK("https://klasma.github.io/Logging_0319/tillsyn/A 46354-2023 tillsynsbegäran.docx", "A 46354-2023")</f>
        <v/>
      </c>
      <c r="Y498">
        <f>HYPERLINK("https://klasma.github.io/Logging_0319/tillsynsmail/A 46354-2023 tillsynsbegäran mail.docx", "A 46354-2023")</f>
        <v/>
      </c>
    </row>
    <row r="499" ht="15" customHeight="1">
      <c r="A499" t="inlineStr">
        <is>
          <t>A 48687-2023</t>
        </is>
      </c>
      <c r="B499" s="1" t="n">
        <v>45208</v>
      </c>
      <c r="C499" s="1" t="n">
        <v>45351</v>
      </c>
      <c r="D499" t="inlineStr">
        <is>
          <t>UPPSALA LÄN</t>
        </is>
      </c>
      <c r="E499" t="inlineStr">
        <is>
          <t>TIERP</t>
        </is>
      </c>
      <c r="F499" t="inlineStr">
        <is>
          <t>Bergvik skog öst AB</t>
        </is>
      </c>
      <c r="G499" t="n">
        <v>2.6</v>
      </c>
      <c r="H499" t="n">
        <v>1</v>
      </c>
      <c r="I499" t="n">
        <v>0</v>
      </c>
      <c r="J499" t="n">
        <v>1</v>
      </c>
      <c r="K499" t="n">
        <v>0</v>
      </c>
      <c r="L499" t="n">
        <v>0</v>
      </c>
      <c r="M499" t="n">
        <v>0</v>
      </c>
      <c r="N499" t="n">
        <v>0</v>
      </c>
      <c r="O499" t="n">
        <v>1</v>
      </c>
      <c r="P499" t="n">
        <v>0</v>
      </c>
      <c r="Q499" t="n">
        <v>1</v>
      </c>
      <c r="R499" s="2" t="inlineStr">
        <is>
          <t>Gulsparv</t>
        </is>
      </c>
      <c r="S499">
        <f>HYPERLINK("https://klasma.github.io/Logging_0360/artfynd/A 48687-2023 artfynd.xlsx", "A 48687-2023")</f>
        <v/>
      </c>
      <c r="T499">
        <f>HYPERLINK("https://klasma.github.io/Logging_0360/kartor/A 48687-2023 karta.png", "A 48687-2023")</f>
        <v/>
      </c>
      <c r="V499">
        <f>HYPERLINK("https://klasma.github.io/Logging_0360/klagomål/A 48687-2023 FSC-klagomål.docx", "A 48687-2023")</f>
        <v/>
      </c>
      <c r="W499">
        <f>HYPERLINK("https://klasma.github.io/Logging_0360/klagomålsmail/A 48687-2023 FSC-klagomål mail.docx", "A 48687-2023")</f>
        <v/>
      </c>
      <c r="X499">
        <f>HYPERLINK("https://klasma.github.io/Logging_0360/tillsyn/A 48687-2023 tillsynsbegäran.docx", "A 48687-2023")</f>
        <v/>
      </c>
      <c r="Y499">
        <f>HYPERLINK("https://klasma.github.io/Logging_0360/tillsynsmail/A 48687-2023 tillsynsbegäran mail.docx", "A 48687-2023")</f>
        <v/>
      </c>
    </row>
    <row r="500" ht="15" customHeight="1">
      <c r="A500" t="inlineStr">
        <is>
          <t>A 49794-2023</t>
        </is>
      </c>
      <c r="B500" s="1" t="n">
        <v>45212</v>
      </c>
      <c r="C500" s="1" t="n">
        <v>45351</v>
      </c>
      <c r="D500" t="inlineStr">
        <is>
          <t>UPPSALA LÄN</t>
        </is>
      </c>
      <c r="E500" t="inlineStr">
        <is>
          <t>TIERP</t>
        </is>
      </c>
      <c r="F500" t="inlineStr">
        <is>
          <t>Bergvik skog öst AB</t>
        </is>
      </c>
      <c r="G500" t="n">
        <v>12</v>
      </c>
      <c r="H500" t="n">
        <v>0</v>
      </c>
      <c r="I500" t="n">
        <v>0</v>
      </c>
      <c r="J500" t="n">
        <v>1</v>
      </c>
      <c r="K500" t="n">
        <v>0</v>
      </c>
      <c r="L500" t="n">
        <v>0</v>
      </c>
      <c r="M500" t="n">
        <v>0</v>
      </c>
      <c r="N500" t="n">
        <v>0</v>
      </c>
      <c r="O500" t="n">
        <v>1</v>
      </c>
      <c r="P500" t="n">
        <v>0</v>
      </c>
      <c r="Q500" t="n">
        <v>1</v>
      </c>
      <c r="R500" s="2" t="inlineStr">
        <is>
          <t>Slåtterfibbla</t>
        </is>
      </c>
      <c r="S500">
        <f>HYPERLINK("https://klasma.github.io/Logging_0360/artfynd/A 49794-2023 artfynd.xlsx", "A 49794-2023")</f>
        <v/>
      </c>
      <c r="T500">
        <f>HYPERLINK("https://klasma.github.io/Logging_0360/kartor/A 49794-2023 karta.png", "A 49794-2023")</f>
        <v/>
      </c>
      <c r="V500">
        <f>HYPERLINK("https://klasma.github.io/Logging_0360/klagomål/A 49794-2023 FSC-klagomål.docx", "A 49794-2023")</f>
        <v/>
      </c>
      <c r="W500">
        <f>HYPERLINK("https://klasma.github.io/Logging_0360/klagomålsmail/A 49794-2023 FSC-klagomål mail.docx", "A 49794-2023")</f>
        <v/>
      </c>
      <c r="X500">
        <f>HYPERLINK("https://klasma.github.io/Logging_0360/tillsyn/A 49794-2023 tillsynsbegäran.docx", "A 49794-2023")</f>
        <v/>
      </c>
      <c r="Y500">
        <f>HYPERLINK("https://klasma.github.io/Logging_0360/tillsynsmail/A 49794-2023 tillsynsbegäran mail.docx", "A 49794-2023")</f>
        <v/>
      </c>
    </row>
    <row r="501" ht="15" customHeight="1">
      <c r="A501" t="inlineStr">
        <is>
          <t>A 51382-2023</t>
        </is>
      </c>
      <c r="B501" s="1" t="n">
        <v>45219</v>
      </c>
      <c r="C501" s="1" t="n">
        <v>45351</v>
      </c>
      <c r="D501" t="inlineStr">
        <is>
          <t>UPPSALA LÄN</t>
        </is>
      </c>
      <c r="E501" t="inlineStr">
        <is>
          <t>ENKÖPING</t>
        </is>
      </c>
      <c r="F501" t="inlineStr">
        <is>
          <t>Allmännings- och besparingsskogar</t>
        </is>
      </c>
      <c r="G501" t="n">
        <v>15.9</v>
      </c>
      <c r="H501" t="n">
        <v>0</v>
      </c>
      <c r="I501" t="n">
        <v>0</v>
      </c>
      <c r="J501" t="n">
        <v>1</v>
      </c>
      <c r="K501" t="n">
        <v>0</v>
      </c>
      <c r="L501" t="n">
        <v>0</v>
      </c>
      <c r="M501" t="n">
        <v>0</v>
      </c>
      <c r="N501" t="n">
        <v>0</v>
      </c>
      <c r="O501" t="n">
        <v>1</v>
      </c>
      <c r="P501" t="n">
        <v>0</v>
      </c>
      <c r="Q501" t="n">
        <v>1</v>
      </c>
      <c r="R501" s="2" t="inlineStr">
        <is>
          <t>Krusfrö</t>
        </is>
      </c>
      <c r="S501">
        <f>HYPERLINK("https://klasma.github.io/Logging_0381/artfynd/A 51382-2023 artfynd.xlsx", "A 51382-2023")</f>
        <v/>
      </c>
      <c r="T501">
        <f>HYPERLINK("https://klasma.github.io/Logging_0381/kartor/A 51382-2023 karta.png", "A 51382-2023")</f>
        <v/>
      </c>
      <c r="V501">
        <f>HYPERLINK("https://klasma.github.io/Logging_0381/klagomål/A 51382-2023 FSC-klagomål.docx", "A 51382-2023")</f>
        <v/>
      </c>
      <c r="W501">
        <f>HYPERLINK("https://klasma.github.io/Logging_0381/klagomålsmail/A 51382-2023 FSC-klagomål mail.docx", "A 51382-2023")</f>
        <v/>
      </c>
      <c r="X501">
        <f>HYPERLINK("https://klasma.github.io/Logging_0381/tillsyn/A 51382-2023 tillsynsbegäran.docx", "A 51382-2023")</f>
        <v/>
      </c>
      <c r="Y501">
        <f>HYPERLINK("https://klasma.github.io/Logging_0381/tillsynsmail/A 51382-2023 tillsynsbegäran mail.docx", "A 51382-2023")</f>
        <v/>
      </c>
    </row>
    <row r="502" ht="15" customHeight="1">
      <c r="A502" t="inlineStr">
        <is>
          <t>A 51540-2023</t>
        </is>
      </c>
      <c r="B502" s="1" t="n">
        <v>45222</v>
      </c>
      <c r="C502" s="1" t="n">
        <v>45351</v>
      </c>
      <c r="D502" t="inlineStr">
        <is>
          <t>UPPSALA LÄN</t>
        </is>
      </c>
      <c r="E502" t="inlineStr">
        <is>
          <t>UPPSALA</t>
        </is>
      </c>
      <c r="G502" t="n">
        <v>6.4</v>
      </c>
      <c r="H502" t="n">
        <v>0</v>
      </c>
      <c r="I502" t="n">
        <v>0</v>
      </c>
      <c r="J502" t="n">
        <v>1</v>
      </c>
      <c r="K502" t="n">
        <v>0</v>
      </c>
      <c r="L502" t="n">
        <v>0</v>
      </c>
      <c r="M502" t="n">
        <v>0</v>
      </c>
      <c r="N502" t="n">
        <v>0</v>
      </c>
      <c r="O502" t="n">
        <v>1</v>
      </c>
      <c r="P502" t="n">
        <v>0</v>
      </c>
      <c r="Q502" t="n">
        <v>1</v>
      </c>
      <c r="R502" s="2" t="inlineStr">
        <is>
          <t>Svedjenäva</t>
        </is>
      </c>
      <c r="S502">
        <f>HYPERLINK("https://klasma.github.io/Logging_0380/artfynd/A 51540-2023 artfynd.xlsx", "A 51540-2023")</f>
        <v/>
      </c>
      <c r="T502">
        <f>HYPERLINK("https://klasma.github.io/Logging_0380/kartor/A 51540-2023 karta.png", "A 51540-2023")</f>
        <v/>
      </c>
      <c r="V502">
        <f>HYPERLINK("https://klasma.github.io/Logging_0380/klagomål/A 51540-2023 FSC-klagomål.docx", "A 51540-2023")</f>
        <v/>
      </c>
      <c r="W502">
        <f>HYPERLINK("https://klasma.github.io/Logging_0380/klagomålsmail/A 51540-2023 FSC-klagomål mail.docx", "A 51540-2023")</f>
        <v/>
      </c>
      <c r="X502">
        <f>HYPERLINK("https://klasma.github.io/Logging_0380/tillsyn/A 51540-2023 tillsynsbegäran.docx", "A 51540-2023")</f>
        <v/>
      </c>
      <c r="Y502">
        <f>HYPERLINK("https://klasma.github.io/Logging_0380/tillsynsmail/A 51540-2023 tillsynsbegäran mail.docx", "A 51540-2023")</f>
        <v/>
      </c>
    </row>
    <row r="503" ht="15" customHeight="1">
      <c r="A503" t="inlineStr">
        <is>
          <t>A 53342-2023</t>
        </is>
      </c>
      <c r="B503" s="1" t="n">
        <v>45229</v>
      </c>
      <c r="C503" s="1" t="n">
        <v>45351</v>
      </c>
      <c r="D503" t="inlineStr">
        <is>
          <t>UPPSALA LÄN</t>
        </is>
      </c>
      <c r="E503" t="inlineStr">
        <is>
          <t>ENKÖPING</t>
        </is>
      </c>
      <c r="G503" t="n">
        <v>28.8</v>
      </c>
      <c r="H503" t="n">
        <v>0</v>
      </c>
      <c r="I503" t="n">
        <v>0</v>
      </c>
      <c r="J503" t="n">
        <v>1</v>
      </c>
      <c r="K503" t="n">
        <v>0</v>
      </c>
      <c r="L503" t="n">
        <v>0</v>
      </c>
      <c r="M503" t="n">
        <v>0</v>
      </c>
      <c r="N503" t="n">
        <v>0</v>
      </c>
      <c r="O503" t="n">
        <v>1</v>
      </c>
      <c r="P503" t="n">
        <v>0</v>
      </c>
      <c r="Q503" t="n">
        <v>1</v>
      </c>
      <c r="R503" s="2" t="inlineStr">
        <is>
          <t>Tallticka</t>
        </is>
      </c>
      <c r="S503">
        <f>HYPERLINK("https://klasma.github.io/Logging_0381/artfynd/A 53342-2023 artfynd.xlsx", "A 53342-2023")</f>
        <v/>
      </c>
      <c r="T503">
        <f>HYPERLINK("https://klasma.github.io/Logging_0381/kartor/A 53342-2023 karta.png", "A 53342-2023")</f>
        <v/>
      </c>
      <c r="V503">
        <f>HYPERLINK("https://klasma.github.io/Logging_0381/klagomål/A 53342-2023 FSC-klagomål.docx", "A 53342-2023")</f>
        <v/>
      </c>
      <c r="W503">
        <f>HYPERLINK("https://klasma.github.io/Logging_0381/klagomålsmail/A 53342-2023 FSC-klagomål mail.docx", "A 53342-2023")</f>
        <v/>
      </c>
      <c r="X503">
        <f>HYPERLINK("https://klasma.github.io/Logging_0381/tillsyn/A 53342-2023 tillsynsbegäran.docx", "A 53342-2023")</f>
        <v/>
      </c>
      <c r="Y503">
        <f>HYPERLINK("https://klasma.github.io/Logging_0381/tillsynsmail/A 53342-2023 tillsynsbegäran mail.docx", "A 53342-2023")</f>
        <v/>
      </c>
    </row>
    <row r="504" ht="15" customHeight="1">
      <c r="A504" t="inlineStr">
        <is>
          <t>A 53706-2023</t>
        </is>
      </c>
      <c r="B504" s="1" t="n">
        <v>45230</v>
      </c>
      <c r="C504" s="1" t="n">
        <v>45351</v>
      </c>
      <c r="D504" t="inlineStr">
        <is>
          <t>UPPSALA LÄN</t>
        </is>
      </c>
      <c r="E504" t="inlineStr">
        <is>
          <t>ÖSTHAMMAR</t>
        </is>
      </c>
      <c r="G504" t="n">
        <v>2.9</v>
      </c>
      <c r="H504" t="n">
        <v>0</v>
      </c>
      <c r="I504" t="n">
        <v>1</v>
      </c>
      <c r="J504" t="n">
        <v>0</v>
      </c>
      <c r="K504" t="n">
        <v>0</v>
      </c>
      <c r="L504" t="n">
        <v>0</v>
      </c>
      <c r="M504" t="n">
        <v>0</v>
      </c>
      <c r="N504" t="n">
        <v>0</v>
      </c>
      <c r="O504" t="n">
        <v>0</v>
      </c>
      <c r="P504" t="n">
        <v>0</v>
      </c>
      <c r="Q504" t="n">
        <v>1</v>
      </c>
      <c r="R504" s="2" t="inlineStr">
        <is>
          <t>Dofttråding</t>
        </is>
      </c>
      <c r="S504">
        <f>HYPERLINK("https://klasma.github.io/Logging_0382/artfynd/A 53706-2023 artfynd.xlsx", "A 53706-2023")</f>
        <v/>
      </c>
      <c r="T504">
        <f>HYPERLINK("https://klasma.github.io/Logging_0382/kartor/A 53706-2023 karta.png", "A 53706-2023")</f>
        <v/>
      </c>
      <c r="V504">
        <f>HYPERLINK("https://klasma.github.io/Logging_0382/klagomål/A 53706-2023 FSC-klagomål.docx", "A 53706-2023")</f>
        <v/>
      </c>
      <c r="W504">
        <f>HYPERLINK("https://klasma.github.io/Logging_0382/klagomålsmail/A 53706-2023 FSC-klagomål mail.docx", "A 53706-2023")</f>
        <v/>
      </c>
      <c r="X504">
        <f>HYPERLINK("https://klasma.github.io/Logging_0382/tillsyn/A 53706-2023 tillsynsbegäran.docx", "A 53706-2023")</f>
        <v/>
      </c>
      <c r="Y504">
        <f>HYPERLINK("https://klasma.github.io/Logging_0382/tillsynsmail/A 53706-2023 tillsynsbegäran mail.docx", "A 53706-2023")</f>
        <v/>
      </c>
    </row>
    <row r="505" ht="15" customHeight="1">
      <c r="A505" t="inlineStr">
        <is>
          <t>A 53729-2023</t>
        </is>
      </c>
      <c r="B505" s="1" t="n">
        <v>45230</v>
      </c>
      <c r="C505" s="1" t="n">
        <v>45351</v>
      </c>
      <c r="D505" t="inlineStr">
        <is>
          <t>UPPSALA LÄN</t>
        </is>
      </c>
      <c r="E505" t="inlineStr">
        <is>
          <t>ÖSTHAMMAR</t>
        </is>
      </c>
      <c r="G505" t="n">
        <v>2.6</v>
      </c>
      <c r="H505" t="n">
        <v>1</v>
      </c>
      <c r="I505" t="n">
        <v>0</v>
      </c>
      <c r="J505" t="n">
        <v>0</v>
      </c>
      <c r="K505" t="n">
        <v>0</v>
      </c>
      <c r="L505" t="n">
        <v>0</v>
      </c>
      <c r="M505" t="n">
        <v>0</v>
      </c>
      <c r="N505" t="n">
        <v>0</v>
      </c>
      <c r="O505" t="n">
        <v>0</v>
      </c>
      <c r="P505" t="n">
        <v>0</v>
      </c>
      <c r="Q505" t="n">
        <v>1</v>
      </c>
      <c r="R505" s="2" t="inlineStr">
        <is>
          <t>Gullviva</t>
        </is>
      </c>
      <c r="S505">
        <f>HYPERLINK("https://klasma.github.io/Logging_0382/artfynd/A 53729-2023 artfynd.xlsx", "A 53729-2023")</f>
        <v/>
      </c>
      <c r="T505">
        <f>HYPERLINK("https://klasma.github.io/Logging_0382/kartor/A 53729-2023 karta.png", "A 53729-2023")</f>
        <v/>
      </c>
      <c r="V505">
        <f>HYPERLINK("https://klasma.github.io/Logging_0382/klagomål/A 53729-2023 FSC-klagomål.docx", "A 53729-2023")</f>
        <v/>
      </c>
      <c r="W505">
        <f>HYPERLINK("https://klasma.github.io/Logging_0382/klagomålsmail/A 53729-2023 FSC-klagomål mail.docx", "A 53729-2023")</f>
        <v/>
      </c>
      <c r="X505">
        <f>HYPERLINK("https://klasma.github.io/Logging_0382/tillsyn/A 53729-2023 tillsynsbegäran.docx", "A 53729-2023")</f>
        <v/>
      </c>
      <c r="Y505">
        <f>HYPERLINK("https://klasma.github.io/Logging_0382/tillsynsmail/A 53729-2023 tillsynsbegäran mail.docx", "A 53729-2023")</f>
        <v/>
      </c>
    </row>
    <row r="506" ht="15" customHeight="1">
      <c r="A506" t="inlineStr">
        <is>
          <t>A 55492-2023</t>
        </is>
      </c>
      <c r="B506" s="1" t="n">
        <v>45238</v>
      </c>
      <c r="C506" s="1" t="n">
        <v>45351</v>
      </c>
      <c r="D506" t="inlineStr">
        <is>
          <t>UPPSALA LÄN</t>
        </is>
      </c>
      <c r="E506" t="inlineStr">
        <is>
          <t>ÖSTHAMMAR</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HYPERLINK("https://klasma.github.io/Logging_0382/artfynd/A 55492-2023 artfynd.xlsx", "A 55492-2023")</f>
        <v/>
      </c>
      <c r="T506">
        <f>HYPERLINK("https://klasma.github.io/Logging_0382/kartor/A 55492-2023 karta.png", "A 55492-2023")</f>
        <v/>
      </c>
      <c r="V506">
        <f>HYPERLINK("https://klasma.github.io/Logging_0382/klagomål/A 55492-2023 FSC-klagomål.docx", "A 55492-2023")</f>
        <v/>
      </c>
      <c r="W506">
        <f>HYPERLINK("https://klasma.github.io/Logging_0382/klagomålsmail/A 55492-2023 FSC-klagomål mail.docx", "A 55492-2023")</f>
        <v/>
      </c>
      <c r="X506">
        <f>HYPERLINK("https://klasma.github.io/Logging_0382/tillsyn/A 55492-2023 tillsynsbegäran.docx", "A 55492-2023")</f>
        <v/>
      </c>
      <c r="Y506">
        <f>HYPERLINK("https://klasma.github.io/Logging_0382/tillsynsmail/A 55492-2023 tillsynsbegäran mail.docx", "A 55492-2023")</f>
        <v/>
      </c>
    </row>
    <row r="507" ht="15" customHeight="1">
      <c r="A507" t="inlineStr">
        <is>
          <t>A 56376-2023</t>
        </is>
      </c>
      <c r="B507" s="1" t="n">
        <v>45243</v>
      </c>
      <c r="C507" s="1" t="n">
        <v>45351</v>
      </c>
      <c r="D507" t="inlineStr">
        <is>
          <t>UPPSALA LÄN</t>
        </is>
      </c>
      <c r="E507" t="inlineStr">
        <is>
          <t>HEBY</t>
        </is>
      </c>
      <c r="G507" t="n">
        <v>5.6</v>
      </c>
      <c r="H507" t="n">
        <v>1</v>
      </c>
      <c r="I507" t="n">
        <v>1</v>
      </c>
      <c r="J507" t="n">
        <v>0</v>
      </c>
      <c r="K507" t="n">
        <v>0</v>
      </c>
      <c r="L507" t="n">
        <v>0</v>
      </c>
      <c r="M507" t="n">
        <v>0</v>
      </c>
      <c r="N507" t="n">
        <v>0</v>
      </c>
      <c r="O507" t="n">
        <v>0</v>
      </c>
      <c r="P507" t="n">
        <v>0</v>
      </c>
      <c r="Q507" t="n">
        <v>1</v>
      </c>
      <c r="R507" s="2" t="inlineStr">
        <is>
          <t>Skogsknipprot</t>
        </is>
      </c>
      <c r="S507">
        <f>HYPERLINK("https://klasma.github.io/Logging_0331/artfynd/A 56376-2023 artfynd.xlsx", "A 56376-2023")</f>
        <v/>
      </c>
      <c r="T507">
        <f>HYPERLINK("https://klasma.github.io/Logging_0331/kartor/A 56376-2023 karta.png", "A 56376-2023")</f>
        <v/>
      </c>
      <c r="V507">
        <f>HYPERLINK("https://klasma.github.io/Logging_0331/klagomål/A 56376-2023 FSC-klagomål.docx", "A 56376-2023")</f>
        <v/>
      </c>
      <c r="W507">
        <f>HYPERLINK("https://klasma.github.io/Logging_0331/klagomålsmail/A 56376-2023 FSC-klagomål mail.docx", "A 56376-2023")</f>
        <v/>
      </c>
      <c r="X507">
        <f>HYPERLINK("https://klasma.github.io/Logging_0331/tillsyn/A 56376-2023 tillsynsbegäran.docx", "A 56376-2023")</f>
        <v/>
      </c>
      <c r="Y507">
        <f>HYPERLINK("https://klasma.github.io/Logging_0331/tillsynsmail/A 56376-2023 tillsynsbegäran mail.docx", "A 56376-2023")</f>
        <v/>
      </c>
    </row>
    <row r="508" ht="15" customHeight="1">
      <c r="A508" t="inlineStr">
        <is>
          <t>A 57598-2023</t>
        </is>
      </c>
      <c r="B508" s="1" t="n">
        <v>45246</v>
      </c>
      <c r="C508" s="1" t="n">
        <v>45351</v>
      </c>
      <c r="D508" t="inlineStr">
        <is>
          <t>UPPSALA LÄN</t>
        </is>
      </c>
      <c r="E508" t="inlineStr">
        <is>
          <t>ÖSTHAMMAR</t>
        </is>
      </c>
      <c r="F508" t="inlineStr">
        <is>
          <t>Bergvik skog öst AB</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57598-2023 artfynd.xlsx", "A 57598-2023")</f>
        <v/>
      </c>
      <c r="T508">
        <f>HYPERLINK("https://klasma.github.io/Logging_0382/kartor/A 57598-2023 karta.png", "A 57598-2023")</f>
        <v/>
      </c>
      <c r="V508">
        <f>HYPERLINK("https://klasma.github.io/Logging_0382/klagomål/A 57598-2023 FSC-klagomål.docx", "A 57598-2023")</f>
        <v/>
      </c>
      <c r="W508">
        <f>HYPERLINK("https://klasma.github.io/Logging_0382/klagomålsmail/A 57598-2023 FSC-klagomål mail.docx", "A 57598-2023")</f>
        <v/>
      </c>
      <c r="X508">
        <f>HYPERLINK("https://klasma.github.io/Logging_0382/tillsyn/A 57598-2023 tillsynsbegäran.docx", "A 57598-2023")</f>
        <v/>
      </c>
      <c r="Y508">
        <f>HYPERLINK("https://klasma.github.io/Logging_0382/tillsynsmail/A 57598-2023 tillsynsbegäran mail.docx", "A 57598-2023")</f>
        <v/>
      </c>
    </row>
    <row r="509" ht="15" customHeight="1">
      <c r="A509" t="inlineStr">
        <is>
          <t>A 57607-2023</t>
        </is>
      </c>
      <c r="B509" s="1" t="n">
        <v>45246</v>
      </c>
      <c r="C509" s="1" t="n">
        <v>45351</v>
      </c>
      <c r="D509" t="inlineStr">
        <is>
          <t>UPPSALA LÄN</t>
        </is>
      </c>
      <c r="E509" t="inlineStr">
        <is>
          <t>ÖSTHAMMAR</t>
        </is>
      </c>
      <c r="F509" t="inlineStr">
        <is>
          <t>Bergvik skog öst AB</t>
        </is>
      </c>
      <c r="G509" t="n">
        <v>5.8</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57607-2023 artfynd.xlsx", "A 57607-2023")</f>
        <v/>
      </c>
      <c r="T509">
        <f>HYPERLINK("https://klasma.github.io/Logging_0382/kartor/A 57607-2023 karta.png", "A 57607-2023")</f>
        <v/>
      </c>
      <c r="V509">
        <f>HYPERLINK("https://klasma.github.io/Logging_0382/klagomål/A 57607-2023 FSC-klagomål.docx", "A 57607-2023")</f>
        <v/>
      </c>
      <c r="W509">
        <f>HYPERLINK("https://klasma.github.io/Logging_0382/klagomålsmail/A 57607-2023 FSC-klagomål mail.docx", "A 57607-2023")</f>
        <v/>
      </c>
      <c r="X509">
        <f>HYPERLINK("https://klasma.github.io/Logging_0382/tillsyn/A 57607-2023 tillsynsbegäran.docx", "A 57607-2023")</f>
        <v/>
      </c>
      <c r="Y509">
        <f>HYPERLINK("https://klasma.github.io/Logging_0382/tillsynsmail/A 57607-2023 tillsynsbegäran mail.docx", "A 57607-2023")</f>
        <v/>
      </c>
    </row>
    <row r="510" ht="15" customHeight="1">
      <c r="A510" t="inlineStr">
        <is>
          <t>A 57640-2023</t>
        </is>
      </c>
      <c r="B510" s="1" t="n">
        <v>45246</v>
      </c>
      <c r="C510" s="1" t="n">
        <v>45351</v>
      </c>
      <c r="D510" t="inlineStr">
        <is>
          <t>UPPSALA LÄN</t>
        </is>
      </c>
      <c r="E510" t="inlineStr">
        <is>
          <t>ÖSTHAMMAR</t>
        </is>
      </c>
      <c r="F510" t="inlineStr">
        <is>
          <t>Bergvik skog öst AB</t>
        </is>
      </c>
      <c r="G510" t="n">
        <v>2.3</v>
      </c>
      <c r="H510" t="n">
        <v>0</v>
      </c>
      <c r="I510" t="n">
        <v>1</v>
      </c>
      <c r="J510" t="n">
        <v>0</v>
      </c>
      <c r="K510" t="n">
        <v>0</v>
      </c>
      <c r="L510" t="n">
        <v>0</v>
      </c>
      <c r="M510" t="n">
        <v>0</v>
      </c>
      <c r="N510" t="n">
        <v>0</v>
      </c>
      <c r="O510" t="n">
        <v>0</v>
      </c>
      <c r="P510" t="n">
        <v>0</v>
      </c>
      <c r="Q510" t="n">
        <v>1</v>
      </c>
      <c r="R510" s="2" t="inlineStr">
        <is>
          <t>Svavelriska</t>
        </is>
      </c>
      <c r="S510">
        <f>HYPERLINK("https://klasma.github.io/Logging_0382/artfynd/A 57640-2023 artfynd.xlsx", "A 57640-2023")</f>
        <v/>
      </c>
      <c r="T510">
        <f>HYPERLINK("https://klasma.github.io/Logging_0382/kartor/A 57640-2023 karta.png", "A 57640-2023")</f>
        <v/>
      </c>
      <c r="V510">
        <f>HYPERLINK("https://klasma.github.io/Logging_0382/klagomål/A 57640-2023 FSC-klagomål.docx", "A 57640-2023")</f>
        <v/>
      </c>
      <c r="W510">
        <f>HYPERLINK("https://klasma.github.io/Logging_0382/klagomålsmail/A 57640-2023 FSC-klagomål mail.docx", "A 57640-2023")</f>
        <v/>
      </c>
      <c r="X510">
        <f>HYPERLINK("https://klasma.github.io/Logging_0382/tillsyn/A 57640-2023 tillsynsbegäran.docx", "A 57640-2023")</f>
        <v/>
      </c>
      <c r="Y510">
        <f>HYPERLINK("https://klasma.github.io/Logging_0382/tillsynsmail/A 57640-2023 tillsynsbegäran mail.docx", "A 57640-2023")</f>
        <v/>
      </c>
    </row>
    <row r="511" ht="15" customHeight="1">
      <c r="A511" t="inlineStr">
        <is>
          <t>A 58676-2023</t>
        </is>
      </c>
      <c r="B511" s="1" t="n">
        <v>45247</v>
      </c>
      <c r="C511" s="1" t="n">
        <v>45351</v>
      </c>
      <c r="D511" t="inlineStr">
        <is>
          <t>UPPSALA LÄN</t>
        </is>
      </c>
      <c r="E511" t="inlineStr">
        <is>
          <t>HÅBO</t>
        </is>
      </c>
      <c r="G511" t="n">
        <v>3.7</v>
      </c>
      <c r="H511" t="n">
        <v>0</v>
      </c>
      <c r="I511" t="n">
        <v>1</v>
      </c>
      <c r="J511" t="n">
        <v>0</v>
      </c>
      <c r="K511" t="n">
        <v>0</v>
      </c>
      <c r="L511" t="n">
        <v>0</v>
      </c>
      <c r="M511" t="n">
        <v>0</v>
      </c>
      <c r="N511" t="n">
        <v>0</v>
      </c>
      <c r="O511" t="n">
        <v>0</v>
      </c>
      <c r="P511" t="n">
        <v>0</v>
      </c>
      <c r="Q511" t="n">
        <v>1</v>
      </c>
      <c r="R511" s="2" t="inlineStr">
        <is>
          <t>Trådticka</t>
        </is>
      </c>
      <c r="S511">
        <f>HYPERLINK("https://klasma.github.io/Logging_0305/artfynd/A 58676-2023 artfynd.xlsx", "A 58676-2023")</f>
        <v/>
      </c>
      <c r="T511">
        <f>HYPERLINK("https://klasma.github.io/Logging_0305/kartor/A 58676-2023 karta.png", "A 58676-2023")</f>
        <v/>
      </c>
      <c r="V511">
        <f>HYPERLINK("https://klasma.github.io/Logging_0305/klagomål/A 58676-2023 FSC-klagomål.docx", "A 58676-2023")</f>
        <v/>
      </c>
      <c r="W511">
        <f>HYPERLINK("https://klasma.github.io/Logging_0305/klagomålsmail/A 58676-2023 FSC-klagomål mail.docx", "A 58676-2023")</f>
        <v/>
      </c>
      <c r="X511">
        <f>HYPERLINK("https://klasma.github.io/Logging_0305/tillsyn/A 58676-2023 tillsynsbegäran.docx", "A 58676-2023")</f>
        <v/>
      </c>
      <c r="Y511">
        <f>HYPERLINK("https://klasma.github.io/Logging_0305/tillsynsmail/A 58676-2023 tillsynsbegäran mail.docx", "A 58676-2023")</f>
        <v/>
      </c>
    </row>
    <row r="512" ht="15" customHeight="1">
      <c r="A512" t="inlineStr">
        <is>
          <t>A 59160-2023</t>
        </is>
      </c>
      <c r="B512" s="1" t="n">
        <v>45253</v>
      </c>
      <c r="C512" s="1" t="n">
        <v>45351</v>
      </c>
      <c r="D512" t="inlineStr">
        <is>
          <t>UPPSALA LÄN</t>
        </is>
      </c>
      <c r="E512" t="inlineStr">
        <is>
          <t>HÅBO</t>
        </is>
      </c>
      <c r="G512" t="n">
        <v>2.9</v>
      </c>
      <c r="H512" t="n">
        <v>0</v>
      </c>
      <c r="I512" t="n">
        <v>0</v>
      </c>
      <c r="J512" t="n">
        <v>1</v>
      </c>
      <c r="K512" t="n">
        <v>0</v>
      </c>
      <c r="L512" t="n">
        <v>0</v>
      </c>
      <c r="M512" t="n">
        <v>0</v>
      </c>
      <c r="N512" t="n">
        <v>0</v>
      </c>
      <c r="O512" t="n">
        <v>1</v>
      </c>
      <c r="P512" t="n">
        <v>0</v>
      </c>
      <c r="Q512" t="n">
        <v>1</v>
      </c>
      <c r="R512" s="2" t="inlineStr">
        <is>
          <t>Kungsspindling</t>
        </is>
      </c>
      <c r="S512">
        <f>HYPERLINK("https://klasma.github.io/Logging_0305/artfynd/A 59160-2023 artfynd.xlsx", "A 59160-2023")</f>
        <v/>
      </c>
      <c r="T512">
        <f>HYPERLINK("https://klasma.github.io/Logging_0305/kartor/A 59160-2023 karta.png", "A 59160-2023")</f>
        <v/>
      </c>
      <c r="V512">
        <f>HYPERLINK("https://klasma.github.io/Logging_0305/klagomål/A 59160-2023 FSC-klagomål.docx", "A 59160-2023")</f>
        <v/>
      </c>
      <c r="W512">
        <f>HYPERLINK("https://klasma.github.io/Logging_0305/klagomålsmail/A 59160-2023 FSC-klagomål mail.docx", "A 59160-2023")</f>
        <v/>
      </c>
      <c r="X512">
        <f>HYPERLINK("https://klasma.github.io/Logging_0305/tillsyn/A 59160-2023 tillsynsbegäran.docx", "A 59160-2023")</f>
        <v/>
      </c>
      <c r="Y512">
        <f>HYPERLINK("https://klasma.github.io/Logging_0305/tillsynsmail/A 59160-2023 tillsynsbegäran mail.docx", "A 59160-2023")</f>
        <v/>
      </c>
    </row>
    <row r="513" ht="15" customHeight="1">
      <c r="A513" t="inlineStr">
        <is>
          <t>A 59454-2023</t>
        </is>
      </c>
      <c r="B513" s="1" t="n">
        <v>45253</v>
      </c>
      <c r="C513" s="1" t="n">
        <v>45351</v>
      </c>
      <c r="D513" t="inlineStr">
        <is>
          <t>UPPSALA LÄN</t>
        </is>
      </c>
      <c r="E513" t="inlineStr">
        <is>
          <t>TIERP</t>
        </is>
      </c>
      <c r="G513" t="n">
        <v>8.800000000000001</v>
      </c>
      <c r="H513" t="n">
        <v>0</v>
      </c>
      <c r="I513" t="n">
        <v>1</v>
      </c>
      <c r="J513" t="n">
        <v>0</v>
      </c>
      <c r="K513" t="n">
        <v>0</v>
      </c>
      <c r="L513" t="n">
        <v>0</v>
      </c>
      <c r="M513" t="n">
        <v>0</v>
      </c>
      <c r="N513" t="n">
        <v>0</v>
      </c>
      <c r="O513" t="n">
        <v>0</v>
      </c>
      <c r="P513" t="n">
        <v>0</v>
      </c>
      <c r="Q513" t="n">
        <v>1</v>
      </c>
      <c r="R513" s="2" t="inlineStr">
        <is>
          <t>Jättesvampmal</t>
        </is>
      </c>
      <c r="S513">
        <f>HYPERLINK("https://klasma.github.io/Logging_0360/artfynd/A 59454-2023 artfynd.xlsx", "A 59454-2023")</f>
        <v/>
      </c>
      <c r="T513">
        <f>HYPERLINK("https://klasma.github.io/Logging_0360/kartor/A 59454-2023 karta.png", "A 59454-2023")</f>
        <v/>
      </c>
      <c r="V513">
        <f>HYPERLINK("https://klasma.github.io/Logging_0360/klagomål/A 59454-2023 FSC-klagomål.docx", "A 59454-2023")</f>
        <v/>
      </c>
      <c r="W513">
        <f>HYPERLINK("https://klasma.github.io/Logging_0360/klagomålsmail/A 59454-2023 FSC-klagomål mail.docx", "A 59454-2023")</f>
        <v/>
      </c>
      <c r="X513">
        <f>HYPERLINK("https://klasma.github.io/Logging_0360/tillsyn/A 59454-2023 tillsynsbegäran.docx", "A 59454-2023")</f>
        <v/>
      </c>
      <c r="Y513">
        <f>HYPERLINK("https://klasma.github.io/Logging_0360/tillsynsmail/A 59454-2023 tillsynsbegäran mail.docx", "A 59454-2023")</f>
        <v/>
      </c>
    </row>
    <row r="514" ht="15" customHeight="1">
      <c r="A514" t="inlineStr">
        <is>
          <t>A 59708-2023</t>
        </is>
      </c>
      <c r="B514" s="1" t="n">
        <v>45256</v>
      </c>
      <c r="C514" s="1" t="n">
        <v>45351</v>
      </c>
      <c r="D514" t="inlineStr">
        <is>
          <t>UPPSALA LÄN</t>
        </is>
      </c>
      <c r="E514" t="inlineStr">
        <is>
          <t>HEBY</t>
        </is>
      </c>
      <c r="G514" t="n">
        <v>3.1</v>
      </c>
      <c r="H514" t="n">
        <v>1</v>
      </c>
      <c r="I514" t="n">
        <v>0</v>
      </c>
      <c r="J514" t="n">
        <v>0</v>
      </c>
      <c r="K514" t="n">
        <v>0</v>
      </c>
      <c r="L514" t="n">
        <v>0</v>
      </c>
      <c r="M514" t="n">
        <v>0</v>
      </c>
      <c r="N514" t="n">
        <v>0</v>
      </c>
      <c r="O514" t="n">
        <v>0</v>
      </c>
      <c r="P514" t="n">
        <v>0</v>
      </c>
      <c r="Q514" t="n">
        <v>1</v>
      </c>
      <c r="R514" s="2" t="inlineStr">
        <is>
          <t>Mindre vattensalamander</t>
        </is>
      </c>
      <c r="S514">
        <f>HYPERLINK("https://klasma.github.io/Logging_0331/artfynd/A 59708-2023 artfynd.xlsx", "A 59708-2023")</f>
        <v/>
      </c>
      <c r="T514">
        <f>HYPERLINK("https://klasma.github.io/Logging_0331/kartor/A 59708-2023 karta.png", "A 59708-2023")</f>
        <v/>
      </c>
      <c r="V514">
        <f>HYPERLINK("https://klasma.github.io/Logging_0331/klagomål/A 59708-2023 FSC-klagomål.docx", "A 59708-2023")</f>
        <v/>
      </c>
      <c r="W514">
        <f>HYPERLINK("https://klasma.github.io/Logging_0331/klagomålsmail/A 59708-2023 FSC-klagomål mail.docx", "A 59708-2023")</f>
        <v/>
      </c>
      <c r="X514">
        <f>HYPERLINK("https://klasma.github.io/Logging_0331/tillsyn/A 59708-2023 tillsynsbegäran.docx", "A 59708-2023")</f>
        <v/>
      </c>
      <c r="Y514">
        <f>HYPERLINK("https://klasma.github.io/Logging_0331/tillsynsmail/A 59708-2023 tillsynsbegäran mail.docx", "A 59708-2023")</f>
        <v/>
      </c>
    </row>
    <row r="515" ht="15" customHeight="1">
      <c r="A515" t="inlineStr">
        <is>
          <t>A 61068-2023</t>
        </is>
      </c>
      <c r="B515" s="1" t="n">
        <v>45259</v>
      </c>
      <c r="C515" s="1" t="n">
        <v>45351</v>
      </c>
      <c r="D515" t="inlineStr">
        <is>
          <t>UPPSALA LÄN</t>
        </is>
      </c>
      <c r="E515" t="inlineStr">
        <is>
          <t>UPPSALA</t>
        </is>
      </c>
      <c r="F515" t="inlineStr">
        <is>
          <t>Övriga Aktiebolag</t>
        </is>
      </c>
      <c r="G515" t="n">
        <v>8.800000000000001</v>
      </c>
      <c r="H515" t="n">
        <v>1</v>
      </c>
      <c r="I515" t="n">
        <v>0</v>
      </c>
      <c r="J515" t="n">
        <v>0</v>
      </c>
      <c r="K515" t="n">
        <v>1</v>
      </c>
      <c r="L515" t="n">
        <v>0</v>
      </c>
      <c r="M515" t="n">
        <v>0</v>
      </c>
      <c r="N515" t="n">
        <v>0</v>
      </c>
      <c r="O515" t="n">
        <v>1</v>
      </c>
      <c r="P515" t="n">
        <v>1</v>
      </c>
      <c r="Q515" t="n">
        <v>1</v>
      </c>
      <c r="R515" s="2" t="inlineStr">
        <is>
          <t>Knärot</t>
        </is>
      </c>
      <c r="S515">
        <f>HYPERLINK("https://klasma.github.io/Logging_0380/artfynd/A 61068-2023 artfynd.xlsx", "A 61068-2023")</f>
        <v/>
      </c>
      <c r="T515">
        <f>HYPERLINK("https://klasma.github.io/Logging_0380/kartor/A 61068-2023 karta.png", "A 61068-2023")</f>
        <v/>
      </c>
      <c r="U515">
        <f>HYPERLINK("https://klasma.github.io/Logging_0380/knärot/A 61068-2023 karta knärot.png", "A 61068-2023")</f>
        <v/>
      </c>
      <c r="V515">
        <f>HYPERLINK("https://klasma.github.io/Logging_0380/klagomål/A 61068-2023 FSC-klagomål.docx", "A 61068-2023")</f>
        <v/>
      </c>
      <c r="W515">
        <f>HYPERLINK("https://klasma.github.io/Logging_0380/klagomålsmail/A 61068-2023 FSC-klagomål mail.docx", "A 61068-2023")</f>
        <v/>
      </c>
      <c r="X515">
        <f>HYPERLINK("https://klasma.github.io/Logging_0380/tillsyn/A 61068-2023 tillsynsbegäran.docx", "A 61068-2023")</f>
        <v/>
      </c>
      <c r="Y515">
        <f>HYPERLINK("https://klasma.github.io/Logging_0380/tillsynsmail/A 61068-2023 tillsynsbegäran mail.docx", "A 61068-2023")</f>
        <v/>
      </c>
    </row>
    <row r="516" ht="15" customHeight="1">
      <c r="A516" t="inlineStr">
        <is>
          <t>A 63172-2023</t>
        </is>
      </c>
      <c r="B516" s="1" t="n">
        <v>45273</v>
      </c>
      <c r="C516" s="1" t="n">
        <v>45351</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584-2024</t>
        </is>
      </c>
      <c r="B517" s="1" t="n">
        <v>45299</v>
      </c>
      <c r="C517" s="1" t="n">
        <v>45351</v>
      </c>
      <c r="D517" t="inlineStr">
        <is>
          <t>UPPSALA LÄN</t>
        </is>
      </c>
      <c r="E517" t="inlineStr">
        <is>
          <t>UPPSALA</t>
        </is>
      </c>
      <c r="G517" t="n">
        <v>1.3</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584-2024 artfynd.xlsx", "A 584-2024")</f>
        <v/>
      </c>
      <c r="T517">
        <f>HYPERLINK("https://klasma.github.io/Logging_0380/kartor/A 584-2024 karta.png", "A 584-2024")</f>
        <v/>
      </c>
      <c r="V517">
        <f>HYPERLINK("https://klasma.github.io/Logging_0380/klagomål/A 584-2024 FSC-klagomål.docx", "A 584-2024")</f>
        <v/>
      </c>
      <c r="W517">
        <f>HYPERLINK("https://klasma.github.io/Logging_0380/klagomålsmail/A 584-2024 FSC-klagomål mail.docx", "A 584-2024")</f>
        <v/>
      </c>
      <c r="X517">
        <f>HYPERLINK("https://klasma.github.io/Logging_0380/tillsyn/A 584-2024 tillsynsbegäran.docx", "A 584-2024")</f>
        <v/>
      </c>
      <c r="Y517">
        <f>HYPERLINK("https://klasma.github.io/Logging_0380/tillsynsmail/A 584-2024 tillsynsbegäran mail.docx", "A 584-2024")</f>
        <v/>
      </c>
    </row>
    <row r="518" ht="15" customHeight="1">
      <c r="A518" t="inlineStr">
        <is>
          <t>A 2298-2024</t>
        </is>
      </c>
      <c r="B518" s="1" t="n">
        <v>45310</v>
      </c>
      <c r="C518" s="1" t="n">
        <v>45351</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2332-2024</t>
        </is>
      </c>
      <c r="B519" s="1" t="n">
        <v>45310</v>
      </c>
      <c r="C519" s="1" t="n">
        <v>45351</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4048-2024</t>
        </is>
      </c>
      <c r="B520" s="1" t="n">
        <v>45323</v>
      </c>
      <c r="C520" s="1" t="n">
        <v>45351</v>
      </c>
      <c r="D520" t="inlineStr">
        <is>
          <t>UPPSALA LÄN</t>
        </is>
      </c>
      <c r="E520" t="inlineStr">
        <is>
          <t>ÖSTHAMMAR</t>
        </is>
      </c>
      <c r="F520" t="inlineStr">
        <is>
          <t>Övriga Aktiebolag</t>
        </is>
      </c>
      <c r="G520" t="n">
        <v>21.2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4048-2024 artfynd.xlsx", "A 4048-2024")</f>
        <v/>
      </c>
      <c r="T520">
        <f>HYPERLINK("https://klasma.github.io/Logging_0382/kartor/A 4048-2024 karta.png", "A 4048-2024")</f>
        <v/>
      </c>
      <c r="V520">
        <f>HYPERLINK("https://klasma.github.io/Logging_0382/klagomål/A 4048-2024 FSC-klagomål.docx", "A 4048-2024")</f>
        <v/>
      </c>
      <c r="W520">
        <f>HYPERLINK("https://klasma.github.io/Logging_0382/klagomålsmail/A 4048-2024 FSC-klagomål mail.docx", "A 4048-2024")</f>
        <v/>
      </c>
      <c r="X520">
        <f>HYPERLINK("https://klasma.github.io/Logging_0382/tillsyn/A 4048-2024 tillsynsbegäran.docx", "A 4048-2024")</f>
        <v/>
      </c>
      <c r="Y520">
        <f>HYPERLINK("https://klasma.github.io/Logging_0382/tillsynsmail/A 4048-2024 tillsynsbegäran mail.docx", "A 4048-2024")</f>
        <v/>
      </c>
    </row>
    <row r="521" ht="15" customHeight="1">
      <c r="A521" t="inlineStr">
        <is>
          <t>A 5209-2024</t>
        </is>
      </c>
      <c r="B521" s="1" t="n">
        <v>45330</v>
      </c>
      <c r="C521" s="1" t="n">
        <v>45351</v>
      </c>
      <c r="D521" t="inlineStr">
        <is>
          <t>UPPSALA LÄN</t>
        </is>
      </c>
      <c r="E521" t="inlineStr">
        <is>
          <t>ÄLVKARLEBY</t>
        </is>
      </c>
      <c r="G521" t="n">
        <v>6.3</v>
      </c>
      <c r="H521" t="n">
        <v>1</v>
      </c>
      <c r="I521" t="n">
        <v>1</v>
      </c>
      <c r="J521" t="n">
        <v>0</v>
      </c>
      <c r="K521" t="n">
        <v>0</v>
      </c>
      <c r="L521" t="n">
        <v>0</v>
      </c>
      <c r="M521" t="n">
        <v>0</v>
      </c>
      <c r="N521" t="n">
        <v>0</v>
      </c>
      <c r="O521" t="n">
        <v>0</v>
      </c>
      <c r="P521" t="n">
        <v>0</v>
      </c>
      <c r="Q521" t="n">
        <v>1</v>
      </c>
      <c r="R521" s="2" t="inlineStr">
        <is>
          <t>Guckusko</t>
        </is>
      </c>
      <c r="S521">
        <f>HYPERLINK("https://klasma.github.io/Logging_0319/artfynd/A 5209-2024 artfynd.xlsx", "A 5209-2024")</f>
        <v/>
      </c>
      <c r="T521">
        <f>HYPERLINK("https://klasma.github.io/Logging_0319/kartor/A 5209-2024 karta.png", "A 5209-2024")</f>
        <v/>
      </c>
      <c r="V521">
        <f>HYPERLINK("https://klasma.github.io/Logging_0319/klagomål/A 5209-2024 FSC-klagomål.docx", "A 5209-2024")</f>
        <v/>
      </c>
      <c r="W521">
        <f>HYPERLINK("https://klasma.github.io/Logging_0319/klagomålsmail/A 5209-2024 FSC-klagomål mail.docx", "A 5209-2024")</f>
        <v/>
      </c>
      <c r="X521">
        <f>HYPERLINK("https://klasma.github.io/Logging_0319/tillsyn/A 5209-2024 tillsynsbegäran.docx", "A 5209-2024")</f>
        <v/>
      </c>
      <c r="Y521">
        <f>HYPERLINK("https://klasma.github.io/Logging_0319/tillsynsmail/A 5209-2024 tillsynsbegäran mail.docx", "A 5209-2024")</f>
        <v/>
      </c>
    </row>
    <row r="522" ht="15" customHeight="1">
      <c r="A522" t="inlineStr">
        <is>
          <t>A 5700-2024</t>
        </is>
      </c>
      <c r="B522" s="1" t="n">
        <v>45335</v>
      </c>
      <c r="C522" s="1" t="n">
        <v>45351</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7395-2024</t>
        </is>
      </c>
      <c r="B523" s="1" t="n">
        <v>45345</v>
      </c>
      <c r="C523" s="1" t="n">
        <v>45351</v>
      </c>
      <c r="D523" t="inlineStr">
        <is>
          <t>UPPSALA LÄN</t>
        </is>
      </c>
      <c r="E523" t="inlineStr">
        <is>
          <t>UPPSALA</t>
        </is>
      </c>
      <c r="G523" t="n">
        <v>1.3</v>
      </c>
      <c r="H523" t="n">
        <v>1</v>
      </c>
      <c r="I523" t="n">
        <v>0</v>
      </c>
      <c r="J523" t="n">
        <v>0</v>
      </c>
      <c r="K523" t="n">
        <v>1</v>
      </c>
      <c r="L523" t="n">
        <v>0</v>
      </c>
      <c r="M523" t="n">
        <v>0</v>
      </c>
      <c r="N523" t="n">
        <v>0</v>
      </c>
      <c r="O523" t="n">
        <v>1</v>
      </c>
      <c r="P523" t="n">
        <v>1</v>
      </c>
      <c r="Q523" t="n">
        <v>1</v>
      </c>
      <c r="R523" s="2" t="inlineStr">
        <is>
          <t>Knärot</t>
        </is>
      </c>
      <c r="S523">
        <f>HYPERLINK("https://klasma.github.io/Logging_0380/artfynd/A 7395-2024 artfynd.xlsx", "A 7395-2024")</f>
        <v/>
      </c>
      <c r="T523">
        <f>HYPERLINK("https://klasma.github.io/Logging_0380/kartor/A 7395-2024 karta.png", "A 7395-2024")</f>
        <v/>
      </c>
      <c r="U523">
        <f>HYPERLINK("https://klasma.github.io/Logging_0380/knärot/A 7395-2024 karta knärot.png", "A 7395-2024")</f>
        <v/>
      </c>
      <c r="V523">
        <f>HYPERLINK("https://klasma.github.io/Logging_0380/klagomål/A 7395-2024 FSC-klagomål.docx", "A 7395-2024")</f>
        <v/>
      </c>
      <c r="W523">
        <f>HYPERLINK("https://klasma.github.io/Logging_0380/klagomålsmail/A 7395-2024 FSC-klagomål mail.docx", "A 7395-2024")</f>
        <v/>
      </c>
      <c r="X523">
        <f>HYPERLINK("https://klasma.github.io/Logging_0380/tillsyn/A 7395-2024 tillsynsbegäran.docx", "A 7395-2024")</f>
        <v/>
      </c>
      <c r="Y523">
        <f>HYPERLINK("https://klasma.github.io/Logging_0380/tillsynsmail/A 7395-2024 tillsynsbegäran mail.docx", "A 7395-2024")</f>
        <v/>
      </c>
    </row>
    <row r="524" ht="15" customHeight="1">
      <c r="A524" t="inlineStr">
        <is>
          <t>A 7397-2024</t>
        </is>
      </c>
      <c r="B524" s="1" t="n">
        <v>45345</v>
      </c>
      <c r="C524" s="1" t="n">
        <v>45351</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34674-2018</t>
        </is>
      </c>
      <c r="B525" s="1" t="n">
        <v>43320</v>
      </c>
      <c r="C525" s="1" t="n">
        <v>45351</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34956-2018</t>
        </is>
      </c>
      <c r="B526" s="1" t="n">
        <v>43321</v>
      </c>
      <c r="C526" s="1" t="n">
        <v>45351</v>
      </c>
      <c r="D526" t="inlineStr">
        <is>
          <t>UPPSALA LÄN</t>
        </is>
      </c>
      <c r="E526" t="inlineStr">
        <is>
          <t>UPPSALA</t>
        </is>
      </c>
      <c r="G526" t="n">
        <v>7.9</v>
      </c>
      <c r="H526" t="n">
        <v>0</v>
      </c>
      <c r="I526" t="n">
        <v>0</v>
      </c>
      <c r="J526" t="n">
        <v>0</v>
      </c>
      <c r="K526" t="n">
        <v>0</v>
      </c>
      <c r="L526" t="n">
        <v>0</v>
      </c>
      <c r="M526" t="n">
        <v>0</v>
      </c>
      <c r="N526" t="n">
        <v>0</v>
      </c>
      <c r="O526" t="n">
        <v>0</v>
      </c>
      <c r="P526" t="n">
        <v>0</v>
      </c>
      <c r="Q526" t="n">
        <v>0</v>
      </c>
      <c r="R526" s="2" t="inlineStr"/>
    </row>
    <row r="527" ht="15" customHeight="1">
      <c r="A527" t="inlineStr">
        <is>
          <t>A 34957-2018</t>
        </is>
      </c>
      <c r="B527" s="1" t="n">
        <v>43321</v>
      </c>
      <c r="C527" s="1" t="n">
        <v>45351</v>
      </c>
      <c r="D527" t="inlineStr">
        <is>
          <t>UPPSALA LÄN</t>
        </is>
      </c>
      <c r="E527" t="inlineStr">
        <is>
          <t>UPPSALA</t>
        </is>
      </c>
      <c r="G527" t="n">
        <v>13.2</v>
      </c>
      <c r="H527" t="n">
        <v>0</v>
      </c>
      <c r="I527" t="n">
        <v>0</v>
      </c>
      <c r="J527" t="n">
        <v>0</v>
      </c>
      <c r="K527" t="n">
        <v>0</v>
      </c>
      <c r="L527" t="n">
        <v>0</v>
      </c>
      <c r="M527" t="n">
        <v>0</v>
      </c>
      <c r="N527" t="n">
        <v>0</v>
      </c>
      <c r="O527" t="n">
        <v>0</v>
      </c>
      <c r="P527" t="n">
        <v>0</v>
      </c>
      <c r="Q527" t="n">
        <v>0</v>
      </c>
      <c r="R527" s="2" t="inlineStr"/>
    </row>
    <row r="528" ht="15" customHeight="1">
      <c r="A528" t="inlineStr">
        <is>
          <t>A 35363-2018</t>
        </is>
      </c>
      <c r="B528" s="1" t="n">
        <v>43325</v>
      </c>
      <c r="C528" s="1" t="n">
        <v>45351</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35892-2018</t>
        </is>
      </c>
      <c r="B529" s="1" t="n">
        <v>43327</v>
      </c>
      <c r="C529" s="1" t="n">
        <v>45351</v>
      </c>
      <c r="D529" t="inlineStr">
        <is>
          <t>UPPSALA LÄN</t>
        </is>
      </c>
      <c r="E529" t="inlineStr">
        <is>
          <t>ÖSTHAMMAR</t>
        </is>
      </c>
      <c r="G529" t="n">
        <v>3</v>
      </c>
      <c r="H529" t="n">
        <v>0</v>
      </c>
      <c r="I529" t="n">
        <v>0</v>
      </c>
      <c r="J529" t="n">
        <v>0</v>
      </c>
      <c r="K529" t="n">
        <v>0</v>
      </c>
      <c r="L529" t="n">
        <v>0</v>
      </c>
      <c r="M529" t="n">
        <v>0</v>
      </c>
      <c r="N529" t="n">
        <v>0</v>
      </c>
      <c r="O529" t="n">
        <v>0</v>
      </c>
      <c r="P529" t="n">
        <v>0</v>
      </c>
      <c r="Q529" t="n">
        <v>0</v>
      </c>
      <c r="R529" s="2" t="inlineStr"/>
    </row>
    <row r="530" ht="15" customHeight="1">
      <c r="A530" t="inlineStr">
        <is>
          <t>A 38599-2018</t>
        </is>
      </c>
      <c r="B530" s="1" t="n">
        <v>43335</v>
      </c>
      <c r="C530" s="1" t="n">
        <v>45351</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38118-2018</t>
        </is>
      </c>
      <c r="B531" s="1" t="n">
        <v>43336</v>
      </c>
      <c r="C531" s="1" t="n">
        <v>45351</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38065-2018</t>
        </is>
      </c>
      <c r="B532" s="1" t="n">
        <v>43336</v>
      </c>
      <c r="C532" s="1" t="n">
        <v>45351</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38364-2018</t>
        </is>
      </c>
      <c r="B533" s="1" t="n">
        <v>43339</v>
      </c>
      <c r="C533" s="1" t="n">
        <v>45351</v>
      </c>
      <c r="D533" t="inlineStr">
        <is>
          <t>UPPSALA LÄN</t>
        </is>
      </c>
      <c r="E533" t="inlineStr">
        <is>
          <t>KNIVSTA</t>
        </is>
      </c>
      <c r="G533" t="n">
        <v>2.6</v>
      </c>
      <c r="H533" t="n">
        <v>0</v>
      </c>
      <c r="I533" t="n">
        <v>0</v>
      </c>
      <c r="J533" t="n">
        <v>0</v>
      </c>
      <c r="K533" t="n">
        <v>0</v>
      </c>
      <c r="L533" t="n">
        <v>0</v>
      </c>
      <c r="M533" t="n">
        <v>0</v>
      </c>
      <c r="N533" t="n">
        <v>0</v>
      </c>
      <c r="O533" t="n">
        <v>0</v>
      </c>
      <c r="P533" t="n">
        <v>0</v>
      </c>
      <c r="Q533" t="n">
        <v>0</v>
      </c>
      <c r="R533" s="2" t="inlineStr"/>
    </row>
    <row r="534" ht="15" customHeight="1">
      <c r="A534" t="inlineStr">
        <is>
          <t>A 39217-2018</t>
        </is>
      </c>
      <c r="B534" s="1" t="n">
        <v>43341</v>
      </c>
      <c r="C534" s="1" t="n">
        <v>45351</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39557-2018</t>
        </is>
      </c>
      <c r="B535" s="1" t="n">
        <v>43342</v>
      </c>
      <c r="C535" s="1" t="n">
        <v>45351</v>
      </c>
      <c r="D535" t="inlineStr">
        <is>
          <t>UPPSALA LÄN</t>
        </is>
      </c>
      <c r="E535" t="inlineStr">
        <is>
          <t>HEBY</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40153-2018</t>
        </is>
      </c>
      <c r="B536" s="1" t="n">
        <v>43343</v>
      </c>
      <c r="C536" s="1" t="n">
        <v>45351</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40159-2018</t>
        </is>
      </c>
      <c r="B537" s="1" t="n">
        <v>43343</v>
      </c>
      <c r="C537" s="1" t="n">
        <v>45351</v>
      </c>
      <c r="D537" t="inlineStr">
        <is>
          <t>UPPSALA LÄN</t>
        </is>
      </c>
      <c r="E537" t="inlineStr">
        <is>
          <t>ÖSTHAMMAR</t>
        </is>
      </c>
      <c r="F537" t="inlineStr">
        <is>
          <t>Bergvik skog öst AB</t>
        </is>
      </c>
      <c r="G537" t="n">
        <v>3.3</v>
      </c>
      <c r="H537" t="n">
        <v>0</v>
      </c>
      <c r="I537" t="n">
        <v>0</v>
      </c>
      <c r="J537" t="n">
        <v>0</v>
      </c>
      <c r="K537" t="n">
        <v>0</v>
      </c>
      <c r="L537" t="n">
        <v>0</v>
      </c>
      <c r="M537" t="n">
        <v>0</v>
      </c>
      <c r="N537" t="n">
        <v>0</v>
      </c>
      <c r="O537" t="n">
        <v>0</v>
      </c>
      <c r="P537" t="n">
        <v>0</v>
      </c>
      <c r="Q537" t="n">
        <v>0</v>
      </c>
      <c r="R537" s="2" t="inlineStr"/>
    </row>
    <row r="538" ht="15" customHeight="1">
      <c r="A538" t="inlineStr">
        <is>
          <t>A 40097-2018</t>
        </is>
      </c>
      <c r="B538" s="1" t="n">
        <v>43343</v>
      </c>
      <c r="C538" s="1" t="n">
        <v>45351</v>
      </c>
      <c r="D538" t="inlineStr">
        <is>
          <t>UPPSALA LÄN</t>
        </is>
      </c>
      <c r="E538" t="inlineStr">
        <is>
          <t>TIERP</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41580-2018</t>
        </is>
      </c>
      <c r="B539" s="1" t="n">
        <v>43347</v>
      </c>
      <c r="C539" s="1" t="n">
        <v>45351</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41528-2018</t>
        </is>
      </c>
      <c r="B540" s="1" t="n">
        <v>43349</v>
      </c>
      <c r="C540" s="1" t="n">
        <v>45351</v>
      </c>
      <c r="D540" t="inlineStr">
        <is>
          <t>UPPSALA LÄN</t>
        </is>
      </c>
      <c r="E540" t="inlineStr">
        <is>
          <t>HEBY</t>
        </is>
      </c>
      <c r="G540" t="n">
        <v>2.5</v>
      </c>
      <c r="H540" t="n">
        <v>0</v>
      </c>
      <c r="I540" t="n">
        <v>0</v>
      </c>
      <c r="J540" t="n">
        <v>0</v>
      </c>
      <c r="K540" t="n">
        <v>0</v>
      </c>
      <c r="L540" t="n">
        <v>0</v>
      </c>
      <c r="M540" t="n">
        <v>0</v>
      </c>
      <c r="N540" t="n">
        <v>0</v>
      </c>
      <c r="O540" t="n">
        <v>0</v>
      </c>
      <c r="P540" t="n">
        <v>0</v>
      </c>
      <c r="Q540" t="n">
        <v>0</v>
      </c>
      <c r="R540" s="2" t="inlineStr"/>
    </row>
    <row r="541" ht="15" customHeight="1">
      <c r="A541" t="inlineStr">
        <is>
          <t>A 44234-2018</t>
        </is>
      </c>
      <c r="B541" s="1" t="n">
        <v>43355</v>
      </c>
      <c r="C541" s="1" t="n">
        <v>45351</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43099-2018</t>
        </is>
      </c>
      <c r="B542" s="1" t="n">
        <v>43355</v>
      </c>
      <c r="C542" s="1" t="n">
        <v>45351</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44233-2018</t>
        </is>
      </c>
      <c r="B543" s="1" t="n">
        <v>43355</v>
      </c>
      <c r="C543" s="1" t="n">
        <v>45351</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44303-2018</t>
        </is>
      </c>
      <c r="B544" s="1" t="n">
        <v>43360</v>
      </c>
      <c r="C544" s="1" t="n">
        <v>45351</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44069-2018</t>
        </is>
      </c>
      <c r="B545" s="1" t="n">
        <v>43360</v>
      </c>
      <c r="C545" s="1" t="n">
        <v>45351</v>
      </c>
      <c r="D545" t="inlineStr">
        <is>
          <t>UPPSALA LÄN</t>
        </is>
      </c>
      <c r="E545" t="inlineStr">
        <is>
          <t>ÖSTHAMMAR</t>
        </is>
      </c>
      <c r="F545" t="inlineStr">
        <is>
          <t>Övriga Aktiebolag</t>
        </is>
      </c>
      <c r="G545" t="n">
        <v>25.7</v>
      </c>
      <c r="H545" t="n">
        <v>0</v>
      </c>
      <c r="I545" t="n">
        <v>0</v>
      </c>
      <c r="J545" t="n">
        <v>0</v>
      </c>
      <c r="K545" t="n">
        <v>0</v>
      </c>
      <c r="L545" t="n">
        <v>0</v>
      </c>
      <c r="M545" t="n">
        <v>0</v>
      </c>
      <c r="N545" t="n">
        <v>0</v>
      </c>
      <c r="O545" t="n">
        <v>0</v>
      </c>
      <c r="P545" t="n">
        <v>0</v>
      </c>
      <c r="Q545" t="n">
        <v>0</v>
      </c>
      <c r="R545" s="2" t="inlineStr"/>
    </row>
    <row r="546" ht="15" customHeight="1">
      <c r="A546" t="inlineStr">
        <is>
          <t>A 44178-2018</t>
        </is>
      </c>
      <c r="B546" s="1" t="n">
        <v>43360</v>
      </c>
      <c r="C546" s="1" t="n">
        <v>45351</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46078-2018</t>
        </is>
      </c>
      <c r="B547" s="1" t="n">
        <v>43367</v>
      </c>
      <c r="C547" s="1" t="n">
        <v>45351</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59667-2018</t>
        </is>
      </c>
      <c r="B548" s="1" t="n">
        <v>43371</v>
      </c>
      <c r="C548" s="1" t="n">
        <v>45351</v>
      </c>
      <c r="D548" t="inlineStr">
        <is>
          <t>UPPSALA LÄN</t>
        </is>
      </c>
      <c r="E548" t="inlineStr">
        <is>
          <t>TIERP</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49451-2018</t>
        </is>
      </c>
      <c r="B549" s="1" t="n">
        <v>43374</v>
      </c>
      <c r="C549" s="1" t="n">
        <v>45351</v>
      </c>
      <c r="D549" t="inlineStr">
        <is>
          <t>UPPSALA LÄN</t>
        </is>
      </c>
      <c r="E549" t="inlineStr">
        <is>
          <t>HEBY</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59710-2018</t>
        </is>
      </c>
      <c r="B550" s="1" t="n">
        <v>43376</v>
      </c>
      <c r="C550" s="1" t="n">
        <v>45351</v>
      </c>
      <c r="D550" t="inlineStr">
        <is>
          <t>UPPSALA LÄN</t>
        </is>
      </c>
      <c r="E550" t="inlineStr">
        <is>
          <t>ÖSTHAMMAR</t>
        </is>
      </c>
      <c r="G550" t="n">
        <v>5.8</v>
      </c>
      <c r="H550" t="n">
        <v>0</v>
      </c>
      <c r="I550" t="n">
        <v>0</v>
      </c>
      <c r="J550" t="n">
        <v>0</v>
      </c>
      <c r="K550" t="n">
        <v>0</v>
      </c>
      <c r="L550" t="n">
        <v>0</v>
      </c>
      <c r="M550" t="n">
        <v>0</v>
      </c>
      <c r="N550" t="n">
        <v>0</v>
      </c>
      <c r="O550" t="n">
        <v>0</v>
      </c>
      <c r="P550" t="n">
        <v>0</v>
      </c>
      <c r="Q550" t="n">
        <v>0</v>
      </c>
      <c r="R550" s="2" t="inlineStr"/>
    </row>
    <row r="551" ht="15" customHeight="1">
      <c r="A551" t="inlineStr">
        <is>
          <t>A 59713-2018</t>
        </is>
      </c>
      <c r="B551" s="1" t="n">
        <v>43376</v>
      </c>
      <c r="C551" s="1" t="n">
        <v>45351</v>
      </c>
      <c r="D551" t="inlineStr">
        <is>
          <t>UPPSALA LÄN</t>
        </is>
      </c>
      <c r="E551" t="inlineStr">
        <is>
          <t>ÖSTHAMMAR</t>
        </is>
      </c>
      <c r="G551" t="n">
        <v>10.9</v>
      </c>
      <c r="H551" t="n">
        <v>0</v>
      </c>
      <c r="I551" t="n">
        <v>0</v>
      </c>
      <c r="J551" t="n">
        <v>0</v>
      </c>
      <c r="K551" t="n">
        <v>0</v>
      </c>
      <c r="L551" t="n">
        <v>0</v>
      </c>
      <c r="M551" t="n">
        <v>0</v>
      </c>
      <c r="N551" t="n">
        <v>0</v>
      </c>
      <c r="O551" t="n">
        <v>0</v>
      </c>
      <c r="P551" t="n">
        <v>0</v>
      </c>
      <c r="Q551" t="n">
        <v>0</v>
      </c>
      <c r="R551" s="2" t="inlineStr"/>
    </row>
    <row r="552" ht="15" customHeight="1">
      <c r="A552" t="inlineStr">
        <is>
          <t>A 53288-2018</t>
        </is>
      </c>
      <c r="B552" s="1" t="n">
        <v>43376</v>
      </c>
      <c r="C552" s="1" t="n">
        <v>45351</v>
      </c>
      <c r="D552" t="inlineStr">
        <is>
          <t>UPPSALA LÄN</t>
        </is>
      </c>
      <c r="E552" t="inlineStr">
        <is>
          <t>KNIVSTA</t>
        </is>
      </c>
      <c r="G552" t="n">
        <v>2</v>
      </c>
      <c r="H552" t="n">
        <v>0</v>
      </c>
      <c r="I552" t="n">
        <v>0</v>
      </c>
      <c r="J552" t="n">
        <v>0</v>
      </c>
      <c r="K552" t="n">
        <v>0</v>
      </c>
      <c r="L552" t="n">
        <v>0</v>
      </c>
      <c r="M552" t="n">
        <v>0</v>
      </c>
      <c r="N552" t="n">
        <v>0</v>
      </c>
      <c r="O552" t="n">
        <v>0</v>
      </c>
      <c r="P552" t="n">
        <v>0</v>
      </c>
      <c r="Q552" t="n">
        <v>0</v>
      </c>
      <c r="R552" s="2" t="inlineStr"/>
    </row>
    <row r="553" ht="15" customHeight="1">
      <c r="A553" t="inlineStr">
        <is>
          <t>A 53295-2018</t>
        </is>
      </c>
      <c r="B553" s="1" t="n">
        <v>43376</v>
      </c>
      <c r="C553" s="1" t="n">
        <v>45351</v>
      </c>
      <c r="D553" t="inlineStr">
        <is>
          <t>UPPSALA LÄN</t>
        </is>
      </c>
      <c r="E553" t="inlineStr">
        <is>
          <t>KNIVSTA</t>
        </is>
      </c>
      <c r="G553" t="n">
        <v>8.1</v>
      </c>
      <c r="H553" t="n">
        <v>0</v>
      </c>
      <c r="I553" t="n">
        <v>0</v>
      </c>
      <c r="J553" t="n">
        <v>0</v>
      </c>
      <c r="K553" t="n">
        <v>0</v>
      </c>
      <c r="L553" t="n">
        <v>0</v>
      </c>
      <c r="M553" t="n">
        <v>0</v>
      </c>
      <c r="N553" t="n">
        <v>0</v>
      </c>
      <c r="O553" t="n">
        <v>0</v>
      </c>
      <c r="P553" t="n">
        <v>0</v>
      </c>
      <c r="Q553" t="n">
        <v>0</v>
      </c>
      <c r="R553" s="2" t="inlineStr"/>
    </row>
    <row r="554" ht="15" customHeight="1">
      <c r="A554" t="inlineStr">
        <is>
          <t>A 49847-2018</t>
        </is>
      </c>
      <c r="B554" s="1" t="n">
        <v>43377</v>
      </c>
      <c r="C554" s="1" t="n">
        <v>45351</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59719-2018</t>
        </is>
      </c>
      <c r="B555" s="1" t="n">
        <v>43378</v>
      </c>
      <c r="C555" s="1" t="n">
        <v>45351</v>
      </c>
      <c r="D555" t="inlineStr">
        <is>
          <t>UPPSALA LÄN</t>
        </is>
      </c>
      <c r="E555" t="inlineStr">
        <is>
          <t>TIERP</t>
        </is>
      </c>
      <c r="G555" t="n">
        <v>5.4</v>
      </c>
      <c r="H555" t="n">
        <v>0</v>
      </c>
      <c r="I555" t="n">
        <v>0</v>
      </c>
      <c r="J555" t="n">
        <v>0</v>
      </c>
      <c r="K555" t="n">
        <v>0</v>
      </c>
      <c r="L555" t="n">
        <v>0</v>
      </c>
      <c r="M555" t="n">
        <v>0</v>
      </c>
      <c r="N555" t="n">
        <v>0</v>
      </c>
      <c r="O555" t="n">
        <v>0</v>
      </c>
      <c r="P555" t="n">
        <v>0</v>
      </c>
      <c r="Q555" t="n">
        <v>0</v>
      </c>
      <c r="R555" s="2" t="inlineStr"/>
    </row>
    <row r="556" ht="15" customHeight="1">
      <c r="A556" t="inlineStr">
        <is>
          <t>A 51192-2018</t>
        </is>
      </c>
      <c r="B556" s="1" t="n">
        <v>43378</v>
      </c>
      <c r="C556" s="1" t="n">
        <v>45351</v>
      </c>
      <c r="D556" t="inlineStr">
        <is>
          <t>UPPSALA LÄN</t>
        </is>
      </c>
      <c r="E556" t="inlineStr">
        <is>
          <t>UPPSALA</t>
        </is>
      </c>
      <c r="F556" t="inlineStr">
        <is>
          <t>Allmännings- och besparingsskogar</t>
        </is>
      </c>
      <c r="G556" t="n">
        <v>5.6</v>
      </c>
      <c r="H556" t="n">
        <v>0</v>
      </c>
      <c r="I556" t="n">
        <v>0</v>
      </c>
      <c r="J556" t="n">
        <v>0</v>
      </c>
      <c r="K556" t="n">
        <v>0</v>
      </c>
      <c r="L556" t="n">
        <v>0</v>
      </c>
      <c r="M556" t="n">
        <v>0</v>
      </c>
      <c r="N556" t="n">
        <v>0</v>
      </c>
      <c r="O556" t="n">
        <v>0</v>
      </c>
      <c r="P556" t="n">
        <v>0</v>
      </c>
      <c r="Q556" t="n">
        <v>0</v>
      </c>
      <c r="R556" s="2" t="inlineStr"/>
    </row>
    <row r="557" ht="15" customHeight="1">
      <c r="A557" t="inlineStr">
        <is>
          <t>A 50380-2018</t>
        </is>
      </c>
      <c r="B557" s="1" t="n">
        <v>43378</v>
      </c>
      <c r="C557" s="1" t="n">
        <v>45351</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51187-2018</t>
        </is>
      </c>
      <c r="B558" s="1" t="n">
        <v>43378</v>
      </c>
      <c r="C558" s="1" t="n">
        <v>45351</v>
      </c>
      <c r="D558" t="inlineStr">
        <is>
          <t>UPPSALA LÄN</t>
        </is>
      </c>
      <c r="E558" t="inlineStr">
        <is>
          <t>UPPSALA</t>
        </is>
      </c>
      <c r="F558" t="inlineStr">
        <is>
          <t>Allmännings- och besparingsskogar</t>
        </is>
      </c>
      <c r="G558" t="n">
        <v>21.1</v>
      </c>
      <c r="H558" t="n">
        <v>0</v>
      </c>
      <c r="I558" t="n">
        <v>0</v>
      </c>
      <c r="J558" t="n">
        <v>0</v>
      </c>
      <c r="K558" t="n">
        <v>0</v>
      </c>
      <c r="L558" t="n">
        <v>0</v>
      </c>
      <c r="M558" t="n">
        <v>0</v>
      </c>
      <c r="N558" t="n">
        <v>0</v>
      </c>
      <c r="O558" t="n">
        <v>0</v>
      </c>
      <c r="P558" t="n">
        <v>0</v>
      </c>
      <c r="Q558" t="n">
        <v>0</v>
      </c>
      <c r="R558" s="2" t="inlineStr"/>
    </row>
    <row r="559" ht="15" customHeight="1">
      <c r="A559" t="inlineStr">
        <is>
          <t>A 51664-2018</t>
        </is>
      </c>
      <c r="B559" s="1" t="n">
        <v>43381</v>
      </c>
      <c r="C559" s="1" t="n">
        <v>45351</v>
      </c>
      <c r="D559" t="inlineStr">
        <is>
          <t>UPPSALA LÄN</t>
        </is>
      </c>
      <c r="E559" t="inlineStr">
        <is>
          <t>UPPSALA</t>
        </is>
      </c>
      <c r="F559" t="inlineStr">
        <is>
          <t>Övriga statliga verk och myndigheter</t>
        </is>
      </c>
      <c r="G559" t="n">
        <v>0.4</v>
      </c>
      <c r="H559" t="n">
        <v>0</v>
      </c>
      <c r="I559" t="n">
        <v>0</v>
      </c>
      <c r="J559" t="n">
        <v>0</v>
      </c>
      <c r="K559" t="n">
        <v>0</v>
      </c>
      <c r="L559" t="n">
        <v>0</v>
      </c>
      <c r="M559" t="n">
        <v>0</v>
      </c>
      <c r="N559" t="n">
        <v>0</v>
      </c>
      <c r="O559" t="n">
        <v>0</v>
      </c>
      <c r="P559" t="n">
        <v>0</v>
      </c>
      <c r="Q559" t="n">
        <v>0</v>
      </c>
      <c r="R559" s="2" t="inlineStr"/>
    </row>
    <row r="560" ht="15" customHeight="1">
      <c r="A560" t="inlineStr">
        <is>
          <t>A 59721-2018</t>
        </is>
      </c>
      <c r="B560" s="1" t="n">
        <v>43381</v>
      </c>
      <c r="C560" s="1" t="n">
        <v>45351</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51656-2018</t>
        </is>
      </c>
      <c r="B561" s="1" t="n">
        <v>43381</v>
      </c>
      <c r="C561" s="1" t="n">
        <v>45351</v>
      </c>
      <c r="D561" t="inlineStr">
        <is>
          <t>UPPSALA LÄN</t>
        </is>
      </c>
      <c r="E561" t="inlineStr">
        <is>
          <t>UPPSALA</t>
        </is>
      </c>
      <c r="F561" t="inlineStr">
        <is>
          <t>Övriga statliga verk och myndigheter</t>
        </is>
      </c>
      <c r="G561" t="n">
        <v>1.2</v>
      </c>
      <c r="H561" t="n">
        <v>0</v>
      </c>
      <c r="I561" t="n">
        <v>0</v>
      </c>
      <c r="J561" t="n">
        <v>0</v>
      </c>
      <c r="K561" t="n">
        <v>0</v>
      </c>
      <c r="L561" t="n">
        <v>0</v>
      </c>
      <c r="M561" t="n">
        <v>0</v>
      </c>
      <c r="N561" t="n">
        <v>0</v>
      </c>
      <c r="O561" t="n">
        <v>0</v>
      </c>
      <c r="P561" t="n">
        <v>0</v>
      </c>
      <c r="Q561" t="n">
        <v>0</v>
      </c>
      <c r="R561" s="2" t="inlineStr"/>
    </row>
    <row r="562" ht="15" customHeight="1">
      <c r="A562" t="inlineStr">
        <is>
          <t>A 51366-2018</t>
        </is>
      </c>
      <c r="B562" s="1" t="n">
        <v>43383</v>
      </c>
      <c r="C562" s="1" t="n">
        <v>45351</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51818-2018</t>
        </is>
      </c>
      <c r="B563" s="1" t="n">
        <v>43384</v>
      </c>
      <c r="C563" s="1" t="n">
        <v>45351</v>
      </c>
      <c r="D563" t="inlineStr">
        <is>
          <t>UPPSALA LÄN</t>
        </is>
      </c>
      <c r="E563" t="inlineStr">
        <is>
          <t>ÖSTHAMMAR</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60291-2018</t>
        </is>
      </c>
      <c r="B564" s="1" t="n">
        <v>43385</v>
      </c>
      <c r="C564" s="1" t="n">
        <v>45351</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52762-2018</t>
        </is>
      </c>
      <c r="B565" s="1" t="n">
        <v>43389</v>
      </c>
      <c r="C565" s="1" t="n">
        <v>45351</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56193-2018</t>
        </is>
      </c>
      <c r="B566" s="1" t="n">
        <v>43395</v>
      </c>
      <c r="C566" s="1" t="n">
        <v>45351</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56382-2018</t>
        </is>
      </c>
      <c r="B567" s="1" t="n">
        <v>43395</v>
      </c>
      <c r="C567" s="1" t="n">
        <v>45351</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56196-2018</t>
        </is>
      </c>
      <c r="B568" s="1" t="n">
        <v>43395</v>
      </c>
      <c r="C568" s="1" t="n">
        <v>45351</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55829-2018</t>
        </is>
      </c>
      <c r="B569" s="1" t="n">
        <v>43398</v>
      </c>
      <c r="C569" s="1" t="n">
        <v>45351</v>
      </c>
      <c r="D569" t="inlineStr">
        <is>
          <t>UPPSALA LÄN</t>
        </is>
      </c>
      <c r="E569" t="inlineStr">
        <is>
          <t>UPPSALA</t>
        </is>
      </c>
      <c r="F569" t="inlineStr">
        <is>
          <t>Bergvik skog öst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57881-2018</t>
        </is>
      </c>
      <c r="B570" s="1" t="n">
        <v>43398</v>
      </c>
      <c r="C570" s="1" t="n">
        <v>45351</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56639-2018</t>
        </is>
      </c>
      <c r="B571" s="1" t="n">
        <v>43402</v>
      </c>
      <c r="C571" s="1" t="n">
        <v>45351</v>
      </c>
      <c r="D571" t="inlineStr">
        <is>
          <t>UPPSALA LÄN</t>
        </is>
      </c>
      <c r="E571" t="inlineStr">
        <is>
          <t>KNIVSTA</t>
        </is>
      </c>
      <c r="G571" t="n">
        <v>5.2</v>
      </c>
      <c r="H571" t="n">
        <v>0</v>
      </c>
      <c r="I571" t="n">
        <v>0</v>
      </c>
      <c r="J571" t="n">
        <v>0</v>
      </c>
      <c r="K571" t="n">
        <v>0</v>
      </c>
      <c r="L571" t="n">
        <v>0</v>
      </c>
      <c r="M571" t="n">
        <v>0</v>
      </c>
      <c r="N571" t="n">
        <v>0</v>
      </c>
      <c r="O571" t="n">
        <v>0</v>
      </c>
      <c r="P571" t="n">
        <v>0</v>
      </c>
      <c r="Q571" t="n">
        <v>0</v>
      </c>
      <c r="R571" s="2" t="inlineStr"/>
    </row>
    <row r="572" ht="15" customHeight="1">
      <c r="A572" t="inlineStr">
        <is>
          <t>A 56646-2018</t>
        </is>
      </c>
      <c r="B572" s="1" t="n">
        <v>43402</v>
      </c>
      <c r="C572" s="1" t="n">
        <v>45351</v>
      </c>
      <c r="D572" t="inlineStr">
        <is>
          <t>UPPSALA LÄN</t>
        </is>
      </c>
      <c r="E572" t="inlineStr">
        <is>
          <t>KNIVSTA</t>
        </is>
      </c>
      <c r="G572" t="n">
        <v>1</v>
      </c>
      <c r="H572" t="n">
        <v>0</v>
      </c>
      <c r="I572" t="n">
        <v>0</v>
      </c>
      <c r="J572" t="n">
        <v>0</v>
      </c>
      <c r="K572" t="n">
        <v>0</v>
      </c>
      <c r="L572" t="n">
        <v>0</v>
      </c>
      <c r="M572" t="n">
        <v>0</v>
      </c>
      <c r="N572" t="n">
        <v>0</v>
      </c>
      <c r="O572" t="n">
        <v>0</v>
      </c>
      <c r="P572" t="n">
        <v>0</v>
      </c>
      <c r="Q572" t="n">
        <v>0</v>
      </c>
      <c r="R572" s="2" t="inlineStr"/>
    </row>
    <row r="573" ht="15" customHeight="1">
      <c r="A573" t="inlineStr">
        <is>
          <t>A 60554-2018</t>
        </is>
      </c>
      <c r="B573" s="1" t="n">
        <v>43407</v>
      </c>
      <c r="C573" s="1" t="n">
        <v>45351</v>
      </c>
      <c r="D573" t="inlineStr">
        <is>
          <t>UPPSALA LÄN</t>
        </is>
      </c>
      <c r="E573" t="inlineStr">
        <is>
          <t>UPPSALA</t>
        </is>
      </c>
      <c r="G573" t="n">
        <v>5.4</v>
      </c>
      <c r="H573" t="n">
        <v>0</v>
      </c>
      <c r="I573" t="n">
        <v>0</v>
      </c>
      <c r="J573" t="n">
        <v>0</v>
      </c>
      <c r="K573" t="n">
        <v>0</v>
      </c>
      <c r="L573" t="n">
        <v>0</v>
      </c>
      <c r="M573" t="n">
        <v>0</v>
      </c>
      <c r="N573" t="n">
        <v>0</v>
      </c>
      <c r="O573" t="n">
        <v>0</v>
      </c>
      <c r="P573" t="n">
        <v>0</v>
      </c>
      <c r="Q573" t="n">
        <v>0</v>
      </c>
      <c r="R573" s="2" t="inlineStr"/>
    </row>
    <row r="574" ht="15" customHeight="1">
      <c r="A574" t="inlineStr">
        <is>
          <t>A 60550-2018</t>
        </is>
      </c>
      <c r="B574" s="1" t="n">
        <v>43408</v>
      </c>
      <c r="C574" s="1" t="n">
        <v>45351</v>
      </c>
      <c r="D574" t="inlineStr">
        <is>
          <t>UPPSALA LÄN</t>
        </is>
      </c>
      <c r="E574" t="inlineStr">
        <is>
          <t>KNIVSTA</t>
        </is>
      </c>
      <c r="G574" t="n">
        <v>4.7</v>
      </c>
      <c r="H574" t="n">
        <v>0</v>
      </c>
      <c r="I574" t="n">
        <v>0</v>
      </c>
      <c r="J574" t="n">
        <v>0</v>
      </c>
      <c r="K574" t="n">
        <v>0</v>
      </c>
      <c r="L574" t="n">
        <v>0</v>
      </c>
      <c r="M574" t="n">
        <v>0</v>
      </c>
      <c r="N574" t="n">
        <v>0</v>
      </c>
      <c r="O574" t="n">
        <v>0</v>
      </c>
      <c r="P574" t="n">
        <v>0</v>
      </c>
      <c r="Q574" t="n">
        <v>0</v>
      </c>
      <c r="R574" s="2" t="inlineStr"/>
    </row>
    <row r="575" ht="15" customHeight="1">
      <c r="A575" t="inlineStr">
        <is>
          <t>A 58501-2018</t>
        </is>
      </c>
      <c r="B575" s="1" t="n">
        <v>43409</v>
      </c>
      <c r="C575" s="1" t="n">
        <v>45351</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58795-2018</t>
        </is>
      </c>
      <c r="B576" s="1" t="n">
        <v>43410</v>
      </c>
      <c r="C576" s="1" t="n">
        <v>45351</v>
      </c>
      <c r="D576" t="inlineStr">
        <is>
          <t>UPPSALA LÄN</t>
        </is>
      </c>
      <c r="E576" t="inlineStr">
        <is>
          <t>ENKÖPING</t>
        </is>
      </c>
      <c r="G576" t="n">
        <v>5.2</v>
      </c>
      <c r="H576" t="n">
        <v>0</v>
      </c>
      <c r="I576" t="n">
        <v>0</v>
      </c>
      <c r="J576" t="n">
        <v>0</v>
      </c>
      <c r="K576" t="n">
        <v>0</v>
      </c>
      <c r="L576" t="n">
        <v>0</v>
      </c>
      <c r="M576" t="n">
        <v>0</v>
      </c>
      <c r="N576" t="n">
        <v>0</v>
      </c>
      <c r="O576" t="n">
        <v>0</v>
      </c>
      <c r="P576" t="n">
        <v>0</v>
      </c>
      <c r="Q576" t="n">
        <v>0</v>
      </c>
      <c r="R576" s="2" t="inlineStr"/>
    </row>
    <row r="577" ht="15" customHeight="1">
      <c r="A577" t="inlineStr">
        <is>
          <t>A 58606-2018</t>
        </is>
      </c>
      <c r="B577" s="1" t="n">
        <v>43410</v>
      </c>
      <c r="C577" s="1" t="n">
        <v>45351</v>
      </c>
      <c r="D577" t="inlineStr">
        <is>
          <t>UPPSALA LÄN</t>
        </is>
      </c>
      <c r="E577" t="inlineStr">
        <is>
          <t>ÖSTHAMMAR</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59095-2018</t>
        </is>
      </c>
      <c r="B578" s="1" t="n">
        <v>43411</v>
      </c>
      <c r="C578" s="1" t="n">
        <v>45351</v>
      </c>
      <c r="D578" t="inlineStr">
        <is>
          <t>UPPSALA LÄN</t>
        </is>
      </c>
      <c r="E578" t="inlineStr">
        <is>
          <t>UPPSALA</t>
        </is>
      </c>
      <c r="F578" t="inlineStr">
        <is>
          <t>Allmännings- och besparingsskogar</t>
        </is>
      </c>
      <c r="G578" t="n">
        <v>18.7</v>
      </c>
      <c r="H578" t="n">
        <v>0</v>
      </c>
      <c r="I578" t="n">
        <v>0</v>
      </c>
      <c r="J578" t="n">
        <v>0</v>
      </c>
      <c r="K578" t="n">
        <v>0</v>
      </c>
      <c r="L578" t="n">
        <v>0</v>
      </c>
      <c r="M578" t="n">
        <v>0</v>
      </c>
      <c r="N578" t="n">
        <v>0</v>
      </c>
      <c r="O578" t="n">
        <v>0</v>
      </c>
      <c r="P578" t="n">
        <v>0</v>
      </c>
      <c r="Q578" t="n">
        <v>0</v>
      </c>
      <c r="R578" s="2" t="inlineStr"/>
    </row>
    <row r="579" ht="15" customHeight="1">
      <c r="A579" t="inlineStr">
        <is>
          <t>A 60035-2018</t>
        </is>
      </c>
      <c r="B579" s="1" t="n">
        <v>43412</v>
      </c>
      <c r="C579" s="1" t="n">
        <v>45351</v>
      </c>
      <c r="D579" t="inlineStr">
        <is>
          <t>UPPSALA LÄN</t>
        </is>
      </c>
      <c r="E579" t="inlineStr">
        <is>
          <t>TIERP</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62701-2018</t>
        </is>
      </c>
      <c r="B580" s="1" t="n">
        <v>43413</v>
      </c>
      <c r="C580" s="1" t="n">
        <v>45351</v>
      </c>
      <c r="D580" t="inlineStr">
        <is>
          <t>UPPSALA LÄN</t>
        </is>
      </c>
      <c r="E580" t="inlineStr">
        <is>
          <t>HEBY</t>
        </is>
      </c>
      <c r="G580" t="n">
        <v>5.6</v>
      </c>
      <c r="H580" t="n">
        <v>0</v>
      </c>
      <c r="I580" t="n">
        <v>0</v>
      </c>
      <c r="J580" t="n">
        <v>0</v>
      </c>
      <c r="K580" t="n">
        <v>0</v>
      </c>
      <c r="L580" t="n">
        <v>0</v>
      </c>
      <c r="M580" t="n">
        <v>0</v>
      </c>
      <c r="N580" t="n">
        <v>0</v>
      </c>
      <c r="O580" t="n">
        <v>0</v>
      </c>
      <c r="P580" t="n">
        <v>0</v>
      </c>
      <c r="Q580" t="n">
        <v>0</v>
      </c>
      <c r="R580" s="2" t="inlineStr"/>
    </row>
    <row r="581" ht="15" customHeight="1">
      <c r="A581" t="inlineStr">
        <is>
          <t>A 62326-2018</t>
        </is>
      </c>
      <c r="B581" s="1" t="n">
        <v>43416</v>
      </c>
      <c r="C581" s="1" t="n">
        <v>45351</v>
      </c>
      <c r="D581" t="inlineStr">
        <is>
          <t>UPPSALA LÄN</t>
        </is>
      </c>
      <c r="E581" t="inlineStr">
        <is>
          <t>HÅBO</t>
        </is>
      </c>
      <c r="G581" t="n">
        <v>1.8</v>
      </c>
      <c r="H581" t="n">
        <v>0</v>
      </c>
      <c r="I581" t="n">
        <v>0</v>
      </c>
      <c r="J581" t="n">
        <v>0</v>
      </c>
      <c r="K581" t="n">
        <v>0</v>
      </c>
      <c r="L581" t="n">
        <v>0</v>
      </c>
      <c r="M581" t="n">
        <v>0</v>
      </c>
      <c r="N581" t="n">
        <v>0</v>
      </c>
      <c r="O581" t="n">
        <v>0</v>
      </c>
      <c r="P581" t="n">
        <v>0</v>
      </c>
      <c r="Q581" t="n">
        <v>0</v>
      </c>
      <c r="R581" s="2" t="inlineStr"/>
    </row>
    <row r="582" ht="15" customHeight="1">
      <c r="A582" t="inlineStr">
        <is>
          <t>A 62348-2018</t>
        </is>
      </c>
      <c r="B582" s="1" t="n">
        <v>43416</v>
      </c>
      <c r="C582" s="1" t="n">
        <v>45351</v>
      </c>
      <c r="D582" t="inlineStr">
        <is>
          <t>UPPSALA LÄN</t>
        </is>
      </c>
      <c r="E582" t="inlineStr">
        <is>
          <t>HEBY</t>
        </is>
      </c>
      <c r="G582" t="n">
        <v>1.8</v>
      </c>
      <c r="H582" t="n">
        <v>0</v>
      </c>
      <c r="I582" t="n">
        <v>0</v>
      </c>
      <c r="J582" t="n">
        <v>0</v>
      </c>
      <c r="K582" t="n">
        <v>0</v>
      </c>
      <c r="L582" t="n">
        <v>0</v>
      </c>
      <c r="M582" t="n">
        <v>0</v>
      </c>
      <c r="N582" t="n">
        <v>0</v>
      </c>
      <c r="O582" t="n">
        <v>0</v>
      </c>
      <c r="P582" t="n">
        <v>0</v>
      </c>
      <c r="Q582" t="n">
        <v>0</v>
      </c>
      <c r="R582" s="2" t="inlineStr"/>
    </row>
    <row r="583" ht="15" customHeight="1">
      <c r="A583" t="inlineStr">
        <is>
          <t>A 62357-2018</t>
        </is>
      </c>
      <c r="B583" s="1" t="n">
        <v>43416</v>
      </c>
      <c r="C583" s="1" t="n">
        <v>45351</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62436-2018</t>
        </is>
      </c>
      <c r="B584" s="1" t="n">
        <v>43416</v>
      </c>
      <c r="C584" s="1" t="n">
        <v>45351</v>
      </c>
      <c r="D584" t="inlineStr">
        <is>
          <t>UPPSALA LÄN</t>
        </is>
      </c>
      <c r="E584" t="inlineStr">
        <is>
          <t>TIERP</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62139-2018</t>
        </is>
      </c>
      <c r="B585" s="1" t="n">
        <v>43416</v>
      </c>
      <c r="C585" s="1" t="n">
        <v>45351</v>
      </c>
      <c r="D585" t="inlineStr">
        <is>
          <t>UPPSALA LÄN</t>
        </is>
      </c>
      <c r="E585" t="inlineStr">
        <is>
          <t>HÅBO</t>
        </is>
      </c>
      <c r="G585" t="n">
        <v>7.1</v>
      </c>
      <c r="H585" t="n">
        <v>0</v>
      </c>
      <c r="I585" t="n">
        <v>0</v>
      </c>
      <c r="J585" t="n">
        <v>0</v>
      </c>
      <c r="K585" t="n">
        <v>0</v>
      </c>
      <c r="L585" t="n">
        <v>0</v>
      </c>
      <c r="M585" t="n">
        <v>0</v>
      </c>
      <c r="N585" t="n">
        <v>0</v>
      </c>
      <c r="O585" t="n">
        <v>0</v>
      </c>
      <c r="P585" t="n">
        <v>0</v>
      </c>
      <c r="Q585" t="n">
        <v>0</v>
      </c>
      <c r="R585" s="2" t="inlineStr"/>
    </row>
    <row r="586" ht="15" customHeight="1">
      <c r="A586" t="inlineStr">
        <is>
          <t>A 63200-2018</t>
        </is>
      </c>
      <c r="B586" s="1" t="n">
        <v>43418</v>
      </c>
      <c r="C586" s="1" t="n">
        <v>45351</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63084-2018</t>
        </is>
      </c>
      <c r="B587" s="1" t="n">
        <v>43418</v>
      </c>
      <c r="C587" s="1" t="n">
        <v>45351</v>
      </c>
      <c r="D587" t="inlineStr">
        <is>
          <t>UPPSALA LÄN</t>
        </is>
      </c>
      <c r="E587" t="inlineStr">
        <is>
          <t>UPPSALA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59700-2018</t>
        </is>
      </c>
      <c r="B588" s="1" t="n">
        <v>43419</v>
      </c>
      <c r="C588" s="1" t="n">
        <v>45351</v>
      </c>
      <c r="D588" t="inlineStr">
        <is>
          <t>UPPSALA LÄN</t>
        </is>
      </c>
      <c r="E588" t="inlineStr">
        <is>
          <t>TIERP</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59634-2018</t>
        </is>
      </c>
      <c r="B589" s="1" t="n">
        <v>43419</v>
      </c>
      <c r="C589" s="1" t="n">
        <v>45351</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59440-2018</t>
        </is>
      </c>
      <c r="B590" s="1" t="n">
        <v>43419</v>
      </c>
      <c r="C590" s="1" t="n">
        <v>45351</v>
      </c>
      <c r="D590" t="inlineStr">
        <is>
          <t>UPPSALA LÄN</t>
        </is>
      </c>
      <c r="E590" t="inlineStr">
        <is>
          <t>TIERP</t>
        </is>
      </c>
      <c r="F590" t="inlineStr">
        <is>
          <t>Bergvik skog öst AB</t>
        </is>
      </c>
      <c r="G590" t="n">
        <v>7.3</v>
      </c>
      <c r="H590" t="n">
        <v>0</v>
      </c>
      <c r="I590" t="n">
        <v>0</v>
      </c>
      <c r="J590" t="n">
        <v>0</v>
      </c>
      <c r="K590" t="n">
        <v>0</v>
      </c>
      <c r="L590" t="n">
        <v>0</v>
      </c>
      <c r="M590" t="n">
        <v>0</v>
      </c>
      <c r="N590" t="n">
        <v>0</v>
      </c>
      <c r="O590" t="n">
        <v>0</v>
      </c>
      <c r="P590" t="n">
        <v>0</v>
      </c>
      <c r="Q590" t="n">
        <v>0</v>
      </c>
      <c r="R590" s="2" t="inlineStr"/>
    </row>
    <row r="591" ht="15" customHeight="1">
      <c r="A591" t="inlineStr">
        <is>
          <t>A 59508-2018</t>
        </is>
      </c>
      <c r="B591" s="1" t="n">
        <v>43419</v>
      </c>
      <c r="C591" s="1" t="n">
        <v>45351</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59632-2018</t>
        </is>
      </c>
      <c r="B592" s="1" t="n">
        <v>43419</v>
      </c>
      <c r="C592" s="1" t="n">
        <v>45351</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59607-2018</t>
        </is>
      </c>
      <c r="B593" s="1" t="n">
        <v>43419</v>
      </c>
      <c r="C593" s="1" t="n">
        <v>45351</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60408-2018</t>
        </is>
      </c>
      <c r="B594" s="1" t="n">
        <v>43420</v>
      </c>
      <c r="C594" s="1" t="n">
        <v>45351</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60396-2018</t>
        </is>
      </c>
      <c r="B595" s="1" t="n">
        <v>43420</v>
      </c>
      <c r="C595" s="1" t="n">
        <v>45351</v>
      </c>
      <c r="D595" t="inlineStr">
        <is>
          <t>UPPSALA LÄN</t>
        </is>
      </c>
      <c r="E595" t="inlineStr">
        <is>
          <t>UPPSALA</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60376-2018</t>
        </is>
      </c>
      <c r="B596" s="1" t="n">
        <v>43420</v>
      </c>
      <c r="C596" s="1" t="n">
        <v>45351</v>
      </c>
      <c r="D596" t="inlineStr">
        <is>
          <t>UPPSALA LÄN</t>
        </is>
      </c>
      <c r="E596" t="inlineStr">
        <is>
          <t>ENKÖPING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61052-2018</t>
        </is>
      </c>
      <c r="B597" s="1" t="n">
        <v>43423</v>
      </c>
      <c r="C597" s="1" t="n">
        <v>45351</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61129-2018</t>
        </is>
      </c>
      <c r="B598" s="1" t="n">
        <v>43423</v>
      </c>
      <c r="C598" s="1" t="n">
        <v>45351</v>
      </c>
      <c r="D598" t="inlineStr">
        <is>
          <t>UPPSALA LÄN</t>
        </is>
      </c>
      <c r="E598" t="inlineStr">
        <is>
          <t>ÖSTHAMMAR</t>
        </is>
      </c>
      <c r="G598" t="n">
        <v>2.3</v>
      </c>
      <c r="H598" t="n">
        <v>0</v>
      </c>
      <c r="I598" t="n">
        <v>0</v>
      </c>
      <c r="J598" t="n">
        <v>0</v>
      </c>
      <c r="K598" t="n">
        <v>0</v>
      </c>
      <c r="L598" t="n">
        <v>0</v>
      </c>
      <c r="M598" t="n">
        <v>0</v>
      </c>
      <c r="N598" t="n">
        <v>0</v>
      </c>
      <c r="O598" t="n">
        <v>0</v>
      </c>
      <c r="P598" t="n">
        <v>0</v>
      </c>
      <c r="Q598" t="n">
        <v>0</v>
      </c>
      <c r="R598" s="2" t="inlineStr"/>
    </row>
    <row r="599" ht="15" customHeight="1">
      <c r="A599" t="inlineStr">
        <is>
          <t>A 61105-2018</t>
        </is>
      </c>
      <c r="B599" s="1" t="n">
        <v>43423</v>
      </c>
      <c r="C599" s="1" t="n">
        <v>45351</v>
      </c>
      <c r="D599" t="inlineStr">
        <is>
          <t>UPPSALA LÄN</t>
        </is>
      </c>
      <c r="E599" t="inlineStr">
        <is>
          <t>HEBY</t>
        </is>
      </c>
      <c r="G599" t="n">
        <v>0.7</v>
      </c>
      <c r="H599" t="n">
        <v>0</v>
      </c>
      <c r="I599" t="n">
        <v>0</v>
      </c>
      <c r="J599" t="n">
        <v>0</v>
      </c>
      <c r="K599" t="n">
        <v>0</v>
      </c>
      <c r="L599" t="n">
        <v>0</v>
      </c>
      <c r="M599" t="n">
        <v>0</v>
      </c>
      <c r="N599" t="n">
        <v>0</v>
      </c>
      <c r="O599" t="n">
        <v>0</v>
      </c>
      <c r="P599" t="n">
        <v>0</v>
      </c>
      <c r="Q599" t="n">
        <v>0</v>
      </c>
      <c r="R599" s="2" t="inlineStr"/>
    </row>
    <row r="600" ht="15" customHeight="1">
      <c r="A600" t="inlineStr">
        <is>
          <t>A 61170-2018</t>
        </is>
      </c>
      <c r="B600" s="1" t="n">
        <v>43423</v>
      </c>
      <c r="C600" s="1" t="n">
        <v>45351</v>
      </c>
      <c r="D600" t="inlineStr">
        <is>
          <t>UPPSALA LÄN</t>
        </is>
      </c>
      <c r="E600" t="inlineStr">
        <is>
          <t>ÖSTHAMMAR</t>
        </is>
      </c>
      <c r="G600" t="n">
        <v>0.2</v>
      </c>
      <c r="H600" t="n">
        <v>0</v>
      </c>
      <c r="I600" t="n">
        <v>0</v>
      </c>
      <c r="J600" t="n">
        <v>0</v>
      </c>
      <c r="K600" t="n">
        <v>0</v>
      </c>
      <c r="L600" t="n">
        <v>0</v>
      </c>
      <c r="M600" t="n">
        <v>0</v>
      </c>
      <c r="N600" t="n">
        <v>0</v>
      </c>
      <c r="O600" t="n">
        <v>0</v>
      </c>
      <c r="P600" t="n">
        <v>0</v>
      </c>
      <c r="Q600" t="n">
        <v>0</v>
      </c>
      <c r="R600" s="2" t="inlineStr"/>
    </row>
    <row r="601" ht="15" customHeight="1">
      <c r="A601" t="inlineStr">
        <is>
          <t>A 61154-2018</t>
        </is>
      </c>
      <c r="B601" s="1" t="n">
        <v>43423</v>
      </c>
      <c r="C601" s="1" t="n">
        <v>45351</v>
      </c>
      <c r="D601" t="inlineStr">
        <is>
          <t>UPPSALA LÄN</t>
        </is>
      </c>
      <c r="E601" t="inlineStr">
        <is>
          <t>UPPSALA</t>
        </is>
      </c>
      <c r="G601" t="n">
        <v>3.8</v>
      </c>
      <c r="H601" t="n">
        <v>0</v>
      </c>
      <c r="I601" t="n">
        <v>0</v>
      </c>
      <c r="J601" t="n">
        <v>0</v>
      </c>
      <c r="K601" t="n">
        <v>0</v>
      </c>
      <c r="L601" t="n">
        <v>0</v>
      </c>
      <c r="M601" t="n">
        <v>0</v>
      </c>
      <c r="N601" t="n">
        <v>0</v>
      </c>
      <c r="O601" t="n">
        <v>0</v>
      </c>
      <c r="P601" t="n">
        <v>0</v>
      </c>
      <c r="Q601" t="n">
        <v>0</v>
      </c>
      <c r="R601" s="2" t="inlineStr"/>
    </row>
    <row r="602" ht="15" customHeight="1">
      <c r="A602" t="inlineStr">
        <is>
          <t>A 61084-2018</t>
        </is>
      </c>
      <c r="B602" s="1" t="n">
        <v>43423</v>
      </c>
      <c r="C602" s="1" t="n">
        <v>45351</v>
      </c>
      <c r="D602" t="inlineStr">
        <is>
          <t>UPPSALA LÄN</t>
        </is>
      </c>
      <c r="E602" t="inlineStr">
        <is>
          <t>ÖSTHAMMAR</t>
        </is>
      </c>
      <c r="G602" t="n">
        <v>2.8</v>
      </c>
      <c r="H602" t="n">
        <v>0</v>
      </c>
      <c r="I602" t="n">
        <v>0</v>
      </c>
      <c r="J602" t="n">
        <v>0</v>
      </c>
      <c r="K602" t="n">
        <v>0</v>
      </c>
      <c r="L602" t="n">
        <v>0</v>
      </c>
      <c r="M602" t="n">
        <v>0</v>
      </c>
      <c r="N602" t="n">
        <v>0</v>
      </c>
      <c r="O602" t="n">
        <v>0</v>
      </c>
      <c r="P602" t="n">
        <v>0</v>
      </c>
      <c r="Q602" t="n">
        <v>0</v>
      </c>
      <c r="R602" s="2" t="inlineStr"/>
    </row>
    <row r="603" ht="15" customHeight="1">
      <c r="A603" t="inlineStr">
        <is>
          <t>A 61230-2018</t>
        </is>
      </c>
      <c r="B603" s="1" t="n">
        <v>43423</v>
      </c>
      <c r="C603" s="1" t="n">
        <v>45351</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61542-2018</t>
        </is>
      </c>
      <c r="B604" s="1" t="n">
        <v>43424</v>
      </c>
      <c r="C604" s="1" t="n">
        <v>45351</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61437-2018</t>
        </is>
      </c>
      <c r="B605" s="1" t="n">
        <v>43424</v>
      </c>
      <c r="C605" s="1" t="n">
        <v>45351</v>
      </c>
      <c r="D605" t="inlineStr">
        <is>
          <t>UPPSALA LÄN</t>
        </is>
      </c>
      <c r="E605" t="inlineStr">
        <is>
          <t>UPPSALA</t>
        </is>
      </c>
      <c r="G605" t="n">
        <v>0.2</v>
      </c>
      <c r="H605" t="n">
        <v>0</v>
      </c>
      <c r="I605" t="n">
        <v>0</v>
      </c>
      <c r="J605" t="n">
        <v>0</v>
      </c>
      <c r="K605" t="n">
        <v>0</v>
      </c>
      <c r="L605" t="n">
        <v>0</v>
      </c>
      <c r="M605" t="n">
        <v>0</v>
      </c>
      <c r="N605" t="n">
        <v>0</v>
      </c>
      <c r="O605" t="n">
        <v>0</v>
      </c>
      <c r="P605" t="n">
        <v>0</v>
      </c>
      <c r="Q605" t="n">
        <v>0</v>
      </c>
      <c r="R605" s="2" t="inlineStr"/>
    </row>
    <row r="606" ht="15" customHeight="1">
      <c r="A606" t="inlineStr">
        <is>
          <t>A 61548-2018</t>
        </is>
      </c>
      <c r="B606" s="1" t="n">
        <v>43424</v>
      </c>
      <c r="C606" s="1" t="n">
        <v>45351</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61537-2018</t>
        </is>
      </c>
      <c r="B607" s="1" t="n">
        <v>43424</v>
      </c>
      <c r="C607" s="1" t="n">
        <v>45351</v>
      </c>
      <c r="D607" t="inlineStr">
        <is>
          <t>UPPSALA LÄN</t>
        </is>
      </c>
      <c r="E607" t="inlineStr">
        <is>
          <t>UPPSALA</t>
        </is>
      </c>
      <c r="F607" t="inlineStr">
        <is>
          <t>Bergvik skog öst AB</t>
        </is>
      </c>
      <c r="G607" t="n">
        <v>3.1</v>
      </c>
      <c r="H607" t="n">
        <v>0</v>
      </c>
      <c r="I607" t="n">
        <v>0</v>
      </c>
      <c r="J607" t="n">
        <v>0</v>
      </c>
      <c r="K607" t="n">
        <v>0</v>
      </c>
      <c r="L607" t="n">
        <v>0</v>
      </c>
      <c r="M607" t="n">
        <v>0</v>
      </c>
      <c r="N607" t="n">
        <v>0</v>
      </c>
      <c r="O607" t="n">
        <v>0</v>
      </c>
      <c r="P607" t="n">
        <v>0</v>
      </c>
      <c r="Q607" t="n">
        <v>0</v>
      </c>
      <c r="R607" s="2" t="inlineStr"/>
    </row>
    <row r="608" ht="15" customHeight="1">
      <c r="A608" t="inlineStr">
        <is>
          <t>A 63437-2018</t>
        </is>
      </c>
      <c r="B608" s="1" t="n">
        <v>43426</v>
      </c>
      <c r="C608" s="1" t="n">
        <v>45351</v>
      </c>
      <c r="D608" t="inlineStr">
        <is>
          <t>UPPSALA LÄN</t>
        </is>
      </c>
      <c r="E608" t="inlineStr">
        <is>
          <t>ENKÖPING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63525-2018</t>
        </is>
      </c>
      <c r="B609" s="1" t="n">
        <v>43427</v>
      </c>
      <c r="C609" s="1" t="n">
        <v>45351</v>
      </c>
      <c r="D609" t="inlineStr">
        <is>
          <t>UPPSALA LÄN</t>
        </is>
      </c>
      <c r="E609" t="inlineStr">
        <is>
          <t>TIERP</t>
        </is>
      </c>
      <c r="G609" t="n">
        <v>3.9</v>
      </c>
      <c r="H609" t="n">
        <v>0</v>
      </c>
      <c r="I609" t="n">
        <v>0</v>
      </c>
      <c r="J609" t="n">
        <v>0</v>
      </c>
      <c r="K609" t="n">
        <v>0</v>
      </c>
      <c r="L609" t="n">
        <v>0</v>
      </c>
      <c r="M609" t="n">
        <v>0</v>
      </c>
      <c r="N609" t="n">
        <v>0</v>
      </c>
      <c r="O609" t="n">
        <v>0</v>
      </c>
      <c r="P609" t="n">
        <v>0</v>
      </c>
      <c r="Q609" t="n">
        <v>0</v>
      </c>
      <c r="R609" s="2" t="inlineStr"/>
    </row>
    <row r="610" ht="15" customHeight="1">
      <c r="A610" t="inlineStr">
        <is>
          <t>A 66329-2018</t>
        </is>
      </c>
      <c r="B610" s="1" t="n">
        <v>43427</v>
      </c>
      <c r="C610" s="1" t="n">
        <v>45351</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63962-2018</t>
        </is>
      </c>
      <c r="B611" s="1" t="n">
        <v>43430</v>
      </c>
      <c r="C611" s="1" t="n">
        <v>45351</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64269-2018</t>
        </is>
      </c>
      <c r="B612" s="1" t="n">
        <v>43430</v>
      </c>
      <c r="C612" s="1" t="n">
        <v>45351</v>
      </c>
      <c r="D612" t="inlineStr">
        <is>
          <t>UPPSALA LÄN</t>
        </is>
      </c>
      <c r="E612" t="inlineStr">
        <is>
          <t>HEBY</t>
        </is>
      </c>
      <c r="G612" t="n">
        <v>7.5</v>
      </c>
      <c r="H612" t="n">
        <v>0</v>
      </c>
      <c r="I612" t="n">
        <v>0</v>
      </c>
      <c r="J612" t="n">
        <v>0</v>
      </c>
      <c r="K612" t="n">
        <v>0</v>
      </c>
      <c r="L612" t="n">
        <v>0</v>
      </c>
      <c r="M612" t="n">
        <v>0</v>
      </c>
      <c r="N612" t="n">
        <v>0</v>
      </c>
      <c r="O612" t="n">
        <v>0</v>
      </c>
      <c r="P612" t="n">
        <v>0</v>
      </c>
      <c r="Q612" t="n">
        <v>0</v>
      </c>
      <c r="R612" s="2" t="inlineStr"/>
    </row>
    <row r="613" ht="15" customHeight="1">
      <c r="A613" t="inlineStr">
        <is>
          <t>A 64211-2018</t>
        </is>
      </c>
      <c r="B613" s="1" t="n">
        <v>43430</v>
      </c>
      <c r="C613" s="1" t="n">
        <v>45351</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64045-2018</t>
        </is>
      </c>
      <c r="B614" s="1" t="n">
        <v>43430</v>
      </c>
      <c r="C614" s="1" t="n">
        <v>45351</v>
      </c>
      <c r="D614" t="inlineStr">
        <is>
          <t>UPPSALA LÄN</t>
        </is>
      </c>
      <c r="E614" t="inlineStr">
        <is>
          <t>HEBY</t>
        </is>
      </c>
      <c r="G614" t="n">
        <v>2.7</v>
      </c>
      <c r="H614" t="n">
        <v>0</v>
      </c>
      <c r="I614" t="n">
        <v>0</v>
      </c>
      <c r="J614" t="n">
        <v>0</v>
      </c>
      <c r="K614" t="n">
        <v>0</v>
      </c>
      <c r="L614" t="n">
        <v>0</v>
      </c>
      <c r="M614" t="n">
        <v>0</v>
      </c>
      <c r="N614" t="n">
        <v>0</v>
      </c>
      <c r="O614" t="n">
        <v>0</v>
      </c>
      <c r="P614" t="n">
        <v>0</v>
      </c>
      <c r="Q614" t="n">
        <v>0</v>
      </c>
      <c r="R614" s="2" t="inlineStr"/>
    </row>
    <row r="615" ht="15" customHeight="1">
      <c r="A615" t="inlineStr">
        <is>
          <t>A 64061-2018</t>
        </is>
      </c>
      <c r="B615" s="1" t="n">
        <v>43430</v>
      </c>
      <c r="C615" s="1" t="n">
        <v>45351</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64449-2018</t>
        </is>
      </c>
      <c r="B616" s="1" t="n">
        <v>43431</v>
      </c>
      <c r="C616" s="1" t="n">
        <v>45351</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64854-2018</t>
        </is>
      </c>
      <c r="B617" s="1" t="n">
        <v>43431</v>
      </c>
      <c r="C617" s="1" t="n">
        <v>45351</v>
      </c>
      <c r="D617" t="inlineStr">
        <is>
          <t>UPPSALA LÄN</t>
        </is>
      </c>
      <c r="E617" t="inlineStr">
        <is>
          <t>UPPSALA</t>
        </is>
      </c>
      <c r="G617" t="n">
        <v>4.4</v>
      </c>
      <c r="H617" t="n">
        <v>0</v>
      </c>
      <c r="I617" t="n">
        <v>0</v>
      </c>
      <c r="J617" t="n">
        <v>0</v>
      </c>
      <c r="K617" t="n">
        <v>0</v>
      </c>
      <c r="L617" t="n">
        <v>0</v>
      </c>
      <c r="M617" t="n">
        <v>0</v>
      </c>
      <c r="N617" t="n">
        <v>0</v>
      </c>
      <c r="O617" t="n">
        <v>0</v>
      </c>
      <c r="P617" t="n">
        <v>0</v>
      </c>
      <c r="Q617" t="n">
        <v>0</v>
      </c>
      <c r="R617" s="2" t="inlineStr"/>
    </row>
    <row r="618" ht="15" customHeight="1">
      <c r="A618" t="inlineStr">
        <is>
          <t>A 64726-2018</t>
        </is>
      </c>
      <c r="B618" s="1" t="n">
        <v>43431</v>
      </c>
      <c r="C618" s="1" t="n">
        <v>45351</v>
      </c>
      <c r="D618" t="inlineStr">
        <is>
          <t>UPPSALA LÄN</t>
        </is>
      </c>
      <c r="E618" t="inlineStr">
        <is>
          <t>ENKÖPING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64723-2018</t>
        </is>
      </c>
      <c r="B619" s="1" t="n">
        <v>43431</v>
      </c>
      <c r="C619" s="1" t="n">
        <v>45351</v>
      </c>
      <c r="D619" t="inlineStr">
        <is>
          <t>UPPSALA LÄN</t>
        </is>
      </c>
      <c r="E619" t="inlineStr">
        <is>
          <t>ENKÖPING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65282-2018</t>
        </is>
      </c>
      <c r="B620" s="1" t="n">
        <v>43432</v>
      </c>
      <c r="C620" s="1" t="n">
        <v>45351</v>
      </c>
      <c r="D620" t="inlineStr">
        <is>
          <t>UPPSALA LÄN</t>
        </is>
      </c>
      <c r="E620" t="inlineStr">
        <is>
          <t>HEBY</t>
        </is>
      </c>
      <c r="G620" t="n">
        <v>1.2</v>
      </c>
      <c r="H620" t="n">
        <v>0</v>
      </c>
      <c r="I620" t="n">
        <v>0</v>
      </c>
      <c r="J620" t="n">
        <v>0</v>
      </c>
      <c r="K620" t="n">
        <v>0</v>
      </c>
      <c r="L620" t="n">
        <v>0</v>
      </c>
      <c r="M620" t="n">
        <v>0</v>
      </c>
      <c r="N620" t="n">
        <v>0</v>
      </c>
      <c r="O620" t="n">
        <v>0</v>
      </c>
      <c r="P620" t="n">
        <v>0</v>
      </c>
      <c r="Q620" t="n">
        <v>0</v>
      </c>
      <c r="R620" s="2" t="inlineStr"/>
    </row>
    <row r="621" ht="15" customHeight="1">
      <c r="A621" t="inlineStr">
        <is>
          <t>A 65213-2018</t>
        </is>
      </c>
      <c r="B621" s="1" t="n">
        <v>43432</v>
      </c>
      <c r="C621" s="1" t="n">
        <v>45351</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65212-2018</t>
        </is>
      </c>
      <c r="B622" s="1" t="n">
        <v>43432</v>
      </c>
      <c r="C622" s="1" t="n">
        <v>45351</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65389-2018</t>
        </is>
      </c>
      <c r="B623" s="1" t="n">
        <v>43433</v>
      </c>
      <c r="C623" s="1" t="n">
        <v>45351</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65590-2018</t>
        </is>
      </c>
      <c r="B624" s="1" t="n">
        <v>43433</v>
      </c>
      <c r="C624" s="1" t="n">
        <v>45351</v>
      </c>
      <c r="D624" t="inlineStr">
        <is>
          <t>UPPSALA LÄN</t>
        </is>
      </c>
      <c r="E624" t="inlineStr">
        <is>
          <t>UPPSALA</t>
        </is>
      </c>
      <c r="G624" t="n">
        <v>5.5</v>
      </c>
      <c r="H624" t="n">
        <v>0</v>
      </c>
      <c r="I624" t="n">
        <v>0</v>
      </c>
      <c r="J624" t="n">
        <v>0</v>
      </c>
      <c r="K624" t="n">
        <v>0</v>
      </c>
      <c r="L624" t="n">
        <v>0</v>
      </c>
      <c r="M624" t="n">
        <v>0</v>
      </c>
      <c r="N624" t="n">
        <v>0</v>
      </c>
      <c r="O624" t="n">
        <v>0</v>
      </c>
      <c r="P624" t="n">
        <v>0</v>
      </c>
      <c r="Q624" t="n">
        <v>0</v>
      </c>
      <c r="R624" s="2" t="inlineStr"/>
    </row>
    <row r="625" ht="15" customHeight="1">
      <c r="A625" t="inlineStr">
        <is>
          <t>A 65392-2018</t>
        </is>
      </c>
      <c r="B625" s="1" t="n">
        <v>43433</v>
      </c>
      <c r="C625" s="1" t="n">
        <v>45351</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65785-2018</t>
        </is>
      </c>
      <c r="B626" s="1" t="n">
        <v>43433</v>
      </c>
      <c r="C626" s="1" t="n">
        <v>45351</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65486-2018</t>
        </is>
      </c>
      <c r="B627" s="1" t="n">
        <v>43433</v>
      </c>
      <c r="C627" s="1" t="n">
        <v>45351</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67716-2018</t>
        </is>
      </c>
      <c r="B628" s="1" t="n">
        <v>43434</v>
      </c>
      <c r="C628" s="1" t="n">
        <v>45351</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67906-2018</t>
        </is>
      </c>
      <c r="B629" s="1" t="n">
        <v>43436</v>
      </c>
      <c r="C629" s="1" t="n">
        <v>45351</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67910-2018</t>
        </is>
      </c>
      <c r="B630" s="1" t="n">
        <v>43436</v>
      </c>
      <c r="C630" s="1" t="n">
        <v>45351</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66787-2018</t>
        </is>
      </c>
      <c r="B631" s="1" t="n">
        <v>43437</v>
      </c>
      <c r="C631" s="1" t="n">
        <v>45351</v>
      </c>
      <c r="D631" t="inlineStr">
        <is>
          <t>UPPSALA LÄN</t>
        </is>
      </c>
      <c r="E631" t="inlineStr">
        <is>
          <t>HEBY</t>
        </is>
      </c>
      <c r="G631" t="n">
        <v>0.4</v>
      </c>
      <c r="H631" t="n">
        <v>0</v>
      </c>
      <c r="I631" t="n">
        <v>0</v>
      </c>
      <c r="J631" t="n">
        <v>0</v>
      </c>
      <c r="K631" t="n">
        <v>0</v>
      </c>
      <c r="L631" t="n">
        <v>0</v>
      </c>
      <c r="M631" t="n">
        <v>0</v>
      </c>
      <c r="N631" t="n">
        <v>0</v>
      </c>
      <c r="O631" t="n">
        <v>0</v>
      </c>
      <c r="P631" t="n">
        <v>0</v>
      </c>
      <c r="Q631" t="n">
        <v>0</v>
      </c>
      <c r="R631" s="2" t="inlineStr"/>
    </row>
    <row r="632" ht="15" customHeight="1">
      <c r="A632" t="inlineStr">
        <is>
          <t>A 66589-2018</t>
        </is>
      </c>
      <c r="B632" s="1" t="n">
        <v>43437</v>
      </c>
      <c r="C632" s="1" t="n">
        <v>45351</v>
      </c>
      <c r="D632" t="inlineStr">
        <is>
          <t>UPPSALA LÄN</t>
        </is>
      </c>
      <c r="E632" t="inlineStr">
        <is>
          <t>UPPSALA</t>
        </is>
      </c>
      <c r="G632" t="n">
        <v>4.7</v>
      </c>
      <c r="H632" t="n">
        <v>0</v>
      </c>
      <c r="I632" t="n">
        <v>0</v>
      </c>
      <c r="J632" t="n">
        <v>0</v>
      </c>
      <c r="K632" t="n">
        <v>0</v>
      </c>
      <c r="L632" t="n">
        <v>0</v>
      </c>
      <c r="M632" t="n">
        <v>0</v>
      </c>
      <c r="N632" t="n">
        <v>0</v>
      </c>
      <c r="O632" t="n">
        <v>0</v>
      </c>
      <c r="P632" t="n">
        <v>0</v>
      </c>
      <c r="Q632" t="n">
        <v>0</v>
      </c>
      <c r="R632" s="2" t="inlineStr"/>
    </row>
    <row r="633" ht="15" customHeight="1">
      <c r="A633" t="inlineStr">
        <is>
          <t>A 66735-2018</t>
        </is>
      </c>
      <c r="B633" s="1" t="n">
        <v>43437</v>
      </c>
      <c r="C633" s="1" t="n">
        <v>45351</v>
      </c>
      <c r="D633" t="inlineStr">
        <is>
          <t>UPPSALA LÄN</t>
        </is>
      </c>
      <c r="E633" t="inlineStr">
        <is>
          <t>ENKÖPING</t>
        </is>
      </c>
      <c r="G633" t="n">
        <v>3.4</v>
      </c>
      <c r="H633" t="n">
        <v>0</v>
      </c>
      <c r="I633" t="n">
        <v>0</v>
      </c>
      <c r="J633" t="n">
        <v>0</v>
      </c>
      <c r="K633" t="n">
        <v>0</v>
      </c>
      <c r="L633" t="n">
        <v>0</v>
      </c>
      <c r="M633" t="n">
        <v>0</v>
      </c>
      <c r="N633" t="n">
        <v>0</v>
      </c>
      <c r="O633" t="n">
        <v>0</v>
      </c>
      <c r="P633" t="n">
        <v>0</v>
      </c>
      <c r="Q633" t="n">
        <v>0</v>
      </c>
      <c r="R633" s="2" t="inlineStr"/>
    </row>
    <row r="634" ht="15" customHeight="1">
      <c r="A634" t="inlineStr">
        <is>
          <t>A 66632-2018</t>
        </is>
      </c>
      <c r="B634" s="1" t="n">
        <v>43437</v>
      </c>
      <c r="C634" s="1" t="n">
        <v>45351</v>
      </c>
      <c r="D634" t="inlineStr">
        <is>
          <t>UPPSALA LÄN</t>
        </is>
      </c>
      <c r="E634" t="inlineStr">
        <is>
          <t>KNIVSTA</t>
        </is>
      </c>
      <c r="G634" t="n">
        <v>1.4</v>
      </c>
      <c r="H634" t="n">
        <v>0</v>
      </c>
      <c r="I634" t="n">
        <v>0</v>
      </c>
      <c r="J634" t="n">
        <v>0</v>
      </c>
      <c r="K634" t="n">
        <v>0</v>
      </c>
      <c r="L634" t="n">
        <v>0</v>
      </c>
      <c r="M634" t="n">
        <v>0</v>
      </c>
      <c r="N634" t="n">
        <v>0</v>
      </c>
      <c r="O634" t="n">
        <v>0</v>
      </c>
      <c r="P634" t="n">
        <v>0</v>
      </c>
      <c r="Q634" t="n">
        <v>0</v>
      </c>
      <c r="R634" s="2" t="inlineStr"/>
    </row>
    <row r="635" ht="15" customHeight="1">
      <c r="A635" t="inlineStr">
        <is>
          <t>A 66942-2018</t>
        </is>
      </c>
      <c r="B635" s="1" t="n">
        <v>43438</v>
      </c>
      <c r="C635" s="1" t="n">
        <v>45351</v>
      </c>
      <c r="D635" t="inlineStr">
        <is>
          <t>UPPSALA LÄN</t>
        </is>
      </c>
      <c r="E635" t="inlineStr">
        <is>
          <t>TIERP</t>
        </is>
      </c>
      <c r="G635" t="n">
        <v>2.3</v>
      </c>
      <c r="H635" t="n">
        <v>0</v>
      </c>
      <c r="I635" t="n">
        <v>0</v>
      </c>
      <c r="J635" t="n">
        <v>0</v>
      </c>
      <c r="K635" t="n">
        <v>0</v>
      </c>
      <c r="L635" t="n">
        <v>0</v>
      </c>
      <c r="M635" t="n">
        <v>0</v>
      </c>
      <c r="N635" t="n">
        <v>0</v>
      </c>
      <c r="O635" t="n">
        <v>0</v>
      </c>
      <c r="P635" t="n">
        <v>0</v>
      </c>
      <c r="Q635" t="n">
        <v>0</v>
      </c>
      <c r="R635" s="2" t="inlineStr"/>
    </row>
    <row r="636" ht="15" customHeight="1">
      <c r="A636" t="inlineStr">
        <is>
          <t>A 66869-2018</t>
        </is>
      </c>
      <c r="B636" s="1" t="n">
        <v>43438</v>
      </c>
      <c r="C636" s="1" t="n">
        <v>45351</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66868-2018</t>
        </is>
      </c>
      <c r="B637" s="1" t="n">
        <v>43438</v>
      </c>
      <c r="C637" s="1" t="n">
        <v>45351</v>
      </c>
      <c r="D637" t="inlineStr">
        <is>
          <t>UPPSALA LÄN</t>
        </is>
      </c>
      <c r="E637" t="inlineStr">
        <is>
          <t>TIERP</t>
        </is>
      </c>
      <c r="G637" t="n">
        <v>1.8</v>
      </c>
      <c r="H637" t="n">
        <v>0</v>
      </c>
      <c r="I637" t="n">
        <v>0</v>
      </c>
      <c r="J637" t="n">
        <v>0</v>
      </c>
      <c r="K637" t="n">
        <v>0</v>
      </c>
      <c r="L637" t="n">
        <v>0</v>
      </c>
      <c r="M637" t="n">
        <v>0</v>
      </c>
      <c r="N637" t="n">
        <v>0</v>
      </c>
      <c r="O637" t="n">
        <v>0</v>
      </c>
      <c r="P637" t="n">
        <v>0</v>
      </c>
      <c r="Q637" t="n">
        <v>0</v>
      </c>
      <c r="R637" s="2" t="inlineStr"/>
    </row>
    <row r="638" ht="15" customHeight="1">
      <c r="A638" t="inlineStr">
        <is>
          <t>A 66851-2018</t>
        </is>
      </c>
      <c r="B638" s="1" t="n">
        <v>43438</v>
      </c>
      <c r="C638" s="1" t="n">
        <v>45351</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67221-2018</t>
        </is>
      </c>
      <c r="B639" s="1" t="n">
        <v>43439</v>
      </c>
      <c r="C639" s="1" t="n">
        <v>45351</v>
      </c>
      <c r="D639" t="inlineStr">
        <is>
          <t>UPPSALA LÄN</t>
        </is>
      </c>
      <c r="E639" t="inlineStr">
        <is>
          <t>ÄLVKARLEBY</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67431-2018</t>
        </is>
      </c>
      <c r="B640" s="1" t="n">
        <v>43439</v>
      </c>
      <c r="C640" s="1" t="n">
        <v>45351</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67573-2018</t>
        </is>
      </c>
      <c r="B641" s="1" t="n">
        <v>43439</v>
      </c>
      <c r="C641" s="1" t="n">
        <v>45351</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67709-2018</t>
        </is>
      </c>
      <c r="B642" s="1" t="n">
        <v>43440</v>
      </c>
      <c r="C642" s="1" t="n">
        <v>45351</v>
      </c>
      <c r="D642" t="inlineStr">
        <is>
          <t>UPPSALA LÄN</t>
        </is>
      </c>
      <c r="E642" t="inlineStr">
        <is>
          <t>HEBY</t>
        </is>
      </c>
      <c r="G642" t="n">
        <v>3.6</v>
      </c>
      <c r="H642" t="n">
        <v>0</v>
      </c>
      <c r="I642" t="n">
        <v>0</v>
      </c>
      <c r="J642" t="n">
        <v>0</v>
      </c>
      <c r="K642" t="n">
        <v>0</v>
      </c>
      <c r="L642" t="n">
        <v>0</v>
      </c>
      <c r="M642" t="n">
        <v>0</v>
      </c>
      <c r="N642" t="n">
        <v>0</v>
      </c>
      <c r="O642" t="n">
        <v>0</v>
      </c>
      <c r="P642" t="n">
        <v>0</v>
      </c>
      <c r="Q642" t="n">
        <v>0</v>
      </c>
      <c r="R642" s="2" t="inlineStr"/>
    </row>
    <row r="643" ht="15" customHeight="1">
      <c r="A643" t="inlineStr">
        <is>
          <t>A 67819-2018</t>
        </is>
      </c>
      <c r="B643" s="1" t="n">
        <v>43440</v>
      </c>
      <c r="C643" s="1" t="n">
        <v>45351</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69040-2018</t>
        </is>
      </c>
      <c r="B644" s="1" t="n">
        <v>43440</v>
      </c>
      <c r="C644" s="1" t="n">
        <v>45351</v>
      </c>
      <c r="D644" t="inlineStr">
        <is>
          <t>UPPSALA LÄN</t>
        </is>
      </c>
      <c r="E644" t="inlineStr">
        <is>
          <t>ENKÖPING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69017-2018</t>
        </is>
      </c>
      <c r="B645" s="1" t="n">
        <v>43440</v>
      </c>
      <c r="C645" s="1" t="n">
        <v>45351</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68276-2018</t>
        </is>
      </c>
      <c r="B646" s="1" t="n">
        <v>43441</v>
      </c>
      <c r="C646" s="1" t="n">
        <v>45351</v>
      </c>
      <c r="D646" t="inlineStr">
        <is>
          <t>UPPSALA LÄN</t>
        </is>
      </c>
      <c r="E646" t="inlineStr">
        <is>
          <t>ENKÖPING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68020-2018</t>
        </is>
      </c>
      <c r="B647" s="1" t="n">
        <v>43441</v>
      </c>
      <c r="C647" s="1" t="n">
        <v>45351</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68291-2018</t>
        </is>
      </c>
      <c r="B648" s="1" t="n">
        <v>43441</v>
      </c>
      <c r="C648" s="1" t="n">
        <v>45351</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68312-2018</t>
        </is>
      </c>
      <c r="B649" s="1" t="n">
        <v>43441</v>
      </c>
      <c r="C649" s="1" t="n">
        <v>45351</v>
      </c>
      <c r="D649" t="inlineStr">
        <is>
          <t>UPPSALA LÄN</t>
        </is>
      </c>
      <c r="E649" t="inlineStr">
        <is>
          <t>ENKÖPING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68555-2018</t>
        </is>
      </c>
      <c r="B650" s="1" t="n">
        <v>43444</v>
      </c>
      <c r="C650" s="1" t="n">
        <v>45351</v>
      </c>
      <c r="D650" t="inlineStr">
        <is>
          <t>UPPSALA LÄN</t>
        </is>
      </c>
      <c r="E650" t="inlineStr">
        <is>
          <t>ENKÖPING</t>
        </is>
      </c>
      <c r="F650" t="inlineStr">
        <is>
          <t>Kyrkan</t>
        </is>
      </c>
      <c r="G650" t="n">
        <v>2.1</v>
      </c>
      <c r="H650" t="n">
        <v>0</v>
      </c>
      <c r="I650" t="n">
        <v>0</v>
      </c>
      <c r="J650" t="n">
        <v>0</v>
      </c>
      <c r="K650" t="n">
        <v>0</v>
      </c>
      <c r="L650" t="n">
        <v>0</v>
      </c>
      <c r="M650" t="n">
        <v>0</v>
      </c>
      <c r="N650" t="n">
        <v>0</v>
      </c>
      <c r="O650" t="n">
        <v>0</v>
      </c>
      <c r="P650" t="n">
        <v>0</v>
      </c>
      <c r="Q650" t="n">
        <v>0</v>
      </c>
      <c r="R650" s="2" t="inlineStr"/>
    </row>
    <row r="651" ht="15" customHeight="1">
      <c r="A651" t="inlineStr">
        <is>
          <t>A 69939-2018</t>
        </is>
      </c>
      <c r="B651" s="1" t="n">
        <v>43444</v>
      </c>
      <c r="C651" s="1" t="n">
        <v>45351</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69209-2018</t>
        </is>
      </c>
      <c r="B652" s="1" t="n">
        <v>43445</v>
      </c>
      <c r="C652" s="1" t="n">
        <v>45351</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69019-2018</t>
        </is>
      </c>
      <c r="B653" s="1" t="n">
        <v>43445</v>
      </c>
      <c r="C653" s="1" t="n">
        <v>45351</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69515-2018</t>
        </is>
      </c>
      <c r="B654" s="1" t="n">
        <v>43446</v>
      </c>
      <c r="C654" s="1" t="n">
        <v>45351</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69434-2018</t>
        </is>
      </c>
      <c r="B655" s="1" t="n">
        <v>43446</v>
      </c>
      <c r="C655" s="1" t="n">
        <v>45351</v>
      </c>
      <c r="D655" t="inlineStr">
        <is>
          <t>UPPSALA LÄN</t>
        </is>
      </c>
      <c r="E655" t="inlineStr">
        <is>
          <t>TIERP</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69517-2018</t>
        </is>
      </c>
      <c r="B656" s="1" t="n">
        <v>43446</v>
      </c>
      <c r="C656" s="1" t="n">
        <v>45351</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69571-2018</t>
        </is>
      </c>
      <c r="B657" s="1" t="n">
        <v>43446</v>
      </c>
      <c r="C657" s="1" t="n">
        <v>45351</v>
      </c>
      <c r="D657" t="inlineStr">
        <is>
          <t>UPPSALA LÄN</t>
        </is>
      </c>
      <c r="E657" t="inlineStr">
        <is>
          <t>ENKÖPING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69404-2018</t>
        </is>
      </c>
      <c r="B658" s="1" t="n">
        <v>43446</v>
      </c>
      <c r="C658" s="1" t="n">
        <v>45351</v>
      </c>
      <c r="D658" t="inlineStr">
        <is>
          <t>UPPSALA LÄN</t>
        </is>
      </c>
      <c r="E658" t="inlineStr">
        <is>
          <t>TIERP</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69346-2018</t>
        </is>
      </c>
      <c r="B659" s="1" t="n">
        <v>43446</v>
      </c>
      <c r="C659" s="1" t="n">
        <v>45351</v>
      </c>
      <c r="D659" t="inlineStr">
        <is>
          <t>UPPSALA LÄN</t>
        </is>
      </c>
      <c r="E659" t="inlineStr">
        <is>
          <t>TIERP</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69700-2018</t>
        </is>
      </c>
      <c r="B660" s="1" t="n">
        <v>43447</v>
      </c>
      <c r="C660" s="1" t="n">
        <v>45351</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69884-2018</t>
        </is>
      </c>
      <c r="B661" s="1" t="n">
        <v>43447</v>
      </c>
      <c r="C661" s="1" t="n">
        <v>45351</v>
      </c>
      <c r="D661" t="inlineStr">
        <is>
          <t>UPPSALA LÄN</t>
        </is>
      </c>
      <c r="E661" t="inlineStr">
        <is>
          <t>UPPSALA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69778-2018</t>
        </is>
      </c>
      <c r="B662" s="1" t="n">
        <v>43447</v>
      </c>
      <c r="C662" s="1" t="n">
        <v>45351</v>
      </c>
      <c r="D662" t="inlineStr">
        <is>
          <t>UPPSALA LÄN</t>
        </is>
      </c>
      <c r="E662" t="inlineStr">
        <is>
          <t>HEBY</t>
        </is>
      </c>
      <c r="G662" t="n">
        <v>6</v>
      </c>
      <c r="H662" t="n">
        <v>0</v>
      </c>
      <c r="I662" t="n">
        <v>0</v>
      </c>
      <c r="J662" t="n">
        <v>0</v>
      </c>
      <c r="K662" t="n">
        <v>0</v>
      </c>
      <c r="L662" t="n">
        <v>0</v>
      </c>
      <c r="M662" t="n">
        <v>0</v>
      </c>
      <c r="N662" t="n">
        <v>0</v>
      </c>
      <c r="O662" t="n">
        <v>0</v>
      </c>
      <c r="P662" t="n">
        <v>0</v>
      </c>
      <c r="Q662" t="n">
        <v>0</v>
      </c>
      <c r="R662" s="2" t="inlineStr"/>
    </row>
    <row r="663" ht="15" customHeight="1">
      <c r="A663" t="inlineStr">
        <is>
          <t>A 69890-2018</t>
        </is>
      </c>
      <c r="B663" s="1" t="n">
        <v>43447</v>
      </c>
      <c r="C663" s="1" t="n">
        <v>45351</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69703-2018</t>
        </is>
      </c>
      <c r="B664" s="1" t="n">
        <v>43447</v>
      </c>
      <c r="C664" s="1" t="n">
        <v>45351</v>
      </c>
      <c r="D664" t="inlineStr">
        <is>
          <t>UPPSALA LÄN</t>
        </is>
      </c>
      <c r="E664" t="inlineStr">
        <is>
          <t>UPPSALA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69698-2018</t>
        </is>
      </c>
      <c r="B665" s="1" t="n">
        <v>43447</v>
      </c>
      <c r="C665" s="1" t="n">
        <v>45351</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69690-2018</t>
        </is>
      </c>
      <c r="B666" s="1" t="n">
        <v>43447</v>
      </c>
      <c r="C666" s="1" t="n">
        <v>45351</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70221-2018</t>
        </is>
      </c>
      <c r="B667" s="1" t="n">
        <v>43448</v>
      </c>
      <c r="C667" s="1" t="n">
        <v>45351</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70376-2018</t>
        </is>
      </c>
      <c r="B668" s="1" t="n">
        <v>43450</v>
      </c>
      <c r="C668" s="1" t="n">
        <v>45351</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70373-2018</t>
        </is>
      </c>
      <c r="B669" s="1" t="n">
        <v>43450</v>
      </c>
      <c r="C669" s="1" t="n">
        <v>45351</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70375-2018</t>
        </is>
      </c>
      <c r="B670" s="1" t="n">
        <v>43450</v>
      </c>
      <c r="C670" s="1" t="n">
        <v>45351</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71256-2018</t>
        </is>
      </c>
      <c r="B671" s="1" t="n">
        <v>43451</v>
      </c>
      <c r="C671" s="1" t="n">
        <v>45351</v>
      </c>
      <c r="D671" t="inlineStr">
        <is>
          <t>UPPSALA LÄN</t>
        </is>
      </c>
      <c r="E671" t="inlineStr">
        <is>
          <t>UPPSALA</t>
        </is>
      </c>
      <c r="G671" t="n">
        <v>3.4</v>
      </c>
      <c r="H671" t="n">
        <v>0</v>
      </c>
      <c r="I671" t="n">
        <v>0</v>
      </c>
      <c r="J671" t="n">
        <v>0</v>
      </c>
      <c r="K671" t="n">
        <v>0</v>
      </c>
      <c r="L671" t="n">
        <v>0</v>
      </c>
      <c r="M671" t="n">
        <v>0</v>
      </c>
      <c r="N671" t="n">
        <v>0</v>
      </c>
      <c r="O671" t="n">
        <v>0</v>
      </c>
      <c r="P671" t="n">
        <v>0</v>
      </c>
      <c r="Q671" t="n">
        <v>0</v>
      </c>
      <c r="R671" s="2" t="inlineStr"/>
    </row>
    <row r="672" ht="15" customHeight="1">
      <c r="A672" t="inlineStr">
        <is>
          <t>A 70683-2018</t>
        </is>
      </c>
      <c r="B672" s="1" t="n">
        <v>43451</v>
      </c>
      <c r="C672" s="1" t="n">
        <v>45351</v>
      </c>
      <c r="D672" t="inlineStr">
        <is>
          <t>UPPSALA LÄN</t>
        </is>
      </c>
      <c r="E672" t="inlineStr">
        <is>
          <t>ENKÖPING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71279-2018</t>
        </is>
      </c>
      <c r="B673" s="1" t="n">
        <v>43451</v>
      </c>
      <c r="C673" s="1" t="n">
        <v>45351</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70541-2018</t>
        </is>
      </c>
      <c r="B674" s="1" t="n">
        <v>43451</v>
      </c>
      <c r="C674" s="1" t="n">
        <v>45351</v>
      </c>
      <c r="D674" t="inlineStr">
        <is>
          <t>UPPSALA LÄN</t>
        </is>
      </c>
      <c r="E674" t="inlineStr">
        <is>
          <t>TIERP</t>
        </is>
      </c>
      <c r="F674" t="inlineStr">
        <is>
          <t>Bergvik skog öst AB</t>
        </is>
      </c>
      <c r="G674" t="n">
        <v>10.4</v>
      </c>
      <c r="H674" t="n">
        <v>0</v>
      </c>
      <c r="I674" t="n">
        <v>0</v>
      </c>
      <c r="J674" t="n">
        <v>0</v>
      </c>
      <c r="K674" t="n">
        <v>0</v>
      </c>
      <c r="L674" t="n">
        <v>0</v>
      </c>
      <c r="M674" t="n">
        <v>0</v>
      </c>
      <c r="N674" t="n">
        <v>0</v>
      </c>
      <c r="O674" t="n">
        <v>0</v>
      </c>
      <c r="P674" t="n">
        <v>0</v>
      </c>
      <c r="Q674" t="n">
        <v>0</v>
      </c>
      <c r="R674" s="2" t="inlineStr"/>
    </row>
    <row r="675" ht="15" customHeight="1">
      <c r="A675" t="inlineStr">
        <is>
          <t>A 70497-2018</t>
        </is>
      </c>
      <c r="B675" s="1" t="n">
        <v>43451</v>
      </c>
      <c r="C675" s="1" t="n">
        <v>45351</v>
      </c>
      <c r="D675" t="inlineStr">
        <is>
          <t>UPPSALA LÄN</t>
        </is>
      </c>
      <c r="E675" t="inlineStr">
        <is>
          <t>ENKÖPING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70487-2018</t>
        </is>
      </c>
      <c r="B676" s="1" t="n">
        <v>43451</v>
      </c>
      <c r="C676" s="1" t="n">
        <v>45351</v>
      </c>
      <c r="D676" t="inlineStr">
        <is>
          <t>UPPSALA LÄN</t>
        </is>
      </c>
      <c r="E676" t="inlineStr">
        <is>
          <t>ENKÖPING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71413-2018</t>
        </is>
      </c>
      <c r="B677" s="1" t="n">
        <v>43451</v>
      </c>
      <c r="C677" s="1" t="n">
        <v>45351</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70953-2018</t>
        </is>
      </c>
      <c r="B678" s="1" t="n">
        <v>43452</v>
      </c>
      <c r="C678" s="1" t="n">
        <v>45351</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71556-2018</t>
        </is>
      </c>
      <c r="B679" s="1" t="n">
        <v>43452</v>
      </c>
      <c r="C679" s="1" t="n">
        <v>45351</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71127-2018</t>
        </is>
      </c>
      <c r="B680" s="1" t="n">
        <v>43452</v>
      </c>
      <c r="C680" s="1" t="n">
        <v>45351</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71801-2018</t>
        </is>
      </c>
      <c r="B681" s="1" t="n">
        <v>43453</v>
      </c>
      <c r="C681" s="1" t="n">
        <v>45351</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71589-2018</t>
        </is>
      </c>
      <c r="B682" s="1" t="n">
        <v>43454</v>
      </c>
      <c r="C682" s="1" t="n">
        <v>45351</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71771-2018</t>
        </is>
      </c>
      <c r="B683" s="1" t="n">
        <v>43454</v>
      </c>
      <c r="C683" s="1" t="n">
        <v>45351</v>
      </c>
      <c r="D683" t="inlineStr">
        <is>
          <t>UPPSALA LÄN</t>
        </is>
      </c>
      <c r="E683" t="inlineStr">
        <is>
          <t>HEBY</t>
        </is>
      </c>
      <c r="G683" t="n">
        <v>1.8</v>
      </c>
      <c r="H683" t="n">
        <v>0</v>
      </c>
      <c r="I683" t="n">
        <v>0</v>
      </c>
      <c r="J683" t="n">
        <v>0</v>
      </c>
      <c r="K683" t="n">
        <v>0</v>
      </c>
      <c r="L683" t="n">
        <v>0</v>
      </c>
      <c r="M683" t="n">
        <v>0</v>
      </c>
      <c r="N683" t="n">
        <v>0</v>
      </c>
      <c r="O683" t="n">
        <v>0</v>
      </c>
      <c r="P683" t="n">
        <v>0</v>
      </c>
      <c r="Q683" t="n">
        <v>0</v>
      </c>
      <c r="R683" s="2" t="inlineStr"/>
    </row>
    <row r="684" ht="15" customHeight="1">
      <c r="A684" t="inlineStr">
        <is>
          <t>A 71608-2018</t>
        </is>
      </c>
      <c r="B684" s="1" t="n">
        <v>43454</v>
      </c>
      <c r="C684" s="1" t="n">
        <v>45351</v>
      </c>
      <c r="D684" t="inlineStr">
        <is>
          <t>UPPSALA LÄN</t>
        </is>
      </c>
      <c r="E684" t="inlineStr">
        <is>
          <t>HEBY</t>
        </is>
      </c>
      <c r="G684" t="n">
        <v>1.5</v>
      </c>
      <c r="H684" t="n">
        <v>0</v>
      </c>
      <c r="I684" t="n">
        <v>0</v>
      </c>
      <c r="J684" t="n">
        <v>0</v>
      </c>
      <c r="K684" t="n">
        <v>0</v>
      </c>
      <c r="L684" t="n">
        <v>0</v>
      </c>
      <c r="M684" t="n">
        <v>0</v>
      </c>
      <c r="N684" t="n">
        <v>0</v>
      </c>
      <c r="O684" t="n">
        <v>0</v>
      </c>
      <c r="P684" t="n">
        <v>0</v>
      </c>
      <c r="Q684" t="n">
        <v>0</v>
      </c>
      <c r="R684" s="2" t="inlineStr"/>
    </row>
    <row r="685" ht="15" customHeight="1">
      <c r="A685" t="inlineStr">
        <is>
          <t>A 72072-2018</t>
        </is>
      </c>
      <c r="B685" s="1" t="n">
        <v>43455</v>
      </c>
      <c r="C685" s="1" t="n">
        <v>45351</v>
      </c>
      <c r="D685" t="inlineStr">
        <is>
          <t>UPPSALA LÄN</t>
        </is>
      </c>
      <c r="E685" t="inlineStr">
        <is>
          <t>UPPSALA</t>
        </is>
      </c>
      <c r="G685" t="n">
        <v>29.4</v>
      </c>
      <c r="H685" t="n">
        <v>0</v>
      </c>
      <c r="I685" t="n">
        <v>0</v>
      </c>
      <c r="J685" t="n">
        <v>0</v>
      </c>
      <c r="K685" t="n">
        <v>0</v>
      </c>
      <c r="L685" t="n">
        <v>0</v>
      </c>
      <c r="M685" t="n">
        <v>0</v>
      </c>
      <c r="N685" t="n">
        <v>0</v>
      </c>
      <c r="O685" t="n">
        <v>0</v>
      </c>
      <c r="P685" t="n">
        <v>0</v>
      </c>
      <c r="Q685" t="n">
        <v>0</v>
      </c>
      <c r="R685" s="2" t="inlineStr"/>
    </row>
    <row r="686" ht="15" customHeight="1">
      <c r="A686" t="inlineStr">
        <is>
          <t>A 72001-2018</t>
        </is>
      </c>
      <c r="B686" s="1" t="n">
        <v>43455</v>
      </c>
      <c r="C686" s="1" t="n">
        <v>45351</v>
      </c>
      <c r="D686" t="inlineStr">
        <is>
          <t>UPPSALA LÄN</t>
        </is>
      </c>
      <c r="E686" t="inlineStr">
        <is>
          <t>UPPSALA</t>
        </is>
      </c>
      <c r="G686" t="n">
        <v>4.7</v>
      </c>
      <c r="H686" t="n">
        <v>0</v>
      </c>
      <c r="I686" t="n">
        <v>0</v>
      </c>
      <c r="J686" t="n">
        <v>0</v>
      </c>
      <c r="K686" t="n">
        <v>0</v>
      </c>
      <c r="L686" t="n">
        <v>0</v>
      </c>
      <c r="M686" t="n">
        <v>0</v>
      </c>
      <c r="N686" t="n">
        <v>0</v>
      </c>
      <c r="O686" t="n">
        <v>0</v>
      </c>
      <c r="P686" t="n">
        <v>0</v>
      </c>
      <c r="Q686" t="n">
        <v>0</v>
      </c>
      <c r="R686" s="2" t="inlineStr"/>
    </row>
    <row r="687" ht="15" customHeight="1">
      <c r="A687" t="inlineStr">
        <is>
          <t>A 72064-2018</t>
        </is>
      </c>
      <c r="B687" s="1" t="n">
        <v>43455</v>
      </c>
      <c r="C687" s="1" t="n">
        <v>45351</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72047-2018</t>
        </is>
      </c>
      <c r="B688" s="1" t="n">
        <v>43455</v>
      </c>
      <c r="C688" s="1" t="n">
        <v>45351</v>
      </c>
      <c r="D688" t="inlineStr">
        <is>
          <t>UPPSALA LÄN</t>
        </is>
      </c>
      <c r="E688" t="inlineStr">
        <is>
          <t>UPPSALA</t>
        </is>
      </c>
      <c r="G688" t="n">
        <v>55.2</v>
      </c>
      <c r="H688" t="n">
        <v>0</v>
      </c>
      <c r="I688" t="n">
        <v>0</v>
      </c>
      <c r="J688" t="n">
        <v>0</v>
      </c>
      <c r="K688" t="n">
        <v>0</v>
      </c>
      <c r="L688" t="n">
        <v>0</v>
      </c>
      <c r="M688" t="n">
        <v>0</v>
      </c>
      <c r="N688" t="n">
        <v>0</v>
      </c>
      <c r="O688" t="n">
        <v>0</v>
      </c>
      <c r="P688" t="n">
        <v>0</v>
      </c>
      <c r="Q688" t="n">
        <v>0</v>
      </c>
      <c r="R688" s="2" t="inlineStr"/>
    </row>
    <row r="689" ht="15" customHeight="1">
      <c r="A689" t="inlineStr">
        <is>
          <t>A 72204-2018</t>
        </is>
      </c>
      <c r="B689" s="1" t="n">
        <v>43455</v>
      </c>
      <c r="C689" s="1" t="n">
        <v>45351</v>
      </c>
      <c r="D689" t="inlineStr">
        <is>
          <t>UPPSALA LÄN</t>
        </is>
      </c>
      <c r="E689" t="inlineStr">
        <is>
          <t>KNIVSTA</t>
        </is>
      </c>
      <c r="G689" t="n">
        <v>3.6</v>
      </c>
      <c r="H689" t="n">
        <v>0</v>
      </c>
      <c r="I689" t="n">
        <v>0</v>
      </c>
      <c r="J689" t="n">
        <v>0</v>
      </c>
      <c r="K689" t="n">
        <v>0</v>
      </c>
      <c r="L689" t="n">
        <v>0</v>
      </c>
      <c r="M689" t="n">
        <v>0</v>
      </c>
      <c r="N689" t="n">
        <v>0</v>
      </c>
      <c r="O689" t="n">
        <v>0</v>
      </c>
      <c r="P689" t="n">
        <v>0</v>
      </c>
      <c r="Q689" t="n">
        <v>0</v>
      </c>
      <c r="R689" s="2" t="inlineStr"/>
    </row>
    <row r="690" ht="15" customHeight="1">
      <c r="A690" t="inlineStr">
        <is>
          <t>A 72075-2018</t>
        </is>
      </c>
      <c r="B690" s="1" t="n">
        <v>43455</v>
      </c>
      <c r="C690" s="1" t="n">
        <v>45351</v>
      </c>
      <c r="D690" t="inlineStr">
        <is>
          <t>UPPSALA LÄN</t>
        </is>
      </c>
      <c r="E690" t="inlineStr">
        <is>
          <t>UPPSALA</t>
        </is>
      </c>
      <c r="G690" t="n">
        <v>13.4</v>
      </c>
      <c r="H690" t="n">
        <v>0</v>
      </c>
      <c r="I690" t="n">
        <v>0</v>
      </c>
      <c r="J690" t="n">
        <v>0</v>
      </c>
      <c r="K690" t="n">
        <v>0</v>
      </c>
      <c r="L690" t="n">
        <v>0</v>
      </c>
      <c r="M690" t="n">
        <v>0</v>
      </c>
      <c r="N690" t="n">
        <v>0</v>
      </c>
      <c r="O690" t="n">
        <v>0</v>
      </c>
      <c r="P690" t="n">
        <v>0</v>
      </c>
      <c r="Q690" t="n">
        <v>0</v>
      </c>
      <c r="R690" s="2" t="inlineStr"/>
    </row>
    <row r="691" ht="15" customHeight="1">
      <c r="A691" t="inlineStr">
        <is>
          <t>A 72192-2018</t>
        </is>
      </c>
      <c r="B691" s="1" t="n">
        <v>43455</v>
      </c>
      <c r="C691" s="1" t="n">
        <v>45351</v>
      </c>
      <c r="D691" t="inlineStr">
        <is>
          <t>UPPSALA LÄN</t>
        </is>
      </c>
      <c r="E691" t="inlineStr">
        <is>
          <t>KNIVSTA</t>
        </is>
      </c>
      <c r="G691" t="n">
        <v>5</v>
      </c>
      <c r="H691" t="n">
        <v>0</v>
      </c>
      <c r="I691" t="n">
        <v>0</v>
      </c>
      <c r="J691" t="n">
        <v>0</v>
      </c>
      <c r="K691" t="n">
        <v>0</v>
      </c>
      <c r="L691" t="n">
        <v>0</v>
      </c>
      <c r="M691" t="n">
        <v>0</v>
      </c>
      <c r="N691" t="n">
        <v>0</v>
      </c>
      <c r="O691" t="n">
        <v>0</v>
      </c>
      <c r="P691" t="n">
        <v>0</v>
      </c>
      <c r="Q691" t="n">
        <v>0</v>
      </c>
      <c r="R691" s="2" t="inlineStr"/>
    </row>
    <row r="692" ht="15" customHeight="1">
      <c r="A692" t="inlineStr">
        <is>
          <t>A 72052-2018</t>
        </is>
      </c>
      <c r="B692" s="1" t="n">
        <v>43455</v>
      </c>
      <c r="C692" s="1" t="n">
        <v>45351</v>
      </c>
      <c r="D692" t="inlineStr">
        <is>
          <t>UPPSALA LÄN</t>
        </is>
      </c>
      <c r="E692" t="inlineStr">
        <is>
          <t>HEBY</t>
        </is>
      </c>
      <c r="G692" t="n">
        <v>1.6</v>
      </c>
      <c r="H692" t="n">
        <v>0</v>
      </c>
      <c r="I692" t="n">
        <v>0</v>
      </c>
      <c r="J692" t="n">
        <v>0</v>
      </c>
      <c r="K692" t="n">
        <v>0</v>
      </c>
      <c r="L692" t="n">
        <v>0</v>
      </c>
      <c r="M692" t="n">
        <v>0</v>
      </c>
      <c r="N692" t="n">
        <v>0</v>
      </c>
      <c r="O692" t="n">
        <v>0</v>
      </c>
      <c r="P692" t="n">
        <v>0</v>
      </c>
      <c r="Q692" t="n">
        <v>0</v>
      </c>
      <c r="R692" s="2" t="inlineStr"/>
    </row>
    <row r="693" ht="15" customHeight="1">
      <c r="A693" t="inlineStr">
        <is>
          <t>A 72346-2018</t>
        </is>
      </c>
      <c r="B693" s="1" t="n">
        <v>43460</v>
      </c>
      <c r="C693" s="1" t="n">
        <v>45351</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1594-2019</t>
        </is>
      </c>
      <c r="B694" s="1" t="n">
        <v>43461</v>
      </c>
      <c r="C694" s="1" t="n">
        <v>45351</v>
      </c>
      <c r="D694" t="inlineStr">
        <is>
          <t>UPPSALA LÄN</t>
        </is>
      </c>
      <c r="E694" t="inlineStr">
        <is>
          <t>HEBY</t>
        </is>
      </c>
      <c r="G694" t="n">
        <v>0.5</v>
      </c>
      <c r="H694" t="n">
        <v>0</v>
      </c>
      <c r="I694" t="n">
        <v>0</v>
      </c>
      <c r="J694" t="n">
        <v>0</v>
      </c>
      <c r="K694" t="n">
        <v>0</v>
      </c>
      <c r="L694" t="n">
        <v>0</v>
      </c>
      <c r="M694" t="n">
        <v>0</v>
      </c>
      <c r="N694" t="n">
        <v>0</v>
      </c>
      <c r="O694" t="n">
        <v>0</v>
      </c>
      <c r="P694" t="n">
        <v>0</v>
      </c>
      <c r="Q694" t="n">
        <v>0</v>
      </c>
      <c r="R694" s="2" t="inlineStr"/>
    </row>
    <row r="695" ht="15" customHeight="1">
      <c r="A695" t="inlineStr">
        <is>
          <t>A 1563-2019</t>
        </is>
      </c>
      <c r="B695" s="1" t="n">
        <v>43461</v>
      </c>
      <c r="C695" s="1" t="n">
        <v>45351</v>
      </c>
      <c r="D695" t="inlineStr">
        <is>
          <t>UPPSALA LÄN</t>
        </is>
      </c>
      <c r="E695" t="inlineStr">
        <is>
          <t>HEBY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72538-2018</t>
        </is>
      </c>
      <c r="B696" s="1" t="n">
        <v>43462</v>
      </c>
      <c r="C696" s="1" t="n">
        <v>45351</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72644-2018</t>
        </is>
      </c>
      <c r="B697" s="1" t="n">
        <v>43464</v>
      </c>
      <c r="C697" s="1" t="n">
        <v>45351</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318-2019</t>
        </is>
      </c>
      <c r="B698" s="1" t="n">
        <v>43468</v>
      </c>
      <c r="C698" s="1" t="n">
        <v>45351</v>
      </c>
      <c r="D698" t="inlineStr">
        <is>
          <t>UPPSALA LÄN</t>
        </is>
      </c>
      <c r="E698" t="inlineStr">
        <is>
          <t>HEBY</t>
        </is>
      </c>
      <c r="G698" t="n">
        <v>1.5</v>
      </c>
      <c r="H698" t="n">
        <v>0</v>
      </c>
      <c r="I698" t="n">
        <v>0</v>
      </c>
      <c r="J698" t="n">
        <v>0</v>
      </c>
      <c r="K698" t="n">
        <v>0</v>
      </c>
      <c r="L698" t="n">
        <v>0</v>
      </c>
      <c r="M698" t="n">
        <v>0</v>
      </c>
      <c r="N698" t="n">
        <v>0</v>
      </c>
      <c r="O698" t="n">
        <v>0</v>
      </c>
      <c r="P698" t="n">
        <v>0</v>
      </c>
      <c r="Q698" t="n">
        <v>0</v>
      </c>
      <c r="R698" s="2" t="inlineStr"/>
    </row>
    <row r="699" ht="15" customHeight="1">
      <c r="A699" t="inlineStr">
        <is>
          <t>A 384-2019</t>
        </is>
      </c>
      <c r="B699" s="1" t="n">
        <v>43468</v>
      </c>
      <c r="C699" s="1" t="n">
        <v>45351</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505-2019</t>
        </is>
      </c>
      <c r="B700" s="1" t="n">
        <v>43468</v>
      </c>
      <c r="C700" s="1" t="n">
        <v>45351</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301-2019</t>
        </is>
      </c>
      <c r="B701" s="1" t="n">
        <v>43468</v>
      </c>
      <c r="C701" s="1" t="n">
        <v>45351</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2718-2019</t>
        </is>
      </c>
      <c r="B702" s="1" t="n">
        <v>43469</v>
      </c>
      <c r="C702" s="1" t="n">
        <v>45351</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655-2019</t>
        </is>
      </c>
      <c r="B703" s="1" t="n">
        <v>43469</v>
      </c>
      <c r="C703" s="1" t="n">
        <v>45351</v>
      </c>
      <c r="D703" t="inlineStr">
        <is>
          <t>UPPSALA LÄN</t>
        </is>
      </c>
      <c r="E703" t="inlineStr">
        <is>
          <t>ÖSTHAMMAR</t>
        </is>
      </c>
      <c r="G703" t="n">
        <v>1.7</v>
      </c>
      <c r="H703" t="n">
        <v>0</v>
      </c>
      <c r="I703" t="n">
        <v>0</v>
      </c>
      <c r="J703" t="n">
        <v>0</v>
      </c>
      <c r="K703" t="n">
        <v>0</v>
      </c>
      <c r="L703" t="n">
        <v>0</v>
      </c>
      <c r="M703" t="n">
        <v>0</v>
      </c>
      <c r="N703" t="n">
        <v>0</v>
      </c>
      <c r="O703" t="n">
        <v>0</v>
      </c>
      <c r="P703" t="n">
        <v>0</v>
      </c>
      <c r="Q703" t="n">
        <v>0</v>
      </c>
      <c r="R703" s="2" t="inlineStr"/>
    </row>
    <row r="704" ht="15" customHeight="1">
      <c r="A704" t="inlineStr">
        <is>
          <t>A 709-2019</t>
        </is>
      </c>
      <c r="B704" s="1" t="n">
        <v>43470</v>
      </c>
      <c r="C704" s="1" t="n">
        <v>45351</v>
      </c>
      <c r="D704" t="inlineStr">
        <is>
          <t>UPPSALA LÄN</t>
        </is>
      </c>
      <c r="E704" t="inlineStr">
        <is>
          <t>ENKÖPING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836-2019</t>
        </is>
      </c>
      <c r="B705" s="1" t="n">
        <v>43472</v>
      </c>
      <c r="C705" s="1" t="n">
        <v>45351</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949-2019</t>
        </is>
      </c>
      <c r="B706" s="1" t="n">
        <v>43472</v>
      </c>
      <c r="C706" s="1" t="n">
        <v>45351</v>
      </c>
      <c r="D706" t="inlineStr">
        <is>
          <t>UPPSALA LÄN</t>
        </is>
      </c>
      <c r="E706" t="inlineStr">
        <is>
          <t>ÖSTHAMMAR</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883-2019</t>
        </is>
      </c>
      <c r="B707" s="1" t="n">
        <v>43472</v>
      </c>
      <c r="C707" s="1" t="n">
        <v>45351</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825-2019</t>
        </is>
      </c>
      <c r="B708" s="1" t="n">
        <v>43472</v>
      </c>
      <c r="C708" s="1" t="n">
        <v>45351</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1123-2019</t>
        </is>
      </c>
      <c r="B709" s="1" t="n">
        <v>43472</v>
      </c>
      <c r="C709" s="1" t="n">
        <v>45351</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942-2019</t>
        </is>
      </c>
      <c r="B710" s="1" t="n">
        <v>43472</v>
      </c>
      <c r="C710" s="1" t="n">
        <v>45351</v>
      </c>
      <c r="D710" t="inlineStr">
        <is>
          <t>UPPSALA LÄN</t>
        </is>
      </c>
      <c r="E710" t="inlineStr">
        <is>
          <t>ÖSTHAMMAR</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944-2019</t>
        </is>
      </c>
      <c r="B711" s="1" t="n">
        <v>43472</v>
      </c>
      <c r="C711" s="1" t="n">
        <v>45351</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767-2019</t>
        </is>
      </c>
      <c r="B712" s="1" t="n">
        <v>43472</v>
      </c>
      <c r="C712" s="1" t="n">
        <v>45351</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793-2019</t>
        </is>
      </c>
      <c r="B713" s="1" t="n">
        <v>43472</v>
      </c>
      <c r="C713" s="1" t="n">
        <v>45351</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819-2019</t>
        </is>
      </c>
      <c r="B714" s="1" t="n">
        <v>43472</v>
      </c>
      <c r="C714" s="1" t="n">
        <v>45351</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1178-2019</t>
        </is>
      </c>
      <c r="B715" s="1" t="n">
        <v>43473</v>
      </c>
      <c r="C715" s="1" t="n">
        <v>45351</v>
      </c>
      <c r="D715" t="inlineStr">
        <is>
          <t>UPPSALA LÄN</t>
        </is>
      </c>
      <c r="E715" t="inlineStr">
        <is>
          <t>UPPSALA</t>
        </is>
      </c>
      <c r="F715" t="inlineStr">
        <is>
          <t>Kommuner</t>
        </is>
      </c>
      <c r="G715" t="n">
        <v>17.6</v>
      </c>
      <c r="H715" t="n">
        <v>0</v>
      </c>
      <c r="I715" t="n">
        <v>0</v>
      </c>
      <c r="J715" t="n">
        <v>0</v>
      </c>
      <c r="K715" t="n">
        <v>0</v>
      </c>
      <c r="L715" t="n">
        <v>0</v>
      </c>
      <c r="M715" t="n">
        <v>0</v>
      </c>
      <c r="N715" t="n">
        <v>0</v>
      </c>
      <c r="O715" t="n">
        <v>0</v>
      </c>
      <c r="P715" t="n">
        <v>0</v>
      </c>
      <c r="Q715" t="n">
        <v>0</v>
      </c>
      <c r="R715" s="2" t="inlineStr"/>
    </row>
    <row r="716" ht="15" customHeight="1">
      <c r="A716" t="inlineStr">
        <is>
          <t>A 3035-2019</t>
        </is>
      </c>
      <c r="B716" s="1" t="n">
        <v>43473</v>
      </c>
      <c r="C716" s="1" t="n">
        <v>45351</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1314-2019</t>
        </is>
      </c>
      <c r="B717" s="1" t="n">
        <v>43473</v>
      </c>
      <c r="C717" s="1" t="n">
        <v>45351</v>
      </c>
      <c r="D717" t="inlineStr">
        <is>
          <t>UPPSALA LÄN</t>
        </is>
      </c>
      <c r="E717" t="inlineStr">
        <is>
          <t>UPPSALA</t>
        </is>
      </c>
      <c r="G717" t="n">
        <v>5.4</v>
      </c>
      <c r="H717" t="n">
        <v>0</v>
      </c>
      <c r="I717" t="n">
        <v>0</v>
      </c>
      <c r="J717" t="n">
        <v>0</v>
      </c>
      <c r="K717" t="n">
        <v>0</v>
      </c>
      <c r="L717" t="n">
        <v>0</v>
      </c>
      <c r="M717" t="n">
        <v>0</v>
      </c>
      <c r="N717" t="n">
        <v>0</v>
      </c>
      <c r="O717" t="n">
        <v>0</v>
      </c>
      <c r="P717" t="n">
        <v>0</v>
      </c>
      <c r="Q717" t="n">
        <v>0</v>
      </c>
      <c r="R717" s="2" t="inlineStr"/>
    </row>
    <row r="718" ht="15" customHeight="1">
      <c r="A718" t="inlineStr">
        <is>
          <t>A 1384-2019</t>
        </is>
      </c>
      <c r="B718" s="1" t="n">
        <v>43473</v>
      </c>
      <c r="C718" s="1" t="n">
        <v>45351</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1472-2019</t>
        </is>
      </c>
      <c r="B719" s="1" t="n">
        <v>43473</v>
      </c>
      <c r="C719" s="1" t="n">
        <v>45351</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1515-2019</t>
        </is>
      </c>
      <c r="B720" s="1" t="n">
        <v>43473</v>
      </c>
      <c r="C720" s="1" t="n">
        <v>45351</v>
      </c>
      <c r="D720" t="inlineStr">
        <is>
          <t>UPPSALA LÄN</t>
        </is>
      </c>
      <c r="E720" t="inlineStr">
        <is>
          <t>UPPSALA</t>
        </is>
      </c>
      <c r="G720" t="n">
        <v>27.9</v>
      </c>
      <c r="H720" t="n">
        <v>0</v>
      </c>
      <c r="I720" t="n">
        <v>0</v>
      </c>
      <c r="J720" t="n">
        <v>0</v>
      </c>
      <c r="K720" t="n">
        <v>0</v>
      </c>
      <c r="L720" t="n">
        <v>0</v>
      </c>
      <c r="M720" t="n">
        <v>0</v>
      </c>
      <c r="N720" t="n">
        <v>0</v>
      </c>
      <c r="O720" t="n">
        <v>0</v>
      </c>
      <c r="P720" t="n">
        <v>0</v>
      </c>
      <c r="Q720" t="n">
        <v>0</v>
      </c>
      <c r="R720" s="2" t="inlineStr"/>
    </row>
    <row r="721" ht="15" customHeight="1">
      <c r="A721" t="inlineStr">
        <is>
          <t>A 1486-2019</t>
        </is>
      </c>
      <c r="B721" s="1" t="n">
        <v>43473</v>
      </c>
      <c r="C721" s="1" t="n">
        <v>45351</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1526-2019</t>
        </is>
      </c>
      <c r="B722" s="1" t="n">
        <v>43473</v>
      </c>
      <c r="C722" s="1" t="n">
        <v>45351</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1453-2019</t>
        </is>
      </c>
      <c r="B723" s="1" t="n">
        <v>43473</v>
      </c>
      <c r="C723" s="1" t="n">
        <v>45351</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1651-2019</t>
        </is>
      </c>
      <c r="B724" s="1" t="n">
        <v>43474</v>
      </c>
      <c r="C724" s="1" t="n">
        <v>45351</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1876-2019</t>
        </is>
      </c>
      <c r="B725" s="1" t="n">
        <v>43474</v>
      </c>
      <c r="C725" s="1" t="n">
        <v>45351</v>
      </c>
      <c r="D725" t="inlineStr">
        <is>
          <t>UPPSALA LÄN</t>
        </is>
      </c>
      <c r="E725" t="inlineStr">
        <is>
          <t>UPPSALA</t>
        </is>
      </c>
      <c r="G725" t="n">
        <v>6.2</v>
      </c>
      <c r="H725" t="n">
        <v>0</v>
      </c>
      <c r="I725" t="n">
        <v>0</v>
      </c>
      <c r="J725" t="n">
        <v>0</v>
      </c>
      <c r="K725" t="n">
        <v>0</v>
      </c>
      <c r="L725" t="n">
        <v>0</v>
      </c>
      <c r="M725" t="n">
        <v>0</v>
      </c>
      <c r="N725" t="n">
        <v>0</v>
      </c>
      <c r="O725" t="n">
        <v>0</v>
      </c>
      <c r="P725" t="n">
        <v>0</v>
      </c>
      <c r="Q725" t="n">
        <v>0</v>
      </c>
      <c r="R725" s="2" t="inlineStr"/>
    </row>
    <row r="726" ht="15" customHeight="1">
      <c r="A726" t="inlineStr">
        <is>
          <t>A 1604-2019</t>
        </is>
      </c>
      <c r="B726" s="1" t="n">
        <v>43474</v>
      </c>
      <c r="C726" s="1" t="n">
        <v>45351</v>
      </c>
      <c r="D726" t="inlineStr">
        <is>
          <t>UPPSALA LÄN</t>
        </is>
      </c>
      <c r="E726" t="inlineStr">
        <is>
          <t>UPPSALA</t>
        </is>
      </c>
      <c r="G726" t="n">
        <v>2.9</v>
      </c>
      <c r="H726" t="n">
        <v>0</v>
      </c>
      <c r="I726" t="n">
        <v>0</v>
      </c>
      <c r="J726" t="n">
        <v>0</v>
      </c>
      <c r="K726" t="n">
        <v>0</v>
      </c>
      <c r="L726" t="n">
        <v>0</v>
      </c>
      <c r="M726" t="n">
        <v>0</v>
      </c>
      <c r="N726" t="n">
        <v>0</v>
      </c>
      <c r="O726" t="n">
        <v>0</v>
      </c>
      <c r="P726" t="n">
        <v>0</v>
      </c>
      <c r="Q726" t="n">
        <v>0</v>
      </c>
      <c r="R726" s="2" t="inlineStr"/>
    </row>
    <row r="727" ht="15" customHeight="1">
      <c r="A727" t="inlineStr">
        <is>
          <t>A 2231-2019</t>
        </is>
      </c>
      <c r="B727" s="1" t="n">
        <v>43475</v>
      </c>
      <c r="C727" s="1" t="n">
        <v>45351</v>
      </c>
      <c r="D727" t="inlineStr">
        <is>
          <t>UPPSALA LÄN</t>
        </is>
      </c>
      <c r="E727" t="inlineStr">
        <is>
          <t>KNIVSTA</t>
        </is>
      </c>
      <c r="G727" t="n">
        <v>2.9</v>
      </c>
      <c r="H727" t="n">
        <v>0</v>
      </c>
      <c r="I727" t="n">
        <v>0</v>
      </c>
      <c r="J727" t="n">
        <v>0</v>
      </c>
      <c r="K727" t="n">
        <v>0</v>
      </c>
      <c r="L727" t="n">
        <v>0</v>
      </c>
      <c r="M727" t="n">
        <v>0</v>
      </c>
      <c r="N727" t="n">
        <v>0</v>
      </c>
      <c r="O727" t="n">
        <v>0</v>
      </c>
      <c r="P727" t="n">
        <v>0</v>
      </c>
      <c r="Q727" t="n">
        <v>0</v>
      </c>
      <c r="R727" s="2" t="inlineStr"/>
    </row>
    <row r="728" ht="15" customHeight="1">
      <c r="A728" t="inlineStr">
        <is>
          <t>A 2284-2019</t>
        </is>
      </c>
      <c r="B728" s="1" t="n">
        <v>43475</v>
      </c>
      <c r="C728" s="1" t="n">
        <v>45351</v>
      </c>
      <c r="D728" t="inlineStr">
        <is>
          <t>UPPSALA LÄN</t>
        </is>
      </c>
      <c r="E728" t="inlineStr">
        <is>
          <t>ÖSTHAMMAR</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2044-2019</t>
        </is>
      </c>
      <c r="B729" s="1" t="n">
        <v>43475</v>
      </c>
      <c r="C729" s="1" t="n">
        <v>45351</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2216-2019</t>
        </is>
      </c>
      <c r="B730" s="1" t="n">
        <v>43475</v>
      </c>
      <c r="C730" s="1" t="n">
        <v>45351</v>
      </c>
      <c r="D730" t="inlineStr">
        <is>
          <t>UPPSALA LÄN</t>
        </is>
      </c>
      <c r="E730" t="inlineStr">
        <is>
          <t>TIERP</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1998-2019</t>
        </is>
      </c>
      <c r="B731" s="1" t="n">
        <v>43475</v>
      </c>
      <c r="C731" s="1" t="n">
        <v>45351</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2179-2019</t>
        </is>
      </c>
      <c r="B732" s="1" t="n">
        <v>43475</v>
      </c>
      <c r="C732" s="1" t="n">
        <v>45351</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2004-2019</t>
        </is>
      </c>
      <c r="B733" s="1" t="n">
        <v>43475</v>
      </c>
      <c r="C733" s="1" t="n">
        <v>45351</v>
      </c>
      <c r="D733" t="inlineStr">
        <is>
          <t>UPPSALA LÄN</t>
        </is>
      </c>
      <c r="E733" t="inlineStr">
        <is>
          <t>ENKÖPING</t>
        </is>
      </c>
      <c r="G733" t="n">
        <v>3</v>
      </c>
      <c r="H733" t="n">
        <v>0</v>
      </c>
      <c r="I733" t="n">
        <v>0</v>
      </c>
      <c r="J733" t="n">
        <v>0</v>
      </c>
      <c r="K733" t="n">
        <v>0</v>
      </c>
      <c r="L733" t="n">
        <v>0</v>
      </c>
      <c r="M733" t="n">
        <v>0</v>
      </c>
      <c r="N733" t="n">
        <v>0</v>
      </c>
      <c r="O733" t="n">
        <v>0</v>
      </c>
      <c r="P733" t="n">
        <v>0</v>
      </c>
      <c r="Q733" t="n">
        <v>0</v>
      </c>
      <c r="R733" s="2" t="inlineStr"/>
    </row>
    <row r="734" ht="15" customHeight="1">
      <c r="A734" t="inlineStr">
        <is>
          <t>A 2593-2019</t>
        </is>
      </c>
      <c r="B734" s="1" t="n">
        <v>43476</v>
      </c>
      <c r="C734" s="1" t="n">
        <v>45351</v>
      </c>
      <c r="D734" t="inlineStr">
        <is>
          <t>UPPSALA LÄN</t>
        </is>
      </c>
      <c r="E734" t="inlineStr">
        <is>
          <t>UPPSALA</t>
        </is>
      </c>
      <c r="G734" t="n">
        <v>6.2</v>
      </c>
      <c r="H734" t="n">
        <v>0</v>
      </c>
      <c r="I734" t="n">
        <v>0</v>
      </c>
      <c r="J734" t="n">
        <v>0</v>
      </c>
      <c r="K734" t="n">
        <v>0</v>
      </c>
      <c r="L734" t="n">
        <v>0</v>
      </c>
      <c r="M734" t="n">
        <v>0</v>
      </c>
      <c r="N734" t="n">
        <v>0</v>
      </c>
      <c r="O734" t="n">
        <v>0</v>
      </c>
      <c r="P734" t="n">
        <v>0</v>
      </c>
      <c r="Q734" t="n">
        <v>0</v>
      </c>
      <c r="R734" s="2" t="inlineStr"/>
    </row>
    <row r="735" ht="15" customHeight="1">
      <c r="A735" t="inlineStr">
        <is>
          <t>A 2462-2019</t>
        </is>
      </c>
      <c r="B735" s="1" t="n">
        <v>43476</v>
      </c>
      <c r="C735" s="1" t="n">
        <v>45351</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2577-2019</t>
        </is>
      </c>
      <c r="B736" s="1" t="n">
        <v>43476</v>
      </c>
      <c r="C736" s="1" t="n">
        <v>45351</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2884-2019</t>
        </is>
      </c>
      <c r="B737" s="1" t="n">
        <v>43479</v>
      </c>
      <c r="C737" s="1" t="n">
        <v>45351</v>
      </c>
      <c r="D737" t="inlineStr">
        <is>
          <t>UPPSALA LÄN</t>
        </is>
      </c>
      <c r="E737" t="inlineStr">
        <is>
          <t>UPPSALA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3056-2019</t>
        </is>
      </c>
      <c r="B738" s="1" t="n">
        <v>43479</v>
      </c>
      <c r="C738" s="1" t="n">
        <v>45351</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3112-2019</t>
        </is>
      </c>
      <c r="B739" s="1" t="n">
        <v>43479</v>
      </c>
      <c r="C739" s="1" t="n">
        <v>45351</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3077-2019</t>
        </is>
      </c>
      <c r="B740" s="1" t="n">
        <v>43479</v>
      </c>
      <c r="C740" s="1" t="n">
        <v>45351</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2755-2019</t>
        </is>
      </c>
      <c r="B741" s="1" t="n">
        <v>43479</v>
      </c>
      <c r="C741" s="1" t="n">
        <v>45351</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2992-2019</t>
        </is>
      </c>
      <c r="B742" s="1" t="n">
        <v>43479</v>
      </c>
      <c r="C742" s="1" t="n">
        <v>45351</v>
      </c>
      <c r="D742" t="inlineStr">
        <is>
          <t>UPPSALA LÄN</t>
        </is>
      </c>
      <c r="E742" t="inlineStr">
        <is>
          <t>KNIVSTA</t>
        </is>
      </c>
      <c r="G742" t="n">
        <v>0.5</v>
      </c>
      <c r="H742" t="n">
        <v>0</v>
      </c>
      <c r="I742" t="n">
        <v>0</v>
      </c>
      <c r="J742" t="n">
        <v>0</v>
      </c>
      <c r="K742" t="n">
        <v>0</v>
      </c>
      <c r="L742" t="n">
        <v>0</v>
      </c>
      <c r="M742" t="n">
        <v>0</v>
      </c>
      <c r="N742" t="n">
        <v>0</v>
      </c>
      <c r="O742" t="n">
        <v>0</v>
      </c>
      <c r="P742" t="n">
        <v>0</v>
      </c>
      <c r="Q742" t="n">
        <v>0</v>
      </c>
      <c r="R742" s="2" t="inlineStr"/>
    </row>
    <row r="743" ht="15" customHeight="1">
      <c r="A743" t="inlineStr">
        <is>
          <t>A 2673-2019</t>
        </is>
      </c>
      <c r="B743" s="1" t="n">
        <v>43479</v>
      </c>
      <c r="C743" s="1" t="n">
        <v>45351</v>
      </c>
      <c r="D743" t="inlineStr">
        <is>
          <t>UPPSALA LÄN</t>
        </is>
      </c>
      <c r="E743" t="inlineStr">
        <is>
          <t>UPPSALA</t>
        </is>
      </c>
      <c r="G743" t="n">
        <v>8.5</v>
      </c>
      <c r="H743" t="n">
        <v>0</v>
      </c>
      <c r="I743" t="n">
        <v>0</v>
      </c>
      <c r="J743" t="n">
        <v>0</v>
      </c>
      <c r="K743" t="n">
        <v>0</v>
      </c>
      <c r="L743" t="n">
        <v>0</v>
      </c>
      <c r="M743" t="n">
        <v>0</v>
      </c>
      <c r="N743" t="n">
        <v>0</v>
      </c>
      <c r="O743" t="n">
        <v>0</v>
      </c>
      <c r="P743" t="n">
        <v>0</v>
      </c>
      <c r="Q743" t="n">
        <v>0</v>
      </c>
      <c r="R743" s="2" t="inlineStr"/>
    </row>
    <row r="744" ht="15" customHeight="1">
      <c r="A744" t="inlineStr">
        <is>
          <t>A 2779-2019</t>
        </is>
      </c>
      <c r="B744" s="1" t="n">
        <v>43479</v>
      </c>
      <c r="C744" s="1" t="n">
        <v>45351</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4915-2019</t>
        </is>
      </c>
      <c r="B745" s="1" t="n">
        <v>43479</v>
      </c>
      <c r="C745" s="1" t="n">
        <v>45351</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2880-2019</t>
        </is>
      </c>
      <c r="B746" s="1" t="n">
        <v>43479</v>
      </c>
      <c r="C746" s="1" t="n">
        <v>45351</v>
      </c>
      <c r="D746" t="inlineStr">
        <is>
          <t>UPPSALA LÄN</t>
        </is>
      </c>
      <c r="E746" t="inlineStr">
        <is>
          <t>UPPSALA</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3393-2019</t>
        </is>
      </c>
      <c r="B747" s="1" t="n">
        <v>43480</v>
      </c>
      <c r="C747" s="1" t="n">
        <v>45351</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3215-2019</t>
        </is>
      </c>
      <c r="B748" s="1" t="n">
        <v>43480</v>
      </c>
      <c r="C748" s="1" t="n">
        <v>45351</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3283-2019</t>
        </is>
      </c>
      <c r="B749" s="1" t="n">
        <v>43480</v>
      </c>
      <c r="C749" s="1" t="n">
        <v>45351</v>
      </c>
      <c r="D749" t="inlineStr">
        <is>
          <t>UPPSALA LÄN</t>
        </is>
      </c>
      <c r="E749" t="inlineStr">
        <is>
          <t>HEBY</t>
        </is>
      </c>
      <c r="G749" t="n">
        <v>2.8</v>
      </c>
      <c r="H749" t="n">
        <v>0</v>
      </c>
      <c r="I749" t="n">
        <v>0</v>
      </c>
      <c r="J749" t="n">
        <v>0</v>
      </c>
      <c r="K749" t="n">
        <v>0</v>
      </c>
      <c r="L749" t="n">
        <v>0</v>
      </c>
      <c r="M749" t="n">
        <v>0</v>
      </c>
      <c r="N749" t="n">
        <v>0</v>
      </c>
      <c r="O749" t="n">
        <v>0</v>
      </c>
      <c r="P749" t="n">
        <v>0</v>
      </c>
      <c r="Q749" t="n">
        <v>0</v>
      </c>
      <c r="R749" s="2" t="inlineStr"/>
    </row>
    <row r="750" ht="15" customHeight="1">
      <c r="A750" t="inlineStr">
        <is>
          <t>A 3321-2019</t>
        </is>
      </c>
      <c r="B750" s="1" t="n">
        <v>43480</v>
      </c>
      <c r="C750" s="1" t="n">
        <v>45351</v>
      </c>
      <c r="D750" t="inlineStr">
        <is>
          <t>UPPSALA LÄN</t>
        </is>
      </c>
      <c r="E750" t="inlineStr">
        <is>
          <t>ÖSTHAMMAR</t>
        </is>
      </c>
      <c r="G750" t="n">
        <v>4.1</v>
      </c>
      <c r="H750" t="n">
        <v>0</v>
      </c>
      <c r="I750" t="n">
        <v>0</v>
      </c>
      <c r="J750" t="n">
        <v>0</v>
      </c>
      <c r="K750" t="n">
        <v>0</v>
      </c>
      <c r="L750" t="n">
        <v>0</v>
      </c>
      <c r="M750" t="n">
        <v>0</v>
      </c>
      <c r="N750" t="n">
        <v>0</v>
      </c>
      <c r="O750" t="n">
        <v>0</v>
      </c>
      <c r="P750" t="n">
        <v>0</v>
      </c>
      <c r="Q750" t="n">
        <v>0</v>
      </c>
      <c r="R750" s="2" t="inlineStr"/>
    </row>
    <row r="751" ht="15" customHeight="1">
      <c r="A751" t="inlineStr">
        <is>
          <t>A 3187-2019</t>
        </is>
      </c>
      <c r="B751" s="1" t="n">
        <v>43480</v>
      </c>
      <c r="C751" s="1" t="n">
        <v>45351</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3417-2019</t>
        </is>
      </c>
      <c r="B752" s="1" t="n">
        <v>43481</v>
      </c>
      <c r="C752" s="1" t="n">
        <v>45351</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3737-2019</t>
        </is>
      </c>
      <c r="B753" s="1" t="n">
        <v>43481</v>
      </c>
      <c r="C753" s="1" t="n">
        <v>45351</v>
      </c>
      <c r="D753" t="inlineStr">
        <is>
          <t>UPPSALA LÄN</t>
        </is>
      </c>
      <c r="E753" t="inlineStr">
        <is>
          <t>KNIVSTA</t>
        </is>
      </c>
      <c r="G753" t="n">
        <v>1.6</v>
      </c>
      <c r="H753" t="n">
        <v>0</v>
      </c>
      <c r="I753" t="n">
        <v>0</v>
      </c>
      <c r="J753" t="n">
        <v>0</v>
      </c>
      <c r="K753" t="n">
        <v>0</v>
      </c>
      <c r="L753" t="n">
        <v>0</v>
      </c>
      <c r="M753" t="n">
        <v>0</v>
      </c>
      <c r="N753" t="n">
        <v>0</v>
      </c>
      <c r="O753" t="n">
        <v>0</v>
      </c>
      <c r="P753" t="n">
        <v>0</v>
      </c>
      <c r="Q753" t="n">
        <v>0</v>
      </c>
      <c r="R753" s="2" t="inlineStr"/>
    </row>
    <row r="754" ht="15" customHeight="1">
      <c r="A754" t="inlineStr">
        <is>
          <t>A 3619-2019</t>
        </is>
      </c>
      <c r="B754" s="1" t="n">
        <v>43481</v>
      </c>
      <c r="C754" s="1" t="n">
        <v>45351</v>
      </c>
      <c r="D754" t="inlineStr">
        <is>
          <t>UPPSALA LÄN</t>
        </is>
      </c>
      <c r="E754" t="inlineStr">
        <is>
          <t>KNIVSTA</t>
        </is>
      </c>
      <c r="G754" t="n">
        <v>8.1</v>
      </c>
      <c r="H754" t="n">
        <v>0</v>
      </c>
      <c r="I754" t="n">
        <v>0</v>
      </c>
      <c r="J754" t="n">
        <v>0</v>
      </c>
      <c r="K754" t="n">
        <v>0</v>
      </c>
      <c r="L754" t="n">
        <v>0</v>
      </c>
      <c r="M754" t="n">
        <v>0</v>
      </c>
      <c r="N754" t="n">
        <v>0</v>
      </c>
      <c r="O754" t="n">
        <v>0</v>
      </c>
      <c r="P754" t="n">
        <v>0</v>
      </c>
      <c r="Q754" t="n">
        <v>0</v>
      </c>
      <c r="R754" s="2" t="inlineStr"/>
    </row>
    <row r="755" ht="15" customHeight="1">
      <c r="A755" t="inlineStr">
        <is>
          <t>A 3548-2019</t>
        </is>
      </c>
      <c r="B755" s="1" t="n">
        <v>43481</v>
      </c>
      <c r="C755" s="1" t="n">
        <v>45351</v>
      </c>
      <c r="D755" t="inlineStr">
        <is>
          <t>UPPSALA LÄN</t>
        </is>
      </c>
      <c r="E755" t="inlineStr">
        <is>
          <t>UPPSALA</t>
        </is>
      </c>
      <c r="G755" t="n">
        <v>12.2</v>
      </c>
      <c r="H755" t="n">
        <v>0</v>
      </c>
      <c r="I755" t="n">
        <v>0</v>
      </c>
      <c r="J755" t="n">
        <v>0</v>
      </c>
      <c r="K755" t="n">
        <v>0</v>
      </c>
      <c r="L755" t="n">
        <v>0</v>
      </c>
      <c r="M755" t="n">
        <v>0</v>
      </c>
      <c r="N755" t="n">
        <v>0</v>
      </c>
      <c r="O755" t="n">
        <v>0</v>
      </c>
      <c r="P755" t="n">
        <v>0</v>
      </c>
      <c r="Q755" t="n">
        <v>0</v>
      </c>
      <c r="R755" s="2" t="inlineStr"/>
    </row>
    <row r="756" ht="15" customHeight="1">
      <c r="A756" t="inlineStr">
        <is>
          <t>A 3761-2019</t>
        </is>
      </c>
      <c r="B756" s="1" t="n">
        <v>43481</v>
      </c>
      <c r="C756" s="1" t="n">
        <v>45351</v>
      </c>
      <c r="D756" t="inlineStr">
        <is>
          <t>UPPSALA LÄN</t>
        </is>
      </c>
      <c r="E756" t="inlineStr">
        <is>
          <t>UPPSALA</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5214-2019</t>
        </is>
      </c>
      <c r="B757" s="1" t="n">
        <v>43481</v>
      </c>
      <c r="C757" s="1" t="n">
        <v>45351</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3752-2019</t>
        </is>
      </c>
      <c r="B758" s="1" t="n">
        <v>43481</v>
      </c>
      <c r="C758" s="1" t="n">
        <v>45351</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3745-2019</t>
        </is>
      </c>
      <c r="B759" s="1" t="n">
        <v>43481</v>
      </c>
      <c r="C759" s="1" t="n">
        <v>45351</v>
      </c>
      <c r="D759" t="inlineStr">
        <is>
          <t>UPPSALA LÄN</t>
        </is>
      </c>
      <c r="E759" t="inlineStr">
        <is>
          <t>UPPSALA</t>
        </is>
      </c>
      <c r="G759" t="n">
        <v>10.9</v>
      </c>
      <c r="H759" t="n">
        <v>0</v>
      </c>
      <c r="I759" t="n">
        <v>0</v>
      </c>
      <c r="J759" t="n">
        <v>0</v>
      </c>
      <c r="K759" t="n">
        <v>0</v>
      </c>
      <c r="L759" t="n">
        <v>0</v>
      </c>
      <c r="M759" t="n">
        <v>0</v>
      </c>
      <c r="N759" t="n">
        <v>0</v>
      </c>
      <c r="O759" t="n">
        <v>0</v>
      </c>
      <c r="P759" t="n">
        <v>0</v>
      </c>
      <c r="Q759" t="n">
        <v>0</v>
      </c>
      <c r="R759" s="2" t="inlineStr"/>
    </row>
    <row r="760" ht="15" customHeight="1">
      <c r="A760" t="inlineStr">
        <is>
          <t>A 3804-2019</t>
        </is>
      </c>
      <c r="B760" s="1" t="n">
        <v>43482</v>
      </c>
      <c r="C760" s="1" t="n">
        <v>45351</v>
      </c>
      <c r="D760" t="inlineStr">
        <is>
          <t>UPPSALA LÄN</t>
        </is>
      </c>
      <c r="E760" t="inlineStr">
        <is>
          <t>ÖSTHAMMAR</t>
        </is>
      </c>
      <c r="G760" t="n">
        <v>7.6</v>
      </c>
      <c r="H760" t="n">
        <v>0</v>
      </c>
      <c r="I760" t="n">
        <v>0</v>
      </c>
      <c r="J760" t="n">
        <v>0</v>
      </c>
      <c r="K760" t="n">
        <v>0</v>
      </c>
      <c r="L760" t="n">
        <v>0</v>
      </c>
      <c r="M760" t="n">
        <v>0</v>
      </c>
      <c r="N760" t="n">
        <v>0</v>
      </c>
      <c r="O760" t="n">
        <v>0</v>
      </c>
      <c r="P760" t="n">
        <v>0</v>
      </c>
      <c r="Q760" t="n">
        <v>0</v>
      </c>
      <c r="R760" s="2" t="inlineStr"/>
    </row>
    <row r="761" ht="15" customHeight="1">
      <c r="A761" t="inlineStr">
        <is>
          <t>A 3800-2019</t>
        </is>
      </c>
      <c r="B761" s="1" t="n">
        <v>43482</v>
      </c>
      <c r="C761" s="1" t="n">
        <v>45351</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4055-2019</t>
        </is>
      </c>
      <c r="B762" s="1" t="n">
        <v>43482</v>
      </c>
      <c r="C762" s="1" t="n">
        <v>45351</v>
      </c>
      <c r="D762" t="inlineStr">
        <is>
          <t>UPPSALA LÄN</t>
        </is>
      </c>
      <c r="E762" t="inlineStr">
        <is>
          <t>ÖSTHAMMAR</t>
        </is>
      </c>
      <c r="G762" t="n">
        <v>3.4</v>
      </c>
      <c r="H762" t="n">
        <v>0</v>
      </c>
      <c r="I762" t="n">
        <v>0</v>
      </c>
      <c r="J762" t="n">
        <v>0</v>
      </c>
      <c r="K762" t="n">
        <v>0</v>
      </c>
      <c r="L762" t="n">
        <v>0</v>
      </c>
      <c r="M762" t="n">
        <v>0</v>
      </c>
      <c r="N762" t="n">
        <v>0</v>
      </c>
      <c r="O762" t="n">
        <v>0</v>
      </c>
      <c r="P762" t="n">
        <v>0</v>
      </c>
      <c r="Q762" t="n">
        <v>0</v>
      </c>
      <c r="R762" s="2" t="inlineStr"/>
    </row>
    <row r="763" ht="15" customHeight="1">
      <c r="A763" t="inlineStr">
        <is>
          <t>A 3896-2019</t>
        </is>
      </c>
      <c r="B763" s="1" t="n">
        <v>43482</v>
      </c>
      <c r="C763" s="1" t="n">
        <v>45351</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4074-2019</t>
        </is>
      </c>
      <c r="B764" s="1" t="n">
        <v>43482</v>
      </c>
      <c r="C764" s="1" t="n">
        <v>45351</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3809-2019</t>
        </is>
      </c>
      <c r="B765" s="1" t="n">
        <v>43482</v>
      </c>
      <c r="C765" s="1" t="n">
        <v>45351</v>
      </c>
      <c r="D765" t="inlineStr">
        <is>
          <t>UPPSALA LÄN</t>
        </is>
      </c>
      <c r="E765" t="inlineStr">
        <is>
          <t>HEBY</t>
        </is>
      </c>
      <c r="G765" t="n">
        <v>5.7</v>
      </c>
      <c r="H765" t="n">
        <v>0</v>
      </c>
      <c r="I765" t="n">
        <v>0</v>
      </c>
      <c r="J765" t="n">
        <v>0</v>
      </c>
      <c r="K765" t="n">
        <v>0</v>
      </c>
      <c r="L765" t="n">
        <v>0</v>
      </c>
      <c r="M765" t="n">
        <v>0</v>
      </c>
      <c r="N765" t="n">
        <v>0</v>
      </c>
      <c r="O765" t="n">
        <v>0</v>
      </c>
      <c r="P765" t="n">
        <v>0</v>
      </c>
      <c r="Q765" t="n">
        <v>0</v>
      </c>
      <c r="R765" s="2" t="inlineStr"/>
    </row>
    <row r="766" ht="15" customHeight="1">
      <c r="A766" t="inlineStr">
        <is>
          <t>A 4070-2019</t>
        </is>
      </c>
      <c r="B766" s="1" t="n">
        <v>43482</v>
      </c>
      <c r="C766" s="1" t="n">
        <v>45351</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3921-2019</t>
        </is>
      </c>
      <c r="B767" s="1" t="n">
        <v>43482</v>
      </c>
      <c r="C767" s="1" t="n">
        <v>45351</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4078-2019</t>
        </is>
      </c>
      <c r="B768" s="1" t="n">
        <v>43482</v>
      </c>
      <c r="C768" s="1" t="n">
        <v>45351</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3955-2019</t>
        </is>
      </c>
      <c r="B769" s="1" t="n">
        <v>43482</v>
      </c>
      <c r="C769" s="1" t="n">
        <v>45351</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3829-2019</t>
        </is>
      </c>
      <c r="B770" s="1" t="n">
        <v>43482</v>
      </c>
      <c r="C770" s="1" t="n">
        <v>45351</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4280-2019</t>
        </is>
      </c>
      <c r="B771" s="1" t="n">
        <v>43483</v>
      </c>
      <c r="C771" s="1" t="n">
        <v>45351</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6053-2019</t>
        </is>
      </c>
      <c r="B772" s="1" t="n">
        <v>43483</v>
      </c>
      <c r="C772" s="1" t="n">
        <v>45351</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6073-2019</t>
        </is>
      </c>
      <c r="B773" s="1" t="n">
        <v>43483</v>
      </c>
      <c r="C773" s="1" t="n">
        <v>45351</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4379-2019</t>
        </is>
      </c>
      <c r="B774" s="1" t="n">
        <v>43483</v>
      </c>
      <c r="C774" s="1" t="n">
        <v>45351</v>
      </c>
      <c r="D774" t="inlineStr">
        <is>
          <t>UPPSALA LÄN</t>
        </is>
      </c>
      <c r="E774" t="inlineStr">
        <is>
          <t>KNIVSTA</t>
        </is>
      </c>
      <c r="G774" t="n">
        <v>1.4</v>
      </c>
      <c r="H774" t="n">
        <v>0</v>
      </c>
      <c r="I774" t="n">
        <v>0</v>
      </c>
      <c r="J774" t="n">
        <v>0</v>
      </c>
      <c r="K774" t="n">
        <v>0</v>
      </c>
      <c r="L774" t="n">
        <v>0</v>
      </c>
      <c r="M774" t="n">
        <v>0</v>
      </c>
      <c r="N774" t="n">
        <v>0</v>
      </c>
      <c r="O774" t="n">
        <v>0</v>
      </c>
      <c r="P774" t="n">
        <v>0</v>
      </c>
      <c r="Q774" t="n">
        <v>0</v>
      </c>
      <c r="R774" s="2" t="inlineStr"/>
    </row>
    <row r="775" ht="15" customHeight="1">
      <c r="A775" t="inlineStr">
        <is>
          <t>A 4390-2019</t>
        </is>
      </c>
      <c r="B775" s="1" t="n">
        <v>43484</v>
      </c>
      <c r="C775" s="1" t="n">
        <v>45351</v>
      </c>
      <c r="D775" t="inlineStr">
        <is>
          <t>UPPSALA LÄN</t>
        </is>
      </c>
      <c r="E775" t="inlineStr">
        <is>
          <t>ÖSTHAMMAR</t>
        </is>
      </c>
      <c r="G775" t="n">
        <v>1.7</v>
      </c>
      <c r="H775" t="n">
        <v>0</v>
      </c>
      <c r="I775" t="n">
        <v>0</v>
      </c>
      <c r="J775" t="n">
        <v>0</v>
      </c>
      <c r="K775" t="n">
        <v>0</v>
      </c>
      <c r="L775" t="n">
        <v>0</v>
      </c>
      <c r="M775" t="n">
        <v>0</v>
      </c>
      <c r="N775" t="n">
        <v>0</v>
      </c>
      <c r="O775" t="n">
        <v>0</v>
      </c>
      <c r="P775" t="n">
        <v>0</v>
      </c>
      <c r="Q775" t="n">
        <v>0</v>
      </c>
      <c r="R775" s="2" t="inlineStr"/>
    </row>
    <row r="776" ht="15" customHeight="1">
      <c r="A776" t="inlineStr">
        <is>
          <t>A 4423-2019</t>
        </is>
      </c>
      <c r="B776" s="1" t="n">
        <v>43485</v>
      </c>
      <c r="C776" s="1" t="n">
        <v>45351</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4452-2019</t>
        </is>
      </c>
      <c r="B777" s="1" t="n">
        <v>43485</v>
      </c>
      <c r="C777" s="1" t="n">
        <v>45351</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4462-2019</t>
        </is>
      </c>
      <c r="B778" s="1" t="n">
        <v>43485</v>
      </c>
      <c r="C778" s="1" t="n">
        <v>45351</v>
      </c>
      <c r="D778" t="inlineStr">
        <is>
          <t>UPPSALA LÄN</t>
        </is>
      </c>
      <c r="E778" t="inlineStr">
        <is>
          <t>ÖSTHAMMAR</t>
        </is>
      </c>
      <c r="G778" t="n">
        <v>0.3</v>
      </c>
      <c r="H778" t="n">
        <v>0</v>
      </c>
      <c r="I778" t="n">
        <v>0</v>
      </c>
      <c r="J778" t="n">
        <v>0</v>
      </c>
      <c r="K778" t="n">
        <v>0</v>
      </c>
      <c r="L778" t="n">
        <v>0</v>
      </c>
      <c r="M778" t="n">
        <v>0</v>
      </c>
      <c r="N778" t="n">
        <v>0</v>
      </c>
      <c r="O778" t="n">
        <v>0</v>
      </c>
      <c r="P778" t="n">
        <v>0</v>
      </c>
      <c r="Q778" t="n">
        <v>0</v>
      </c>
      <c r="R778" s="2" t="inlineStr"/>
    </row>
    <row r="779" ht="15" customHeight="1">
      <c r="A779" t="inlineStr">
        <is>
          <t>A 4425-2019</t>
        </is>
      </c>
      <c r="B779" s="1" t="n">
        <v>43485</v>
      </c>
      <c r="C779" s="1" t="n">
        <v>45351</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4453-2019</t>
        </is>
      </c>
      <c r="B780" s="1" t="n">
        <v>43485</v>
      </c>
      <c r="C780" s="1" t="n">
        <v>45351</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4463-2019</t>
        </is>
      </c>
      <c r="B781" s="1" t="n">
        <v>43485</v>
      </c>
      <c r="C781" s="1" t="n">
        <v>45351</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4504-2019</t>
        </is>
      </c>
      <c r="B782" s="1" t="n">
        <v>43486</v>
      </c>
      <c r="C782" s="1" t="n">
        <v>45351</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4762-2019</t>
        </is>
      </c>
      <c r="B783" s="1" t="n">
        <v>43486</v>
      </c>
      <c r="C783" s="1" t="n">
        <v>45351</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4908-2019</t>
        </is>
      </c>
      <c r="B784" s="1" t="n">
        <v>43486</v>
      </c>
      <c r="C784" s="1" t="n">
        <v>45351</v>
      </c>
      <c r="D784" t="inlineStr">
        <is>
          <t>UPPSALA LÄN</t>
        </is>
      </c>
      <c r="E784" t="inlineStr">
        <is>
          <t>UPPSALA</t>
        </is>
      </c>
      <c r="F784" t="inlineStr">
        <is>
          <t>Allmännings- och besparingsskogar</t>
        </is>
      </c>
      <c r="G784" t="n">
        <v>23.7</v>
      </c>
      <c r="H784" t="n">
        <v>0</v>
      </c>
      <c r="I784" t="n">
        <v>0</v>
      </c>
      <c r="J784" t="n">
        <v>0</v>
      </c>
      <c r="K784" t="n">
        <v>0</v>
      </c>
      <c r="L784" t="n">
        <v>0</v>
      </c>
      <c r="M784" t="n">
        <v>0</v>
      </c>
      <c r="N784" t="n">
        <v>0</v>
      </c>
      <c r="O784" t="n">
        <v>0</v>
      </c>
      <c r="P784" t="n">
        <v>0</v>
      </c>
      <c r="Q784" t="n">
        <v>0</v>
      </c>
      <c r="R784" s="2" t="inlineStr"/>
    </row>
    <row r="785" ht="15" customHeight="1">
      <c r="A785" t="inlineStr">
        <is>
          <t>A 4500-2019</t>
        </is>
      </c>
      <c r="B785" s="1" t="n">
        <v>43486</v>
      </c>
      <c r="C785" s="1" t="n">
        <v>45351</v>
      </c>
      <c r="D785" t="inlineStr">
        <is>
          <t>UPPSALA LÄN</t>
        </is>
      </c>
      <c r="E785" t="inlineStr">
        <is>
          <t>TIERP</t>
        </is>
      </c>
      <c r="G785" t="n">
        <v>3.8</v>
      </c>
      <c r="H785" t="n">
        <v>0</v>
      </c>
      <c r="I785" t="n">
        <v>0</v>
      </c>
      <c r="J785" t="n">
        <v>0</v>
      </c>
      <c r="K785" t="n">
        <v>0</v>
      </c>
      <c r="L785" t="n">
        <v>0</v>
      </c>
      <c r="M785" t="n">
        <v>0</v>
      </c>
      <c r="N785" t="n">
        <v>0</v>
      </c>
      <c r="O785" t="n">
        <v>0</v>
      </c>
      <c r="P785" t="n">
        <v>0</v>
      </c>
      <c r="Q785" t="n">
        <v>0</v>
      </c>
      <c r="R785" s="2" t="inlineStr"/>
    </row>
    <row r="786" ht="15" customHeight="1">
      <c r="A786" t="inlineStr">
        <is>
          <t>A 4781-2019</t>
        </is>
      </c>
      <c r="B786" s="1" t="n">
        <v>43486</v>
      </c>
      <c r="C786" s="1" t="n">
        <v>45351</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4578-2019</t>
        </is>
      </c>
      <c r="B787" s="1" t="n">
        <v>43486</v>
      </c>
      <c r="C787" s="1" t="n">
        <v>45351</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5073-2019</t>
        </is>
      </c>
      <c r="B788" s="1" t="n">
        <v>43486</v>
      </c>
      <c r="C788" s="1" t="n">
        <v>45351</v>
      </c>
      <c r="D788" t="inlineStr">
        <is>
          <t>UPPSALA LÄN</t>
        </is>
      </c>
      <c r="E788" t="inlineStr">
        <is>
          <t>ÖSTHAMMAR</t>
        </is>
      </c>
      <c r="G788" t="n">
        <v>7.2</v>
      </c>
      <c r="H788" t="n">
        <v>0</v>
      </c>
      <c r="I788" t="n">
        <v>0</v>
      </c>
      <c r="J788" t="n">
        <v>0</v>
      </c>
      <c r="K788" t="n">
        <v>0</v>
      </c>
      <c r="L788" t="n">
        <v>0</v>
      </c>
      <c r="M788" t="n">
        <v>0</v>
      </c>
      <c r="N788" t="n">
        <v>0</v>
      </c>
      <c r="O788" t="n">
        <v>0</v>
      </c>
      <c r="P788" t="n">
        <v>0</v>
      </c>
      <c r="Q788" t="n">
        <v>0</v>
      </c>
      <c r="R788" s="2" t="inlineStr"/>
    </row>
    <row r="789" ht="15" customHeight="1">
      <c r="A789" t="inlineStr">
        <is>
          <t>A 4759-2019</t>
        </is>
      </c>
      <c r="B789" s="1" t="n">
        <v>43486</v>
      </c>
      <c r="C789" s="1" t="n">
        <v>45351</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4549-2019</t>
        </is>
      </c>
      <c r="B790" s="1" t="n">
        <v>43486</v>
      </c>
      <c r="C790" s="1" t="n">
        <v>45351</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5047-2019</t>
        </is>
      </c>
      <c r="B791" s="1" t="n">
        <v>43487</v>
      </c>
      <c r="C791" s="1" t="n">
        <v>45351</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4911-2019</t>
        </is>
      </c>
      <c r="B792" s="1" t="n">
        <v>43487</v>
      </c>
      <c r="C792" s="1" t="n">
        <v>45351</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5055-2019</t>
        </is>
      </c>
      <c r="B793" s="1" t="n">
        <v>43487</v>
      </c>
      <c r="C793" s="1" t="n">
        <v>45351</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5199-2019</t>
        </is>
      </c>
      <c r="B794" s="1" t="n">
        <v>43488</v>
      </c>
      <c r="C794" s="1" t="n">
        <v>45351</v>
      </c>
      <c r="D794" t="inlineStr">
        <is>
          <t>UPPSALA LÄN</t>
        </is>
      </c>
      <c r="E794" t="inlineStr">
        <is>
          <t>TIERP</t>
        </is>
      </c>
      <c r="G794" t="n">
        <v>7.9</v>
      </c>
      <c r="H794" t="n">
        <v>0</v>
      </c>
      <c r="I794" t="n">
        <v>0</v>
      </c>
      <c r="J794" t="n">
        <v>0</v>
      </c>
      <c r="K794" t="n">
        <v>0</v>
      </c>
      <c r="L794" t="n">
        <v>0</v>
      </c>
      <c r="M794" t="n">
        <v>0</v>
      </c>
      <c r="N794" t="n">
        <v>0</v>
      </c>
      <c r="O794" t="n">
        <v>0</v>
      </c>
      <c r="P794" t="n">
        <v>0</v>
      </c>
      <c r="Q794" t="n">
        <v>0</v>
      </c>
      <c r="R794" s="2" t="inlineStr"/>
    </row>
    <row r="795" ht="15" customHeight="1">
      <c r="A795" t="inlineStr">
        <is>
          <t>A 6700-2019</t>
        </is>
      </c>
      <c r="B795" s="1" t="n">
        <v>43488</v>
      </c>
      <c r="C795" s="1" t="n">
        <v>45351</v>
      </c>
      <c r="D795" t="inlineStr">
        <is>
          <t>UPPSALA LÄN</t>
        </is>
      </c>
      <c r="E795" t="inlineStr">
        <is>
          <t>HEBY</t>
        </is>
      </c>
      <c r="G795" t="n">
        <v>3</v>
      </c>
      <c r="H795" t="n">
        <v>0</v>
      </c>
      <c r="I795" t="n">
        <v>0</v>
      </c>
      <c r="J795" t="n">
        <v>0</v>
      </c>
      <c r="K795" t="n">
        <v>0</v>
      </c>
      <c r="L795" t="n">
        <v>0</v>
      </c>
      <c r="M795" t="n">
        <v>0</v>
      </c>
      <c r="N795" t="n">
        <v>0</v>
      </c>
      <c r="O795" t="n">
        <v>0</v>
      </c>
      <c r="P795" t="n">
        <v>0</v>
      </c>
      <c r="Q795" t="n">
        <v>0</v>
      </c>
      <c r="R795" s="2" t="inlineStr"/>
    </row>
    <row r="796" ht="15" customHeight="1">
      <c r="A796" t="inlineStr">
        <is>
          <t>A 5400-2019</t>
        </is>
      </c>
      <c r="B796" s="1" t="n">
        <v>43488</v>
      </c>
      <c r="C796" s="1" t="n">
        <v>45351</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5473-2019</t>
        </is>
      </c>
      <c r="B797" s="1" t="n">
        <v>43488</v>
      </c>
      <c r="C797" s="1" t="n">
        <v>45351</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5399-2019</t>
        </is>
      </c>
      <c r="B798" s="1" t="n">
        <v>43488</v>
      </c>
      <c r="C798" s="1" t="n">
        <v>45351</v>
      </c>
      <c r="D798" t="inlineStr">
        <is>
          <t>UPPSALA LÄN</t>
        </is>
      </c>
      <c r="E798" t="inlineStr">
        <is>
          <t>UPPSALA</t>
        </is>
      </c>
      <c r="F798" t="inlineStr">
        <is>
          <t>Allmännings- och besparingsskogar</t>
        </is>
      </c>
      <c r="G798" t="n">
        <v>1.6</v>
      </c>
      <c r="H798" t="n">
        <v>0</v>
      </c>
      <c r="I798" t="n">
        <v>0</v>
      </c>
      <c r="J798" t="n">
        <v>0</v>
      </c>
      <c r="K798" t="n">
        <v>0</v>
      </c>
      <c r="L798" t="n">
        <v>0</v>
      </c>
      <c r="M798" t="n">
        <v>0</v>
      </c>
      <c r="N798" t="n">
        <v>0</v>
      </c>
      <c r="O798" t="n">
        <v>0</v>
      </c>
      <c r="P798" t="n">
        <v>0</v>
      </c>
      <c r="Q798" t="n">
        <v>0</v>
      </c>
      <c r="R798" s="2" t="inlineStr"/>
    </row>
    <row r="799" ht="15" customHeight="1">
      <c r="A799" t="inlineStr">
        <is>
          <t>A 5255-2019</t>
        </is>
      </c>
      <c r="B799" s="1" t="n">
        <v>43488</v>
      </c>
      <c r="C799" s="1" t="n">
        <v>45351</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5224-2019</t>
        </is>
      </c>
      <c r="B800" s="1" t="n">
        <v>43488</v>
      </c>
      <c r="C800" s="1" t="n">
        <v>45351</v>
      </c>
      <c r="D800" t="inlineStr">
        <is>
          <t>UPPSALA LÄN</t>
        </is>
      </c>
      <c r="E800" t="inlineStr">
        <is>
          <t>TIERP</t>
        </is>
      </c>
      <c r="G800" t="n">
        <v>16.5</v>
      </c>
      <c r="H800" t="n">
        <v>0</v>
      </c>
      <c r="I800" t="n">
        <v>0</v>
      </c>
      <c r="J800" t="n">
        <v>0</v>
      </c>
      <c r="K800" t="n">
        <v>0</v>
      </c>
      <c r="L800" t="n">
        <v>0</v>
      </c>
      <c r="M800" t="n">
        <v>0</v>
      </c>
      <c r="N800" t="n">
        <v>0</v>
      </c>
      <c r="O800" t="n">
        <v>0</v>
      </c>
      <c r="P800" t="n">
        <v>0</v>
      </c>
      <c r="Q800" t="n">
        <v>0</v>
      </c>
      <c r="R800" s="2" t="inlineStr"/>
    </row>
    <row r="801" ht="15" customHeight="1">
      <c r="A801" t="inlineStr">
        <is>
          <t>A 5586-2019</t>
        </is>
      </c>
      <c r="B801" s="1" t="n">
        <v>43489</v>
      </c>
      <c r="C801" s="1" t="n">
        <v>45351</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5513-2019</t>
        </is>
      </c>
      <c r="B802" s="1" t="n">
        <v>43489</v>
      </c>
      <c r="C802" s="1" t="n">
        <v>45351</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5587-2019</t>
        </is>
      </c>
      <c r="B803" s="1" t="n">
        <v>43489</v>
      </c>
      <c r="C803" s="1" t="n">
        <v>45351</v>
      </c>
      <c r="D803" t="inlineStr">
        <is>
          <t>UPPSALA LÄN</t>
        </is>
      </c>
      <c r="E803" t="inlineStr">
        <is>
          <t>ÖSTHAMMAR</t>
        </is>
      </c>
      <c r="G803" t="n">
        <v>5.3</v>
      </c>
      <c r="H803" t="n">
        <v>0</v>
      </c>
      <c r="I803" t="n">
        <v>0</v>
      </c>
      <c r="J803" t="n">
        <v>0</v>
      </c>
      <c r="K803" t="n">
        <v>0</v>
      </c>
      <c r="L803" t="n">
        <v>0</v>
      </c>
      <c r="M803" t="n">
        <v>0</v>
      </c>
      <c r="N803" t="n">
        <v>0</v>
      </c>
      <c r="O803" t="n">
        <v>0</v>
      </c>
      <c r="P803" t="n">
        <v>0</v>
      </c>
      <c r="Q803" t="n">
        <v>0</v>
      </c>
      <c r="R803" s="2" t="inlineStr"/>
    </row>
    <row r="804" ht="15" customHeight="1">
      <c r="A804" t="inlineStr">
        <is>
          <t>A 5961-2019</t>
        </is>
      </c>
      <c r="B804" s="1" t="n">
        <v>43492</v>
      </c>
      <c r="C804" s="1" t="n">
        <v>45351</v>
      </c>
      <c r="D804" t="inlineStr">
        <is>
          <t>UPPSALA LÄN</t>
        </is>
      </c>
      <c r="E804" t="inlineStr">
        <is>
          <t>UPPSALA</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6160-2019</t>
        </is>
      </c>
      <c r="B805" s="1" t="n">
        <v>43493</v>
      </c>
      <c r="C805" s="1" t="n">
        <v>45351</v>
      </c>
      <c r="D805" t="inlineStr">
        <is>
          <t>UPPSALA LÄN</t>
        </is>
      </c>
      <c r="E805" t="inlineStr">
        <is>
          <t>KNIVSTA</t>
        </is>
      </c>
      <c r="G805" t="n">
        <v>5.1</v>
      </c>
      <c r="H805" t="n">
        <v>0</v>
      </c>
      <c r="I805" t="n">
        <v>0</v>
      </c>
      <c r="J805" t="n">
        <v>0</v>
      </c>
      <c r="K805" t="n">
        <v>0</v>
      </c>
      <c r="L805" t="n">
        <v>0</v>
      </c>
      <c r="M805" t="n">
        <v>0</v>
      </c>
      <c r="N805" t="n">
        <v>0</v>
      </c>
      <c r="O805" t="n">
        <v>0</v>
      </c>
      <c r="P805" t="n">
        <v>0</v>
      </c>
      <c r="Q805" t="n">
        <v>0</v>
      </c>
      <c r="R805" s="2" t="inlineStr"/>
    </row>
    <row r="806" ht="15" customHeight="1">
      <c r="A806" t="inlineStr">
        <is>
          <t>A 6368-2019</t>
        </is>
      </c>
      <c r="B806" s="1" t="n">
        <v>43493</v>
      </c>
      <c r="C806" s="1" t="n">
        <v>45351</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6300-2019</t>
        </is>
      </c>
      <c r="B807" s="1" t="n">
        <v>43493</v>
      </c>
      <c r="C807" s="1" t="n">
        <v>45351</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7661-2019</t>
        </is>
      </c>
      <c r="B808" s="1" t="n">
        <v>43493</v>
      </c>
      <c r="C808" s="1" t="n">
        <v>45351</v>
      </c>
      <c r="D808" t="inlineStr">
        <is>
          <t>UPPSALA LÄN</t>
        </is>
      </c>
      <c r="E808" t="inlineStr">
        <is>
          <t>ÖSTHAMMAR</t>
        </is>
      </c>
      <c r="G808" t="n">
        <v>5.4</v>
      </c>
      <c r="H808" t="n">
        <v>0</v>
      </c>
      <c r="I808" t="n">
        <v>0</v>
      </c>
      <c r="J808" t="n">
        <v>0</v>
      </c>
      <c r="K808" t="n">
        <v>0</v>
      </c>
      <c r="L808" t="n">
        <v>0</v>
      </c>
      <c r="M808" t="n">
        <v>0</v>
      </c>
      <c r="N808" t="n">
        <v>0</v>
      </c>
      <c r="O808" t="n">
        <v>0</v>
      </c>
      <c r="P808" t="n">
        <v>0</v>
      </c>
      <c r="Q808" t="n">
        <v>0</v>
      </c>
      <c r="R808" s="2" t="inlineStr"/>
    </row>
    <row r="809" ht="15" customHeight="1">
      <c r="A809" t="inlineStr">
        <is>
          <t>A 6334-2019</t>
        </is>
      </c>
      <c r="B809" s="1" t="n">
        <v>43493</v>
      </c>
      <c r="C809" s="1" t="n">
        <v>45351</v>
      </c>
      <c r="D809" t="inlineStr">
        <is>
          <t>UPPSALA LÄN</t>
        </is>
      </c>
      <c r="E809" t="inlineStr">
        <is>
          <t>ÖSTHAMMAR</t>
        </is>
      </c>
      <c r="G809" t="n">
        <v>1.8</v>
      </c>
      <c r="H809" t="n">
        <v>0</v>
      </c>
      <c r="I809" t="n">
        <v>0</v>
      </c>
      <c r="J809" t="n">
        <v>0</v>
      </c>
      <c r="K809" t="n">
        <v>0</v>
      </c>
      <c r="L809" t="n">
        <v>0</v>
      </c>
      <c r="M809" t="n">
        <v>0</v>
      </c>
      <c r="N809" t="n">
        <v>0</v>
      </c>
      <c r="O809" t="n">
        <v>0</v>
      </c>
      <c r="P809" t="n">
        <v>0</v>
      </c>
      <c r="Q809" t="n">
        <v>0</v>
      </c>
      <c r="R809" s="2" t="inlineStr"/>
    </row>
    <row r="810" ht="15" customHeight="1">
      <c r="A810" t="inlineStr">
        <is>
          <t>A 6314-2019</t>
        </is>
      </c>
      <c r="B810" s="1" t="n">
        <v>43493</v>
      </c>
      <c r="C810" s="1" t="n">
        <v>45351</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6412-2019</t>
        </is>
      </c>
      <c r="B811" s="1" t="n">
        <v>43494</v>
      </c>
      <c r="C811" s="1" t="n">
        <v>45351</v>
      </c>
      <c r="D811" t="inlineStr">
        <is>
          <t>UPPSALA LÄN</t>
        </is>
      </c>
      <c r="E811" t="inlineStr">
        <is>
          <t>ÖSTHAMMAR</t>
        </is>
      </c>
      <c r="G811" t="n">
        <v>1.4</v>
      </c>
      <c r="H811" t="n">
        <v>0</v>
      </c>
      <c r="I811" t="n">
        <v>0</v>
      </c>
      <c r="J811" t="n">
        <v>0</v>
      </c>
      <c r="K811" t="n">
        <v>0</v>
      </c>
      <c r="L811" t="n">
        <v>0</v>
      </c>
      <c r="M811" t="n">
        <v>0</v>
      </c>
      <c r="N811" t="n">
        <v>0</v>
      </c>
      <c r="O811" t="n">
        <v>0</v>
      </c>
      <c r="P811" t="n">
        <v>0</v>
      </c>
      <c r="Q811" t="n">
        <v>0</v>
      </c>
      <c r="R811" s="2" t="inlineStr"/>
    </row>
    <row r="812" ht="15" customHeight="1">
      <c r="A812" t="inlineStr">
        <is>
          <t>A 6445-2019</t>
        </is>
      </c>
      <c r="B812" s="1" t="n">
        <v>43494</v>
      </c>
      <c r="C812" s="1" t="n">
        <v>45351</v>
      </c>
      <c r="D812" t="inlineStr">
        <is>
          <t>UPPSALA LÄN</t>
        </is>
      </c>
      <c r="E812" t="inlineStr">
        <is>
          <t>ÖSTHAMMAR</t>
        </is>
      </c>
      <c r="G812" t="n">
        <v>3.3</v>
      </c>
      <c r="H812" t="n">
        <v>0</v>
      </c>
      <c r="I812" t="n">
        <v>0</v>
      </c>
      <c r="J812" t="n">
        <v>0</v>
      </c>
      <c r="K812" t="n">
        <v>0</v>
      </c>
      <c r="L812" t="n">
        <v>0</v>
      </c>
      <c r="M812" t="n">
        <v>0</v>
      </c>
      <c r="N812" t="n">
        <v>0</v>
      </c>
      <c r="O812" t="n">
        <v>0</v>
      </c>
      <c r="P812" t="n">
        <v>0</v>
      </c>
      <c r="Q812" t="n">
        <v>0</v>
      </c>
      <c r="R812" s="2" t="inlineStr"/>
    </row>
    <row r="813" ht="15" customHeight="1">
      <c r="A813" t="inlineStr">
        <is>
          <t>A 6954-2019</t>
        </is>
      </c>
      <c r="B813" s="1" t="n">
        <v>43495</v>
      </c>
      <c r="C813" s="1" t="n">
        <v>45351</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6898-2019</t>
        </is>
      </c>
      <c r="B814" s="1" t="n">
        <v>43495</v>
      </c>
      <c r="C814" s="1" t="n">
        <v>45351</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6950-2019</t>
        </is>
      </c>
      <c r="B815" s="1" t="n">
        <v>43495</v>
      </c>
      <c r="C815" s="1" t="n">
        <v>45351</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7304-2019</t>
        </is>
      </c>
      <c r="B816" s="1" t="n">
        <v>43496</v>
      </c>
      <c r="C816" s="1" t="n">
        <v>45351</v>
      </c>
      <c r="D816" t="inlineStr">
        <is>
          <t>UPPSALA LÄN</t>
        </is>
      </c>
      <c r="E816" t="inlineStr">
        <is>
          <t>KNIVSTA</t>
        </is>
      </c>
      <c r="G816" t="n">
        <v>7.6</v>
      </c>
      <c r="H816" t="n">
        <v>0</v>
      </c>
      <c r="I816" t="n">
        <v>0</v>
      </c>
      <c r="J816" t="n">
        <v>0</v>
      </c>
      <c r="K816" t="n">
        <v>0</v>
      </c>
      <c r="L816" t="n">
        <v>0</v>
      </c>
      <c r="M816" t="n">
        <v>0</v>
      </c>
      <c r="N816" t="n">
        <v>0</v>
      </c>
      <c r="O816" t="n">
        <v>0</v>
      </c>
      <c r="P816" t="n">
        <v>0</v>
      </c>
      <c r="Q816" t="n">
        <v>0</v>
      </c>
      <c r="R816" s="2" t="inlineStr"/>
    </row>
    <row r="817" ht="15" customHeight="1">
      <c r="A817" t="inlineStr">
        <is>
          <t>A 7157-2019</t>
        </is>
      </c>
      <c r="B817" s="1" t="n">
        <v>43496</v>
      </c>
      <c r="C817" s="1" t="n">
        <v>45351</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7220-2019</t>
        </is>
      </c>
      <c r="B818" s="1" t="n">
        <v>43496</v>
      </c>
      <c r="C818" s="1" t="n">
        <v>45351</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7306-2019</t>
        </is>
      </c>
      <c r="B819" s="1" t="n">
        <v>43496</v>
      </c>
      <c r="C819" s="1" t="n">
        <v>45351</v>
      </c>
      <c r="D819" t="inlineStr">
        <is>
          <t>UPPSALA LÄN</t>
        </is>
      </c>
      <c r="E819" t="inlineStr">
        <is>
          <t>KNIVSTA</t>
        </is>
      </c>
      <c r="G819" t="n">
        <v>6.4</v>
      </c>
      <c r="H819" t="n">
        <v>0</v>
      </c>
      <c r="I819" t="n">
        <v>0</v>
      </c>
      <c r="J819" t="n">
        <v>0</v>
      </c>
      <c r="K819" t="n">
        <v>0</v>
      </c>
      <c r="L819" t="n">
        <v>0</v>
      </c>
      <c r="M819" t="n">
        <v>0</v>
      </c>
      <c r="N819" t="n">
        <v>0</v>
      </c>
      <c r="O819" t="n">
        <v>0</v>
      </c>
      <c r="P819" t="n">
        <v>0</v>
      </c>
      <c r="Q819" t="n">
        <v>0</v>
      </c>
      <c r="R819" s="2" t="inlineStr"/>
    </row>
    <row r="820" ht="15" customHeight="1">
      <c r="A820" t="inlineStr">
        <is>
          <t>A 7136-2019</t>
        </is>
      </c>
      <c r="B820" s="1" t="n">
        <v>43496</v>
      </c>
      <c r="C820" s="1" t="n">
        <v>45351</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7591-2019</t>
        </is>
      </c>
      <c r="B821" s="1" t="n">
        <v>43498</v>
      </c>
      <c r="C821" s="1" t="n">
        <v>45351</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7768-2019</t>
        </is>
      </c>
      <c r="B822" s="1" t="n">
        <v>43500</v>
      </c>
      <c r="C822" s="1" t="n">
        <v>45351</v>
      </c>
      <c r="D822" t="inlineStr">
        <is>
          <t>UPPSALA LÄN</t>
        </is>
      </c>
      <c r="E822" t="inlineStr">
        <is>
          <t>KNIVSTA</t>
        </is>
      </c>
      <c r="G822" t="n">
        <v>3.8</v>
      </c>
      <c r="H822" t="n">
        <v>0</v>
      </c>
      <c r="I822" t="n">
        <v>0</v>
      </c>
      <c r="J822" t="n">
        <v>0</v>
      </c>
      <c r="K822" t="n">
        <v>0</v>
      </c>
      <c r="L822" t="n">
        <v>0</v>
      </c>
      <c r="M822" t="n">
        <v>0</v>
      </c>
      <c r="N822" t="n">
        <v>0</v>
      </c>
      <c r="O822" t="n">
        <v>0</v>
      </c>
      <c r="P822" t="n">
        <v>0</v>
      </c>
      <c r="Q822" t="n">
        <v>0</v>
      </c>
      <c r="R822" s="2" t="inlineStr"/>
    </row>
    <row r="823" ht="15" customHeight="1">
      <c r="A823" t="inlineStr">
        <is>
          <t>A 7864-2019</t>
        </is>
      </c>
      <c r="B823" s="1" t="n">
        <v>43500</v>
      </c>
      <c r="C823" s="1" t="n">
        <v>45351</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7942-2019</t>
        </is>
      </c>
      <c r="B824" s="1" t="n">
        <v>43500</v>
      </c>
      <c r="C824" s="1" t="n">
        <v>45351</v>
      </c>
      <c r="D824" t="inlineStr">
        <is>
          <t>UPPSALA LÄN</t>
        </is>
      </c>
      <c r="E824" t="inlineStr">
        <is>
          <t>UPPSALA</t>
        </is>
      </c>
      <c r="F824" t="inlineStr">
        <is>
          <t>Övriga Aktiebolag</t>
        </is>
      </c>
      <c r="G824" t="n">
        <v>0.4</v>
      </c>
      <c r="H824" t="n">
        <v>0</v>
      </c>
      <c r="I824" t="n">
        <v>0</v>
      </c>
      <c r="J824" t="n">
        <v>0</v>
      </c>
      <c r="K824" t="n">
        <v>0</v>
      </c>
      <c r="L824" t="n">
        <v>0</v>
      </c>
      <c r="M824" t="n">
        <v>0</v>
      </c>
      <c r="N824" t="n">
        <v>0</v>
      </c>
      <c r="O824" t="n">
        <v>0</v>
      </c>
      <c r="P824" t="n">
        <v>0</v>
      </c>
      <c r="Q824" t="n">
        <v>0</v>
      </c>
      <c r="R824" s="2" t="inlineStr"/>
    </row>
    <row r="825" ht="15" customHeight="1">
      <c r="A825" t="inlineStr">
        <is>
          <t>A 7888-2019</t>
        </is>
      </c>
      <c r="B825" s="1" t="n">
        <v>43500</v>
      </c>
      <c r="C825" s="1" t="n">
        <v>45351</v>
      </c>
      <c r="D825" t="inlineStr">
        <is>
          <t>UPPSALA LÄN</t>
        </is>
      </c>
      <c r="E825" t="inlineStr">
        <is>
          <t>ÖSTHAMMAR</t>
        </is>
      </c>
      <c r="G825" t="n">
        <v>1.8</v>
      </c>
      <c r="H825" t="n">
        <v>0</v>
      </c>
      <c r="I825" t="n">
        <v>0</v>
      </c>
      <c r="J825" t="n">
        <v>0</v>
      </c>
      <c r="K825" t="n">
        <v>0</v>
      </c>
      <c r="L825" t="n">
        <v>0</v>
      </c>
      <c r="M825" t="n">
        <v>0</v>
      </c>
      <c r="N825" t="n">
        <v>0</v>
      </c>
      <c r="O825" t="n">
        <v>0</v>
      </c>
      <c r="P825" t="n">
        <v>0</v>
      </c>
      <c r="Q825" t="n">
        <v>0</v>
      </c>
      <c r="R825" s="2" t="inlineStr"/>
    </row>
    <row r="826" ht="15" customHeight="1">
      <c r="A826" t="inlineStr">
        <is>
          <t>A 7857-2019</t>
        </is>
      </c>
      <c r="B826" s="1" t="n">
        <v>43500</v>
      </c>
      <c r="C826" s="1" t="n">
        <v>45351</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7964-2019</t>
        </is>
      </c>
      <c r="B827" s="1" t="n">
        <v>43500</v>
      </c>
      <c r="C827" s="1" t="n">
        <v>45351</v>
      </c>
      <c r="D827" t="inlineStr">
        <is>
          <t>UPPSALA LÄN</t>
        </is>
      </c>
      <c r="E827" t="inlineStr">
        <is>
          <t>UPPSALA</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7881-2019</t>
        </is>
      </c>
      <c r="B828" s="1" t="n">
        <v>43500</v>
      </c>
      <c r="C828" s="1" t="n">
        <v>45351</v>
      </c>
      <c r="D828" t="inlineStr">
        <is>
          <t>UPPSALA LÄN</t>
        </is>
      </c>
      <c r="E828" t="inlineStr">
        <is>
          <t>HEBY</t>
        </is>
      </c>
      <c r="G828" t="n">
        <v>10.2</v>
      </c>
      <c r="H828" t="n">
        <v>0</v>
      </c>
      <c r="I828" t="n">
        <v>0</v>
      </c>
      <c r="J828" t="n">
        <v>0</v>
      </c>
      <c r="K828" t="n">
        <v>0</v>
      </c>
      <c r="L828" t="n">
        <v>0</v>
      </c>
      <c r="M828" t="n">
        <v>0</v>
      </c>
      <c r="N828" t="n">
        <v>0</v>
      </c>
      <c r="O828" t="n">
        <v>0</v>
      </c>
      <c r="P828" t="n">
        <v>0</v>
      </c>
      <c r="Q828" t="n">
        <v>0</v>
      </c>
      <c r="R828" s="2" t="inlineStr"/>
    </row>
    <row r="829" ht="15" customHeight="1">
      <c r="A829" t="inlineStr">
        <is>
          <t>A 7804-2019</t>
        </is>
      </c>
      <c r="B829" s="1" t="n">
        <v>43500</v>
      </c>
      <c r="C829" s="1" t="n">
        <v>45351</v>
      </c>
      <c r="D829" t="inlineStr">
        <is>
          <t>UPPSALA LÄN</t>
        </is>
      </c>
      <c r="E829" t="inlineStr">
        <is>
          <t>KNIVSTA</t>
        </is>
      </c>
      <c r="G829" t="n">
        <v>5.1</v>
      </c>
      <c r="H829" t="n">
        <v>0</v>
      </c>
      <c r="I829" t="n">
        <v>0</v>
      </c>
      <c r="J829" t="n">
        <v>0</v>
      </c>
      <c r="K829" t="n">
        <v>0</v>
      </c>
      <c r="L829" t="n">
        <v>0</v>
      </c>
      <c r="M829" t="n">
        <v>0</v>
      </c>
      <c r="N829" t="n">
        <v>0</v>
      </c>
      <c r="O829" t="n">
        <v>0</v>
      </c>
      <c r="P829" t="n">
        <v>0</v>
      </c>
      <c r="Q829" t="n">
        <v>0</v>
      </c>
      <c r="R829" s="2" t="inlineStr"/>
    </row>
    <row r="830" ht="15" customHeight="1">
      <c r="A830" t="inlineStr">
        <is>
          <t>A 7746-2019</t>
        </is>
      </c>
      <c r="B830" s="1" t="n">
        <v>43500</v>
      </c>
      <c r="C830" s="1" t="n">
        <v>45351</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7701-2019</t>
        </is>
      </c>
      <c r="B831" s="1" t="n">
        <v>43500</v>
      </c>
      <c r="C831" s="1" t="n">
        <v>45351</v>
      </c>
      <c r="D831" t="inlineStr">
        <is>
          <t>UPPSALA LÄN</t>
        </is>
      </c>
      <c r="E831" t="inlineStr">
        <is>
          <t>TIERP</t>
        </is>
      </c>
      <c r="G831" t="n">
        <v>4.3</v>
      </c>
      <c r="H831" t="n">
        <v>0</v>
      </c>
      <c r="I831" t="n">
        <v>0</v>
      </c>
      <c r="J831" t="n">
        <v>0</v>
      </c>
      <c r="K831" t="n">
        <v>0</v>
      </c>
      <c r="L831" t="n">
        <v>0</v>
      </c>
      <c r="M831" t="n">
        <v>0</v>
      </c>
      <c r="N831" t="n">
        <v>0</v>
      </c>
      <c r="O831" t="n">
        <v>0</v>
      </c>
      <c r="P831" t="n">
        <v>0</v>
      </c>
      <c r="Q831" t="n">
        <v>0</v>
      </c>
      <c r="R831" s="2" t="inlineStr"/>
    </row>
    <row r="832" ht="15" customHeight="1">
      <c r="A832" t="inlineStr">
        <is>
          <t>A 7871-2019</t>
        </is>
      </c>
      <c r="B832" s="1" t="n">
        <v>43500</v>
      </c>
      <c r="C832" s="1" t="n">
        <v>45351</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7715-2019</t>
        </is>
      </c>
      <c r="B833" s="1" t="n">
        <v>43500</v>
      </c>
      <c r="C833" s="1" t="n">
        <v>45351</v>
      </c>
      <c r="D833" t="inlineStr">
        <is>
          <t>UPPSALA LÄN</t>
        </is>
      </c>
      <c r="E833" t="inlineStr">
        <is>
          <t>HÅBO</t>
        </is>
      </c>
      <c r="G833" t="n">
        <v>1.4</v>
      </c>
      <c r="H833" t="n">
        <v>0</v>
      </c>
      <c r="I833" t="n">
        <v>0</v>
      </c>
      <c r="J833" t="n">
        <v>0</v>
      </c>
      <c r="K833" t="n">
        <v>0</v>
      </c>
      <c r="L833" t="n">
        <v>0</v>
      </c>
      <c r="M833" t="n">
        <v>0</v>
      </c>
      <c r="N833" t="n">
        <v>0</v>
      </c>
      <c r="O833" t="n">
        <v>0</v>
      </c>
      <c r="P833" t="n">
        <v>0</v>
      </c>
      <c r="Q833" t="n">
        <v>0</v>
      </c>
      <c r="R833" s="2" t="inlineStr"/>
    </row>
    <row r="834" ht="15" customHeight="1">
      <c r="A834" t="inlineStr">
        <is>
          <t>A 8168-2019</t>
        </is>
      </c>
      <c r="B834" s="1" t="n">
        <v>43501</v>
      </c>
      <c r="C834" s="1" t="n">
        <v>45351</v>
      </c>
      <c r="D834" t="inlineStr">
        <is>
          <t>UPPSALA LÄN</t>
        </is>
      </c>
      <c r="E834" t="inlineStr">
        <is>
          <t>HEBY</t>
        </is>
      </c>
      <c r="G834" t="n">
        <v>2.6</v>
      </c>
      <c r="H834" t="n">
        <v>0</v>
      </c>
      <c r="I834" t="n">
        <v>0</v>
      </c>
      <c r="J834" t="n">
        <v>0</v>
      </c>
      <c r="K834" t="n">
        <v>0</v>
      </c>
      <c r="L834" t="n">
        <v>0</v>
      </c>
      <c r="M834" t="n">
        <v>0</v>
      </c>
      <c r="N834" t="n">
        <v>0</v>
      </c>
      <c r="O834" t="n">
        <v>0</v>
      </c>
      <c r="P834" t="n">
        <v>0</v>
      </c>
      <c r="Q834" t="n">
        <v>0</v>
      </c>
      <c r="R834" s="2" t="inlineStr"/>
    </row>
    <row r="835" ht="15" customHeight="1">
      <c r="A835" t="inlineStr">
        <is>
          <t>A 8338-2019</t>
        </is>
      </c>
      <c r="B835" s="1" t="n">
        <v>43502</v>
      </c>
      <c r="C835" s="1" t="n">
        <v>45351</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8493-2019</t>
        </is>
      </c>
      <c r="B836" s="1" t="n">
        <v>43502</v>
      </c>
      <c r="C836" s="1" t="n">
        <v>45351</v>
      </c>
      <c r="D836" t="inlineStr">
        <is>
          <t>UPPSALA LÄN</t>
        </is>
      </c>
      <c r="E836" t="inlineStr">
        <is>
          <t>ÖSTHAMMAR</t>
        </is>
      </c>
      <c r="G836" t="n">
        <v>2.7</v>
      </c>
      <c r="H836" t="n">
        <v>0</v>
      </c>
      <c r="I836" t="n">
        <v>0</v>
      </c>
      <c r="J836" t="n">
        <v>0</v>
      </c>
      <c r="K836" t="n">
        <v>0</v>
      </c>
      <c r="L836" t="n">
        <v>0</v>
      </c>
      <c r="M836" t="n">
        <v>0</v>
      </c>
      <c r="N836" t="n">
        <v>0</v>
      </c>
      <c r="O836" t="n">
        <v>0</v>
      </c>
      <c r="P836" t="n">
        <v>0</v>
      </c>
      <c r="Q836" t="n">
        <v>0</v>
      </c>
      <c r="R836" s="2" t="inlineStr"/>
    </row>
    <row r="837" ht="15" customHeight="1">
      <c r="A837" t="inlineStr">
        <is>
          <t>A 8803-2019</t>
        </is>
      </c>
      <c r="B837" s="1" t="n">
        <v>43503</v>
      </c>
      <c r="C837" s="1" t="n">
        <v>45351</v>
      </c>
      <c r="D837" t="inlineStr">
        <is>
          <t>UPPSALA LÄN</t>
        </is>
      </c>
      <c r="E837" t="inlineStr">
        <is>
          <t>ÖSTHAMMAR</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8960-2019</t>
        </is>
      </c>
      <c r="B838" s="1" t="n">
        <v>43503</v>
      </c>
      <c r="C838" s="1" t="n">
        <v>45351</v>
      </c>
      <c r="D838" t="inlineStr">
        <is>
          <t>UPPSALA LÄN</t>
        </is>
      </c>
      <c r="E838" t="inlineStr">
        <is>
          <t>HEBY</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8722-2019</t>
        </is>
      </c>
      <c r="B839" s="1" t="n">
        <v>43503</v>
      </c>
      <c r="C839" s="1" t="n">
        <v>45351</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9164-2019</t>
        </is>
      </c>
      <c r="B840" s="1" t="n">
        <v>43504</v>
      </c>
      <c r="C840" s="1" t="n">
        <v>45351</v>
      </c>
      <c r="D840" t="inlineStr">
        <is>
          <t>UPPSALA LÄN</t>
        </is>
      </c>
      <c r="E840" t="inlineStr">
        <is>
          <t>ENKÖPING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8992-2019</t>
        </is>
      </c>
      <c r="B841" s="1" t="n">
        <v>43504</v>
      </c>
      <c r="C841" s="1" t="n">
        <v>45351</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9166-2019</t>
        </is>
      </c>
      <c r="B842" s="1" t="n">
        <v>43504</v>
      </c>
      <c r="C842" s="1" t="n">
        <v>45351</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9472-2019</t>
        </is>
      </c>
      <c r="B843" s="1" t="n">
        <v>43507</v>
      </c>
      <c r="C843" s="1" t="n">
        <v>45351</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9287-2019</t>
        </is>
      </c>
      <c r="B844" s="1" t="n">
        <v>43507</v>
      </c>
      <c r="C844" s="1" t="n">
        <v>45351</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9286-2019</t>
        </is>
      </c>
      <c r="B845" s="1" t="n">
        <v>43507</v>
      </c>
      <c r="C845" s="1" t="n">
        <v>45351</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9337-2019</t>
        </is>
      </c>
      <c r="B846" s="1" t="n">
        <v>43507</v>
      </c>
      <c r="C846" s="1" t="n">
        <v>45351</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9574-2019</t>
        </is>
      </c>
      <c r="B847" s="1" t="n">
        <v>43508</v>
      </c>
      <c r="C847" s="1" t="n">
        <v>45351</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9637-2019</t>
        </is>
      </c>
      <c r="B848" s="1" t="n">
        <v>43508</v>
      </c>
      <c r="C848" s="1" t="n">
        <v>45351</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9529-2019</t>
        </is>
      </c>
      <c r="B849" s="1" t="n">
        <v>43508</v>
      </c>
      <c r="C849" s="1" t="n">
        <v>45351</v>
      </c>
      <c r="D849" t="inlineStr">
        <is>
          <t>UPPSALA LÄN</t>
        </is>
      </c>
      <c r="E849" t="inlineStr">
        <is>
          <t>ÖSTHAMMAR</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9881-2019</t>
        </is>
      </c>
      <c r="B850" s="1" t="n">
        <v>43509</v>
      </c>
      <c r="C850" s="1" t="n">
        <v>45351</v>
      </c>
      <c r="D850" t="inlineStr">
        <is>
          <t>UPPSALA LÄN</t>
        </is>
      </c>
      <c r="E850" t="inlineStr">
        <is>
          <t>ÖSTHAMMAR</t>
        </is>
      </c>
      <c r="F850" t="inlineStr">
        <is>
          <t>Bergvik skog öst AB</t>
        </is>
      </c>
      <c r="G850" t="n">
        <v>3.4</v>
      </c>
      <c r="H850" t="n">
        <v>0</v>
      </c>
      <c r="I850" t="n">
        <v>0</v>
      </c>
      <c r="J850" t="n">
        <v>0</v>
      </c>
      <c r="K850" t="n">
        <v>0</v>
      </c>
      <c r="L850" t="n">
        <v>0</v>
      </c>
      <c r="M850" t="n">
        <v>0</v>
      </c>
      <c r="N850" t="n">
        <v>0</v>
      </c>
      <c r="O850" t="n">
        <v>0</v>
      </c>
      <c r="P850" t="n">
        <v>0</v>
      </c>
      <c r="Q850" t="n">
        <v>0</v>
      </c>
      <c r="R850" s="2" t="inlineStr"/>
    </row>
    <row r="851" ht="15" customHeight="1">
      <c r="A851" t="inlineStr">
        <is>
          <t>A 9957-2019</t>
        </is>
      </c>
      <c r="B851" s="1" t="n">
        <v>43509</v>
      </c>
      <c r="C851" s="1" t="n">
        <v>45351</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10335-2019</t>
        </is>
      </c>
      <c r="B852" s="1" t="n">
        <v>43511</v>
      </c>
      <c r="C852" s="1" t="n">
        <v>45351</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10364-2019</t>
        </is>
      </c>
      <c r="B853" s="1" t="n">
        <v>43511</v>
      </c>
      <c r="C853" s="1" t="n">
        <v>45351</v>
      </c>
      <c r="D853" t="inlineStr">
        <is>
          <t>UPPSALA LÄN</t>
        </is>
      </c>
      <c r="E853" t="inlineStr">
        <is>
          <t>HEBY</t>
        </is>
      </c>
      <c r="G853" t="n">
        <v>3.9</v>
      </c>
      <c r="H853" t="n">
        <v>0</v>
      </c>
      <c r="I853" t="n">
        <v>0</v>
      </c>
      <c r="J853" t="n">
        <v>0</v>
      </c>
      <c r="K853" t="n">
        <v>0</v>
      </c>
      <c r="L853" t="n">
        <v>0</v>
      </c>
      <c r="M853" t="n">
        <v>0</v>
      </c>
      <c r="N853" t="n">
        <v>0</v>
      </c>
      <c r="O853" t="n">
        <v>0</v>
      </c>
      <c r="P853" t="n">
        <v>0</v>
      </c>
      <c r="Q853" t="n">
        <v>0</v>
      </c>
      <c r="R853" s="2" t="inlineStr"/>
    </row>
    <row r="854" ht="15" customHeight="1">
      <c r="A854" t="inlineStr">
        <is>
          <t>A 10255-2019</t>
        </is>
      </c>
      <c r="B854" s="1" t="n">
        <v>43511</v>
      </c>
      <c r="C854" s="1" t="n">
        <v>45351</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10387-2019</t>
        </is>
      </c>
      <c r="B855" s="1" t="n">
        <v>43511</v>
      </c>
      <c r="C855" s="1" t="n">
        <v>45351</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10480-2019</t>
        </is>
      </c>
      <c r="B856" s="1" t="n">
        <v>43511</v>
      </c>
      <c r="C856" s="1" t="n">
        <v>45351</v>
      </c>
      <c r="D856" t="inlineStr">
        <is>
          <t>UPPSALA LÄN</t>
        </is>
      </c>
      <c r="E856" t="inlineStr">
        <is>
          <t>ÄLVKARLEBY</t>
        </is>
      </c>
      <c r="G856" t="n">
        <v>2.7</v>
      </c>
      <c r="H856" t="n">
        <v>0</v>
      </c>
      <c r="I856" t="n">
        <v>0</v>
      </c>
      <c r="J856" t="n">
        <v>0</v>
      </c>
      <c r="K856" t="n">
        <v>0</v>
      </c>
      <c r="L856" t="n">
        <v>0</v>
      </c>
      <c r="M856" t="n">
        <v>0</v>
      </c>
      <c r="N856" t="n">
        <v>0</v>
      </c>
      <c r="O856" t="n">
        <v>0</v>
      </c>
      <c r="P856" t="n">
        <v>0</v>
      </c>
      <c r="Q856" t="n">
        <v>0</v>
      </c>
      <c r="R856" s="2" t="inlineStr"/>
    </row>
    <row r="857" ht="15" customHeight="1">
      <c r="A857" t="inlineStr">
        <is>
          <t>A 10419-2019</t>
        </is>
      </c>
      <c r="B857" s="1" t="n">
        <v>43511</v>
      </c>
      <c r="C857" s="1" t="n">
        <v>45351</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10344-2019</t>
        </is>
      </c>
      <c r="B858" s="1" t="n">
        <v>43511</v>
      </c>
      <c r="C858" s="1" t="n">
        <v>45351</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10483-2019</t>
        </is>
      </c>
      <c r="B859" s="1" t="n">
        <v>43511</v>
      </c>
      <c r="C859" s="1" t="n">
        <v>45351</v>
      </c>
      <c r="D859" t="inlineStr">
        <is>
          <t>UPPSALA LÄN</t>
        </is>
      </c>
      <c r="E859" t="inlineStr">
        <is>
          <t>ÄLVKARLEBY</t>
        </is>
      </c>
      <c r="G859" t="n">
        <v>0.5</v>
      </c>
      <c r="H859" t="n">
        <v>0</v>
      </c>
      <c r="I859" t="n">
        <v>0</v>
      </c>
      <c r="J859" t="n">
        <v>0</v>
      </c>
      <c r="K859" t="n">
        <v>0</v>
      </c>
      <c r="L859" t="n">
        <v>0</v>
      </c>
      <c r="M859" t="n">
        <v>0</v>
      </c>
      <c r="N859" t="n">
        <v>0</v>
      </c>
      <c r="O859" t="n">
        <v>0</v>
      </c>
      <c r="P859" t="n">
        <v>0</v>
      </c>
      <c r="Q859" t="n">
        <v>0</v>
      </c>
      <c r="R859" s="2" t="inlineStr"/>
    </row>
    <row r="860" ht="15" customHeight="1">
      <c r="A860" t="inlineStr">
        <is>
          <t>A 10434-2019</t>
        </is>
      </c>
      <c r="B860" s="1" t="n">
        <v>43511</v>
      </c>
      <c r="C860" s="1" t="n">
        <v>45351</v>
      </c>
      <c r="D860" t="inlineStr">
        <is>
          <t>UPPSALA LÄN</t>
        </is>
      </c>
      <c r="E860" t="inlineStr">
        <is>
          <t>UPPSALA</t>
        </is>
      </c>
      <c r="G860" t="n">
        <v>14.2</v>
      </c>
      <c r="H860" t="n">
        <v>0</v>
      </c>
      <c r="I860" t="n">
        <v>0</v>
      </c>
      <c r="J860" t="n">
        <v>0</v>
      </c>
      <c r="K860" t="n">
        <v>0</v>
      </c>
      <c r="L860" t="n">
        <v>0</v>
      </c>
      <c r="M860" t="n">
        <v>0</v>
      </c>
      <c r="N860" t="n">
        <v>0</v>
      </c>
      <c r="O860" t="n">
        <v>0</v>
      </c>
      <c r="P860" t="n">
        <v>0</v>
      </c>
      <c r="Q860" t="n">
        <v>0</v>
      </c>
      <c r="R860" s="2" t="inlineStr"/>
    </row>
    <row r="861" ht="15" customHeight="1">
      <c r="A861" t="inlineStr">
        <is>
          <t>A 10482-2019</t>
        </is>
      </c>
      <c r="B861" s="1" t="n">
        <v>43511</v>
      </c>
      <c r="C861" s="1" t="n">
        <v>45351</v>
      </c>
      <c r="D861" t="inlineStr">
        <is>
          <t>UPPSALA LÄN</t>
        </is>
      </c>
      <c r="E861" t="inlineStr">
        <is>
          <t>ÄLVKARLEBY</t>
        </is>
      </c>
      <c r="G861" t="n">
        <v>0.9</v>
      </c>
      <c r="H861" t="n">
        <v>0</v>
      </c>
      <c r="I861" t="n">
        <v>0</v>
      </c>
      <c r="J861" t="n">
        <v>0</v>
      </c>
      <c r="K861" t="n">
        <v>0</v>
      </c>
      <c r="L861" t="n">
        <v>0</v>
      </c>
      <c r="M861" t="n">
        <v>0</v>
      </c>
      <c r="N861" t="n">
        <v>0</v>
      </c>
      <c r="O861" t="n">
        <v>0</v>
      </c>
      <c r="P861" t="n">
        <v>0</v>
      </c>
      <c r="Q861" t="n">
        <v>0</v>
      </c>
      <c r="R861" s="2" t="inlineStr"/>
    </row>
    <row r="862" ht="15" customHeight="1">
      <c r="A862" t="inlineStr">
        <is>
          <t>A 10481-2019</t>
        </is>
      </c>
      <c r="B862" s="1" t="n">
        <v>43511</v>
      </c>
      <c r="C862" s="1" t="n">
        <v>45351</v>
      </c>
      <c r="D862" t="inlineStr">
        <is>
          <t>UPPSALA LÄN</t>
        </is>
      </c>
      <c r="E862" t="inlineStr">
        <is>
          <t>ÄLVKARLEBY</t>
        </is>
      </c>
      <c r="G862" t="n">
        <v>0.3</v>
      </c>
      <c r="H862" t="n">
        <v>0</v>
      </c>
      <c r="I862" t="n">
        <v>0</v>
      </c>
      <c r="J862" t="n">
        <v>0</v>
      </c>
      <c r="K862" t="n">
        <v>0</v>
      </c>
      <c r="L862" t="n">
        <v>0</v>
      </c>
      <c r="M862" t="n">
        <v>0</v>
      </c>
      <c r="N862" t="n">
        <v>0</v>
      </c>
      <c r="O862" t="n">
        <v>0</v>
      </c>
      <c r="P862" t="n">
        <v>0</v>
      </c>
      <c r="Q862" t="n">
        <v>0</v>
      </c>
      <c r="R862" s="2" t="inlineStr"/>
    </row>
    <row r="863" ht="15" customHeight="1">
      <c r="A863" t="inlineStr">
        <is>
          <t>A 10646-2019</t>
        </is>
      </c>
      <c r="B863" s="1" t="n">
        <v>43514</v>
      </c>
      <c r="C863" s="1" t="n">
        <v>45351</v>
      </c>
      <c r="D863" t="inlineStr">
        <is>
          <t>UPPSALA LÄN</t>
        </is>
      </c>
      <c r="E863" t="inlineStr">
        <is>
          <t>ÖSTHAMMAR</t>
        </is>
      </c>
      <c r="G863" t="n">
        <v>5</v>
      </c>
      <c r="H863" t="n">
        <v>0</v>
      </c>
      <c r="I863" t="n">
        <v>0</v>
      </c>
      <c r="J863" t="n">
        <v>0</v>
      </c>
      <c r="K863" t="n">
        <v>0</v>
      </c>
      <c r="L863" t="n">
        <v>0</v>
      </c>
      <c r="M863" t="n">
        <v>0</v>
      </c>
      <c r="N863" t="n">
        <v>0</v>
      </c>
      <c r="O863" t="n">
        <v>0</v>
      </c>
      <c r="P863" t="n">
        <v>0</v>
      </c>
      <c r="Q863" t="n">
        <v>0</v>
      </c>
      <c r="R863" s="2" t="inlineStr"/>
    </row>
    <row r="864" ht="15" customHeight="1">
      <c r="A864" t="inlineStr">
        <is>
          <t>A 10816-2019</t>
        </is>
      </c>
      <c r="B864" s="1" t="n">
        <v>43514</v>
      </c>
      <c r="C864" s="1" t="n">
        <v>45351</v>
      </c>
      <c r="D864" t="inlineStr">
        <is>
          <t>UPPSALA LÄN</t>
        </is>
      </c>
      <c r="E864" t="inlineStr">
        <is>
          <t>TIERP</t>
        </is>
      </c>
      <c r="G864" t="n">
        <v>3</v>
      </c>
      <c r="H864" t="n">
        <v>0</v>
      </c>
      <c r="I864" t="n">
        <v>0</v>
      </c>
      <c r="J864" t="n">
        <v>0</v>
      </c>
      <c r="K864" t="n">
        <v>0</v>
      </c>
      <c r="L864" t="n">
        <v>0</v>
      </c>
      <c r="M864" t="n">
        <v>0</v>
      </c>
      <c r="N864" t="n">
        <v>0</v>
      </c>
      <c r="O864" t="n">
        <v>0</v>
      </c>
      <c r="P864" t="n">
        <v>0</v>
      </c>
      <c r="Q864" t="n">
        <v>0</v>
      </c>
      <c r="R864" s="2" t="inlineStr"/>
    </row>
    <row r="865" ht="15" customHeight="1">
      <c r="A865" t="inlineStr">
        <is>
          <t>A 10951-2019</t>
        </is>
      </c>
      <c r="B865" s="1" t="n">
        <v>43515</v>
      </c>
      <c r="C865" s="1" t="n">
        <v>45351</v>
      </c>
      <c r="D865" t="inlineStr">
        <is>
          <t>UPPSALA LÄN</t>
        </is>
      </c>
      <c r="E865" t="inlineStr">
        <is>
          <t>HEBY</t>
        </is>
      </c>
      <c r="G865" t="n">
        <v>1.3</v>
      </c>
      <c r="H865" t="n">
        <v>0</v>
      </c>
      <c r="I865" t="n">
        <v>0</v>
      </c>
      <c r="J865" t="n">
        <v>0</v>
      </c>
      <c r="K865" t="n">
        <v>0</v>
      </c>
      <c r="L865" t="n">
        <v>0</v>
      </c>
      <c r="M865" t="n">
        <v>0</v>
      </c>
      <c r="N865" t="n">
        <v>0</v>
      </c>
      <c r="O865" t="n">
        <v>0</v>
      </c>
      <c r="P865" t="n">
        <v>0</v>
      </c>
      <c r="Q865" t="n">
        <v>0</v>
      </c>
      <c r="R865" s="2" t="inlineStr"/>
    </row>
    <row r="866" ht="15" customHeight="1">
      <c r="A866" t="inlineStr">
        <is>
          <t>A 10898-2019</t>
        </is>
      </c>
      <c r="B866" s="1" t="n">
        <v>43515</v>
      </c>
      <c r="C866" s="1" t="n">
        <v>45351</v>
      </c>
      <c r="D866" t="inlineStr">
        <is>
          <t>UPPSALA LÄN</t>
        </is>
      </c>
      <c r="E866" t="inlineStr">
        <is>
          <t>ÄLVKARLEBY</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11065-2019</t>
        </is>
      </c>
      <c r="B867" s="1" t="n">
        <v>43515</v>
      </c>
      <c r="C867" s="1" t="n">
        <v>45351</v>
      </c>
      <c r="D867" t="inlineStr">
        <is>
          <t>UPPSALA LÄN</t>
        </is>
      </c>
      <c r="E867" t="inlineStr">
        <is>
          <t>ÖSTHAMMAR</t>
        </is>
      </c>
      <c r="G867" t="n">
        <v>1</v>
      </c>
      <c r="H867" t="n">
        <v>0</v>
      </c>
      <c r="I867" t="n">
        <v>0</v>
      </c>
      <c r="J867" t="n">
        <v>0</v>
      </c>
      <c r="K867" t="n">
        <v>0</v>
      </c>
      <c r="L867" t="n">
        <v>0</v>
      </c>
      <c r="M867" t="n">
        <v>0</v>
      </c>
      <c r="N867" t="n">
        <v>0</v>
      </c>
      <c r="O867" t="n">
        <v>0</v>
      </c>
      <c r="P867" t="n">
        <v>0</v>
      </c>
      <c r="Q867" t="n">
        <v>0</v>
      </c>
      <c r="R867" s="2" t="inlineStr"/>
    </row>
    <row r="868" ht="15" customHeight="1">
      <c r="A868" t="inlineStr">
        <is>
          <t>A 11055-2019</t>
        </is>
      </c>
      <c r="B868" s="1" t="n">
        <v>43515</v>
      </c>
      <c r="C868" s="1" t="n">
        <v>45351</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11248-2019</t>
        </is>
      </c>
      <c r="B869" s="1" t="n">
        <v>43516</v>
      </c>
      <c r="C869" s="1" t="n">
        <v>45351</v>
      </c>
      <c r="D869" t="inlineStr">
        <is>
          <t>UPPSALA LÄN</t>
        </is>
      </c>
      <c r="E869" t="inlineStr">
        <is>
          <t>UPPSALA</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11522-2019</t>
        </is>
      </c>
      <c r="B870" s="1" t="n">
        <v>43517</v>
      </c>
      <c r="C870" s="1" t="n">
        <v>45351</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11498-2019</t>
        </is>
      </c>
      <c r="B871" s="1" t="n">
        <v>43517</v>
      </c>
      <c r="C871" s="1" t="n">
        <v>45351</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11520-2019</t>
        </is>
      </c>
      <c r="B872" s="1" t="n">
        <v>43517</v>
      </c>
      <c r="C872" s="1" t="n">
        <v>45351</v>
      </c>
      <c r="D872" t="inlineStr">
        <is>
          <t>UPPSALA LÄN</t>
        </is>
      </c>
      <c r="E872" t="inlineStr">
        <is>
          <t>UPPSALA</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11499-2019</t>
        </is>
      </c>
      <c r="B873" s="1" t="n">
        <v>43517</v>
      </c>
      <c r="C873" s="1" t="n">
        <v>45351</v>
      </c>
      <c r="D873" t="inlineStr">
        <is>
          <t>UPPSALA LÄN</t>
        </is>
      </c>
      <c r="E873" t="inlineStr">
        <is>
          <t>TIERP</t>
        </is>
      </c>
      <c r="G873" t="n">
        <v>11.7</v>
      </c>
      <c r="H873" t="n">
        <v>0</v>
      </c>
      <c r="I873" t="n">
        <v>0</v>
      </c>
      <c r="J873" t="n">
        <v>0</v>
      </c>
      <c r="K873" t="n">
        <v>0</v>
      </c>
      <c r="L873" t="n">
        <v>0</v>
      </c>
      <c r="M873" t="n">
        <v>0</v>
      </c>
      <c r="N873" t="n">
        <v>0</v>
      </c>
      <c r="O873" t="n">
        <v>0</v>
      </c>
      <c r="P873" t="n">
        <v>0</v>
      </c>
      <c r="Q873" t="n">
        <v>0</v>
      </c>
      <c r="R873" s="2" t="inlineStr"/>
    </row>
    <row r="874" ht="15" customHeight="1">
      <c r="A874" t="inlineStr">
        <is>
          <t>A 11459-2019</t>
        </is>
      </c>
      <c r="B874" s="1" t="n">
        <v>43517</v>
      </c>
      <c r="C874" s="1" t="n">
        <v>45351</v>
      </c>
      <c r="D874" t="inlineStr">
        <is>
          <t>UPPSALA LÄN</t>
        </is>
      </c>
      <c r="E874" t="inlineStr">
        <is>
          <t>ÖSTHAMMAR</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11521-2019</t>
        </is>
      </c>
      <c r="B875" s="1" t="n">
        <v>43517</v>
      </c>
      <c r="C875" s="1" t="n">
        <v>45351</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11579-2019</t>
        </is>
      </c>
      <c r="B876" s="1" t="n">
        <v>43518</v>
      </c>
      <c r="C876" s="1" t="n">
        <v>45351</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11687-2019</t>
        </is>
      </c>
      <c r="B877" s="1" t="n">
        <v>43518</v>
      </c>
      <c r="C877" s="1" t="n">
        <v>45351</v>
      </c>
      <c r="D877" t="inlineStr">
        <is>
          <t>UPPSALA LÄN</t>
        </is>
      </c>
      <c r="E877" t="inlineStr">
        <is>
          <t>ÖSTHAMMAR</t>
        </is>
      </c>
      <c r="G877" t="n">
        <v>4.2</v>
      </c>
      <c r="H877" t="n">
        <v>0</v>
      </c>
      <c r="I877" t="n">
        <v>0</v>
      </c>
      <c r="J877" t="n">
        <v>0</v>
      </c>
      <c r="K877" t="n">
        <v>0</v>
      </c>
      <c r="L877" t="n">
        <v>0</v>
      </c>
      <c r="M877" t="n">
        <v>0</v>
      </c>
      <c r="N877" t="n">
        <v>0</v>
      </c>
      <c r="O877" t="n">
        <v>0</v>
      </c>
      <c r="P877" t="n">
        <v>0</v>
      </c>
      <c r="Q877" t="n">
        <v>0</v>
      </c>
      <c r="R877" s="2" t="inlineStr"/>
    </row>
    <row r="878" ht="15" customHeight="1">
      <c r="A878" t="inlineStr">
        <is>
          <t>A 11710-2019</t>
        </is>
      </c>
      <c r="B878" s="1" t="n">
        <v>43518</v>
      </c>
      <c r="C878" s="1" t="n">
        <v>45351</v>
      </c>
      <c r="D878" t="inlineStr">
        <is>
          <t>UPPSALA LÄN</t>
        </is>
      </c>
      <c r="E878" t="inlineStr">
        <is>
          <t>ÖSTHAMMAR</t>
        </is>
      </c>
      <c r="G878" t="n">
        <v>2.5</v>
      </c>
      <c r="H878" t="n">
        <v>0</v>
      </c>
      <c r="I878" t="n">
        <v>0</v>
      </c>
      <c r="J878" t="n">
        <v>0</v>
      </c>
      <c r="K878" t="n">
        <v>0</v>
      </c>
      <c r="L878" t="n">
        <v>0</v>
      </c>
      <c r="M878" t="n">
        <v>0</v>
      </c>
      <c r="N878" t="n">
        <v>0</v>
      </c>
      <c r="O878" t="n">
        <v>0</v>
      </c>
      <c r="P878" t="n">
        <v>0</v>
      </c>
      <c r="Q878" t="n">
        <v>0</v>
      </c>
      <c r="R878" s="2" t="inlineStr"/>
    </row>
    <row r="879" ht="15" customHeight="1">
      <c r="A879" t="inlineStr">
        <is>
          <t>A 11619-2019</t>
        </is>
      </c>
      <c r="B879" s="1" t="n">
        <v>43518</v>
      </c>
      <c r="C879" s="1" t="n">
        <v>45351</v>
      </c>
      <c r="D879" t="inlineStr">
        <is>
          <t>UPPSALA LÄN</t>
        </is>
      </c>
      <c r="E879" t="inlineStr">
        <is>
          <t>ÖSTHAMMAR</t>
        </is>
      </c>
      <c r="G879" t="n">
        <v>2.8</v>
      </c>
      <c r="H879" t="n">
        <v>0</v>
      </c>
      <c r="I879" t="n">
        <v>0</v>
      </c>
      <c r="J879" t="n">
        <v>0</v>
      </c>
      <c r="K879" t="n">
        <v>0</v>
      </c>
      <c r="L879" t="n">
        <v>0</v>
      </c>
      <c r="M879" t="n">
        <v>0</v>
      </c>
      <c r="N879" t="n">
        <v>0</v>
      </c>
      <c r="O879" t="n">
        <v>0</v>
      </c>
      <c r="P879" t="n">
        <v>0</v>
      </c>
      <c r="Q879" t="n">
        <v>0</v>
      </c>
      <c r="R879" s="2" t="inlineStr"/>
    </row>
    <row r="880" ht="15" customHeight="1">
      <c r="A880" t="inlineStr">
        <is>
          <t>A 11699-2019</t>
        </is>
      </c>
      <c r="B880" s="1" t="n">
        <v>43518</v>
      </c>
      <c r="C880" s="1" t="n">
        <v>45351</v>
      </c>
      <c r="D880" t="inlineStr">
        <is>
          <t>UPPSALA LÄN</t>
        </is>
      </c>
      <c r="E880" t="inlineStr">
        <is>
          <t>ÖSTHAMMAR</t>
        </is>
      </c>
      <c r="G880" t="n">
        <v>1.8</v>
      </c>
      <c r="H880" t="n">
        <v>0</v>
      </c>
      <c r="I880" t="n">
        <v>0</v>
      </c>
      <c r="J880" t="n">
        <v>0</v>
      </c>
      <c r="K880" t="n">
        <v>0</v>
      </c>
      <c r="L880" t="n">
        <v>0</v>
      </c>
      <c r="M880" t="n">
        <v>0</v>
      </c>
      <c r="N880" t="n">
        <v>0</v>
      </c>
      <c r="O880" t="n">
        <v>0</v>
      </c>
      <c r="P880" t="n">
        <v>0</v>
      </c>
      <c r="Q880" t="n">
        <v>0</v>
      </c>
      <c r="R880" s="2" t="inlineStr"/>
    </row>
    <row r="881" ht="15" customHeight="1">
      <c r="A881" t="inlineStr">
        <is>
          <t>A 11799-2019</t>
        </is>
      </c>
      <c r="B881" s="1" t="n">
        <v>43521</v>
      </c>
      <c r="C881" s="1" t="n">
        <v>45351</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11816-2019</t>
        </is>
      </c>
      <c r="B882" s="1" t="n">
        <v>43521</v>
      </c>
      <c r="C882" s="1" t="n">
        <v>45351</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11813-2019</t>
        </is>
      </c>
      <c r="B883" s="1" t="n">
        <v>43521</v>
      </c>
      <c r="C883" s="1" t="n">
        <v>45351</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row>
    <row r="884" ht="15" customHeight="1">
      <c r="A884" t="inlineStr">
        <is>
          <t>A 11800-2019</t>
        </is>
      </c>
      <c r="B884" s="1" t="n">
        <v>43521</v>
      </c>
      <c r="C884" s="1" t="n">
        <v>45351</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12174-2019</t>
        </is>
      </c>
      <c r="B885" s="1" t="n">
        <v>43522</v>
      </c>
      <c r="C885" s="1" t="n">
        <v>45351</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12160-2019</t>
        </is>
      </c>
      <c r="B886" s="1" t="n">
        <v>43522</v>
      </c>
      <c r="C886" s="1" t="n">
        <v>45351</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12235-2019</t>
        </is>
      </c>
      <c r="B887" s="1" t="n">
        <v>43522</v>
      </c>
      <c r="C887" s="1" t="n">
        <v>45351</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12267-2019</t>
        </is>
      </c>
      <c r="B888" s="1" t="n">
        <v>43523</v>
      </c>
      <c r="C888" s="1" t="n">
        <v>45351</v>
      </c>
      <c r="D888" t="inlineStr">
        <is>
          <t>UPPSALA LÄN</t>
        </is>
      </c>
      <c r="E888" t="inlineStr">
        <is>
          <t>ÖSTHAMMAR</t>
        </is>
      </c>
      <c r="G888" t="n">
        <v>6.6</v>
      </c>
      <c r="H888" t="n">
        <v>0</v>
      </c>
      <c r="I888" t="n">
        <v>0</v>
      </c>
      <c r="J888" t="n">
        <v>0</v>
      </c>
      <c r="K888" t="n">
        <v>0</v>
      </c>
      <c r="L888" t="n">
        <v>0</v>
      </c>
      <c r="M888" t="n">
        <v>0</v>
      </c>
      <c r="N888" t="n">
        <v>0</v>
      </c>
      <c r="O888" t="n">
        <v>0</v>
      </c>
      <c r="P888" t="n">
        <v>0</v>
      </c>
      <c r="Q888" t="n">
        <v>0</v>
      </c>
      <c r="R888" s="2" t="inlineStr"/>
    </row>
    <row r="889" ht="15" customHeight="1">
      <c r="A889" t="inlineStr">
        <is>
          <t>A 12481-2019</t>
        </is>
      </c>
      <c r="B889" s="1" t="n">
        <v>43523</v>
      </c>
      <c r="C889" s="1" t="n">
        <v>45351</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12524-2019</t>
        </is>
      </c>
      <c r="B890" s="1" t="n">
        <v>43524</v>
      </c>
      <c r="C890" s="1" t="n">
        <v>45351</v>
      </c>
      <c r="D890" t="inlineStr">
        <is>
          <t>UPPSALA LÄN</t>
        </is>
      </c>
      <c r="E890" t="inlineStr">
        <is>
          <t>ÖSTHAMMAR</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12534-2019</t>
        </is>
      </c>
      <c r="B891" s="1" t="n">
        <v>43524</v>
      </c>
      <c r="C891" s="1" t="n">
        <v>45351</v>
      </c>
      <c r="D891" t="inlineStr">
        <is>
          <t>UPPSALA LÄN</t>
        </is>
      </c>
      <c r="E891" t="inlineStr">
        <is>
          <t>ÖSTHAMMAR</t>
        </is>
      </c>
      <c r="G891" t="n">
        <v>2.4</v>
      </c>
      <c r="H891" t="n">
        <v>0</v>
      </c>
      <c r="I891" t="n">
        <v>0</v>
      </c>
      <c r="J891" t="n">
        <v>0</v>
      </c>
      <c r="K891" t="n">
        <v>0</v>
      </c>
      <c r="L891" t="n">
        <v>0</v>
      </c>
      <c r="M891" t="n">
        <v>0</v>
      </c>
      <c r="N891" t="n">
        <v>0</v>
      </c>
      <c r="O891" t="n">
        <v>0</v>
      </c>
      <c r="P891" t="n">
        <v>0</v>
      </c>
      <c r="Q891" t="n">
        <v>0</v>
      </c>
      <c r="R891" s="2" t="inlineStr"/>
    </row>
    <row r="892" ht="15" customHeight="1">
      <c r="A892" t="inlineStr">
        <is>
          <t>A 12692-2019</t>
        </is>
      </c>
      <c r="B892" s="1" t="n">
        <v>43524</v>
      </c>
      <c r="C892" s="1" t="n">
        <v>45351</v>
      </c>
      <c r="D892" t="inlineStr">
        <is>
          <t>UPPSALA LÄN</t>
        </is>
      </c>
      <c r="E892" t="inlineStr">
        <is>
          <t>HÅBO</t>
        </is>
      </c>
      <c r="G892" t="n">
        <v>2.5</v>
      </c>
      <c r="H892" t="n">
        <v>0</v>
      </c>
      <c r="I892" t="n">
        <v>0</v>
      </c>
      <c r="J892" t="n">
        <v>0</v>
      </c>
      <c r="K892" t="n">
        <v>0</v>
      </c>
      <c r="L892" t="n">
        <v>0</v>
      </c>
      <c r="M892" t="n">
        <v>0</v>
      </c>
      <c r="N892" t="n">
        <v>0</v>
      </c>
      <c r="O892" t="n">
        <v>0</v>
      </c>
      <c r="P892" t="n">
        <v>0</v>
      </c>
      <c r="Q892" t="n">
        <v>0</v>
      </c>
      <c r="R892" s="2" t="inlineStr"/>
    </row>
    <row r="893" ht="15" customHeight="1">
      <c r="A893" t="inlineStr">
        <is>
          <t>A 12691-2019</t>
        </is>
      </c>
      <c r="B893" s="1" t="n">
        <v>43524</v>
      </c>
      <c r="C893" s="1" t="n">
        <v>45351</v>
      </c>
      <c r="D893" t="inlineStr">
        <is>
          <t>UPPSALA LÄN</t>
        </is>
      </c>
      <c r="E893" t="inlineStr">
        <is>
          <t>HÅBO</t>
        </is>
      </c>
      <c r="G893" t="n">
        <v>10.3</v>
      </c>
      <c r="H893" t="n">
        <v>0</v>
      </c>
      <c r="I893" t="n">
        <v>0</v>
      </c>
      <c r="J893" t="n">
        <v>0</v>
      </c>
      <c r="K893" t="n">
        <v>0</v>
      </c>
      <c r="L893" t="n">
        <v>0</v>
      </c>
      <c r="M893" t="n">
        <v>0</v>
      </c>
      <c r="N893" t="n">
        <v>0</v>
      </c>
      <c r="O893" t="n">
        <v>0</v>
      </c>
      <c r="P893" t="n">
        <v>0</v>
      </c>
      <c r="Q893" t="n">
        <v>0</v>
      </c>
      <c r="R893" s="2" t="inlineStr"/>
    </row>
    <row r="894" ht="15" customHeight="1">
      <c r="A894" t="inlineStr">
        <is>
          <t>A 12542-2019</t>
        </is>
      </c>
      <c r="B894" s="1" t="n">
        <v>43524</v>
      </c>
      <c r="C894" s="1" t="n">
        <v>45351</v>
      </c>
      <c r="D894" t="inlineStr">
        <is>
          <t>UPPSALA LÄN</t>
        </is>
      </c>
      <c r="E894" t="inlineStr">
        <is>
          <t>ÖSTHAMMAR</t>
        </is>
      </c>
      <c r="G894" t="n">
        <v>5.2</v>
      </c>
      <c r="H894" t="n">
        <v>0</v>
      </c>
      <c r="I894" t="n">
        <v>0</v>
      </c>
      <c r="J894" t="n">
        <v>0</v>
      </c>
      <c r="K894" t="n">
        <v>0</v>
      </c>
      <c r="L894" t="n">
        <v>0</v>
      </c>
      <c r="M894" t="n">
        <v>0</v>
      </c>
      <c r="N894" t="n">
        <v>0</v>
      </c>
      <c r="O894" t="n">
        <v>0</v>
      </c>
      <c r="P894" t="n">
        <v>0</v>
      </c>
      <c r="Q894" t="n">
        <v>0</v>
      </c>
      <c r="R894" s="2" t="inlineStr"/>
    </row>
    <row r="895" ht="15" customHeight="1">
      <c r="A895" t="inlineStr">
        <is>
          <t>A 12885-2019</t>
        </is>
      </c>
      <c r="B895" s="1" t="n">
        <v>43525</v>
      </c>
      <c r="C895" s="1" t="n">
        <v>45351</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13109-2019</t>
        </is>
      </c>
      <c r="B896" s="1" t="n">
        <v>43528</v>
      </c>
      <c r="C896" s="1" t="n">
        <v>45351</v>
      </c>
      <c r="D896" t="inlineStr">
        <is>
          <t>UPPSALA LÄN</t>
        </is>
      </c>
      <c r="E896" t="inlineStr">
        <is>
          <t>KNIVSTA</t>
        </is>
      </c>
      <c r="G896" t="n">
        <v>1.5</v>
      </c>
      <c r="H896" t="n">
        <v>0</v>
      </c>
      <c r="I896" t="n">
        <v>0</v>
      </c>
      <c r="J896" t="n">
        <v>0</v>
      </c>
      <c r="K896" t="n">
        <v>0</v>
      </c>
      <c r="L896" t="n">
        <v>0</v>
      </c>
      <c r="M896" t="n">
        <v>0</v>
      </c>
      <c r="N896" t="n">
        <v>0</v>
      </c>
      <c r="O896" t="n">
        <v>0</v>
      </c>
      <c r="P896" t="n">
        <v>0</v>
      </c>
      <c r="Q896" t="n">
        <v>0</v>
      </c>
      <c r="R896" s="2" t="inlineStr"/>
    </row>
    <row r="897" ht="15" customHeight="1">
      <c r="A897" t="inlineStr">
        <is>
          <t>A 13131-2019</t>
        </is>
      </c>
      <c r="B897" s="1" t="n">
        <v>43528</v>
      </c>
      <c r="C897" s="1" t="n">
        <v>45351</v>
      </c>
      <c r="D897" t="inlineStr">
        <is>
          <t>UPPSALA LÄN</t>
        </is>
      </c>
      <c r="E897" t="inlineStr">
        <is>
          <t>HEBY</t>
        </is>
      </c>
      <c r="G897" t="n">
        <v>2.8</v>
      </c>
      <c r="H897" t="n">
        <v>0</v>
      </c>
      <c r="I897" t="n">
        <v>0</v>
      </c>
      <c r="J897" t="n">
        <v>0</v>
      </c>
      <c r="K897" t="n">
        <v>0</v>
      </c>
      <c r="L897" t="n">
        <v>0</v>
      </c>
      <c r="M897" t="n">
        <v>0</v>
      </c>
      <c r="N897" t="n">
        <v>0</v>
      </c>
      <c r="O897" t="n">
        <v>0</v>
      </c>
      <c r="P897" t="n">
        <v>0</v>
      </c>
      <c r="Q897" t="n">
        <v>0</v>
      </c>
      <c r="R897" s="2" t="inlineStr"/>
    </row>
    <row r="898" ht="15" customHeight="1">
      <c r="A898" t="inlineStr">
        <is>
          <t>A 13203-2019</t>
        </is>
      </c>
      <c r="B898" s="1" t="n">
        <v>43528</v>
      </c>
      <c r="C898" s="1" t="n">
        <v>45351</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13261-2019</t>
        </is>
      </c>
      <c r="B899" s="1" t="n">
        <v>43528</v>
      </c>
      <c r="C899" s="1" t="n">
        <v>45351</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13111-2019</t>
        </is>
      </c>
      <c r="B900" s="1" t="n">
        <v>43528</v>
      </c>
      <c r="C900" s="1" t="n">
        <v>45351</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13302-2019</t>
        </is>
      </c>
      <c r="B901" s="1" t="n">
        <v>43528</v>
      </c>
      <c r="C901" s="1" t="n">
        <v>45351</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13118-2019</t>
        </is>
      </c>
      <c r="B902" s="1" t="n">
        <v>43528</v>
      </c>
      <c r="C902" s="1" t="n">
        <v>45351</v>
      </c>
      <c r="D902" t="inlineStr">
        <is>
          <t>UPPSALA LÄN</t>
        </is>
      </c>
      <c r="E902" t="inlineStr">
        <is>
          <t>HEBY</t>
        </is>
      </c>
      <c r="G902" t="n">
        <v>16.1</v>
      </c>
      <c r="H902" t="n">
        <v>0</v>
      </c>
      <c r="I902" t="n">
        <v>0</v>
      </c>
      <c r="J902" t="n">
        <v>0</v>
      </c>
      <c r="K902" t="n">
        <v>0</v>
      </c>
      <c r="L902" t="n">
        <v>0</v>
      </c>
      <c r="M902" t="n">
        <v>0</v>
      </c>
      <c r="N902" t="n">
        <v>0</v>
      </c>
      <c r="O902" t="n">
        <v>0</v>
      </c>
      <c r="P902" t="n">
        <v>0</v>
      </c>
      <c r="Q902" t="n">
        <v>0</v>
      </c>
      <c r="R902" s="2" t="inlineStr"/>
    </row>
    <row r="903" ht="15" customHeight="1">
      <c r="A903" t="inlineStr">
        <is>
          <t>A 13011-2019</t>
        </is>
      </c>
      <c r="B903" s="1" t="n">
        <v>43528</v>
      </c>
      <c r="C903" s="1" t="n">
        <v>45351</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13110-2019</t>
        </is>
      </c>
      <c r="B904" s="1" t="n">
        <v>43528</v>
      </c>
      <c r="C904" s="1" t="n">
        <v>45351</v>
      </c>
      <c r="D904" t="inlineStr">
        <is>
          <t>UPPSALA LÄN</t>
        </is>
      </c>
      <c r="E904" t="inlineStr">
        <is>
          <t>HEBY</t>
        </is>
      </c>
      <c r="G904" t="n">
        <v>4.7</v>
      </c>
      <c r="H904" t="n">
        <v>0</v>
      </c>
      <c r="I904" t="n">
        <v>0</v>
      </c>
      <c r="J904" t="n">
        <v>0</v>
      </c>
      <c r="K904" t="n">
        <v>0</v>
      </c>
      <c r="L904" t="n">
        <v>0</v>
      </c>
      <c r="M904" t="n">
        <v>0</v>
      </c>
      <c r="N904" t="n">
        <v>0</v>
      </c>
      <c r="O904" t="n">
        <v>0</v>
      </c>
      <c r="P904" t="n">
        <v>0</v>
      </c>
      <c r="Q904" t="n">
        <v>0</v>
      </c>
      <c r="R904" s="2" t="inlineStr"/>
    </row>
    <row r="905" ht="15" customHeight="1">
      <c r="A905" t="inlineStr">
        <is>
          <t>A 13272-2019</t>
        </is>
      </c>
      <c r="B905" s="1" t="n">
        <v>43529</v>
      </c>
      <c r="C905" s="1" t="n">
        <v>45351</v>
      </c>
      <c r="D905" t="inlineStr">
        <is>
          <t>UPPSALA LÄN</t>
        </is>
      </c>
      <c r="E905" t="inlineStr">
        <is>
          <t>HEBY</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13422-2019</t>
        </is>
      </c>
      <c r="B906" s="1" t="n">
        <v>43529</v>
      </c>
      <c r="C906" s="1" t="n">
        <v>45351</v>
      </c>
      <c r="D906" t="inlineStr">
        <is>
          <t>UPPSALA LÄN</t>
        </is>
      </c>
      <c r="E906" t="inlineStr">
        <is>
          <t>TIERP</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13251-2019</t>
        </is>
      </c>
      <c r="B907" s="1" t="n">
        <v>43529</v>
      </c>
      <c r="C907" s="1" t="n">
        <v>45351</v>
      </c>
      <c r="D907" t="inlineStr">
        <is>
          <t>UPPSALA LÄN</t>
        </is>
      </c>
      <c r="E907" t="inlineStr">
        <is>
          <t>ÖSTHAMMAR</t>
        </is>
      </c>
      <c r="F907" t="inlineStr">
        <is>
          <t>Övriga Aktiebolag</t>
        </is>
      </c>
      <c r="G907" t="n">
        <v>3.1</v>
      </c>
      <c r="H907" t="n">
        <v>0</v>
      </c>
      <c r="I907" t="n">
        <v>0</v>
      </c>
      <c r="J907" t="n">
        <v>0</v>
      </c>
      <c r="K907" t="n">
        <v>0</v>
      </c>
      <c r="L907" t="n">
        <v>0</v>
      </c>
      <c r="M907" t="n">
        <v>0</v>
      </c>
      <c r="N907" t="n">
        <v>0</v>
      </c>
      <c r="O907" t="n">
        <v>0</v>
      </c>
      <c r="P907" t="n">
        <v>0</v>
      </c>
      <c r="Q907" t="n">
        <v>0</v>
      </c>
      <c r="R907" s="2" t="inlineStr"/>
    </row>
    <row r="908" ht="15" customHeight="1">
      <c r="A908" t="inlineStr">
        <is>
          <t>A 13360-2019</t>
        </is>
      </c>
      <c r="B908" s="1" t="n">
        <v>43529</v>
      </c>
      <c r="C908" s="1" t="n">
        <v>45351</v>
      </c>
      <c r="D908" t="inlineStr">
        <is>
          <t>UPPSALA LÄN</t>
        </is>
      </c>
      <c r="E908" t="inlineStr">
        <is>
          <t>HEBY</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13529-2019</t>
        </is>
      </c>
      <c r="B909" s="1" t="n">
        <v>43530</v>
      </c>
      <c r="C909" s="1" t="n">
        <v>45351</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13546-2019</t>
        </is>
      </c>
      <c r="B910" s="1" t="n">
        <v>43530</v>
      </c>
      <c r="C910" s="1" t="n">
        <v>45351</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13635-2019</t>
        </is>
      </c>
      <c r="B911" s="1" t="n">
        <v>43530</v>
      </c>
      <c r="C911" s="1" t="n">
        <v>45351</v>
      </c>
      <c r="D911" t="inlineStr">
        <is>
          <t>UPPSALA LÄN</t>
        </is>
      </c>
      <c r="E911" t="inlineStr">
        <is>
          <t>ENKÖPING</t>
        </is>
      </c>
      <c r="G911" t="n">
        <v>4.7</v>
      </c>
      <c r="H911" t="n">
        <v>0</v>
      </c>
      <c r="I911" t="n">
        <v>0</v>
      </c>
      <c r="J911" t="n">
        <v>0</v>
      </c>
      <c r="K911" t="n">
        <v>0</v>
      </c>
      <c r="L911" t="n">
        <v>0</v>
      </c>
      <c r="M911" t="n">
        <v>0</v>
      </c>
      <c r="N911" t="n">
        <v>0</v>
      </c>
      <c r="O911" t="n">
        <v>0</v>
      </c>
      <c r="P911" t="n">
        <v>0</v>
      </c>
      <c r="Q911" t="n">
        <v>0</v>
      </c>
      <c r="R911" s="2" t="inlineStr"/>
    </row>
    <row r="912" ht="15" customHeight="1">
      <c r="A912" t="inlineStr">
        <is>
          <t>A 13640-2019</t>
        </is>
      </c>
      <c r="B912" s="1" t="n">
        <v>43530</v>
      </c>
      <c r="C912" s="1" t="n">
        <v>45351</v>
      </c>
      <c r="D912" t="inlineStr">
        <is>
          <t>UPPSALA LÄN</t>
        </is>
      </c>
      <c r="E912" t="inlineStr">
        <is>
          <t>ENKÖPING</t>
        </is>
      </c>
      <c r="G912" t="n">
        <v>7.2</v>
      </c>
      <c r="H912" t="n">
        <v>0</v>
      </c>
      <c r="I912" t="n">
        <v>0</v>
      </c>
      <c r="J912" t="n">
        <v>0</v>
      </c>
      <c r="K912" t="n">
        <v>0</v>
      </c>
      <c r="L912" t="n">
        <v>0</v>
      </c>
      <c r="M912" t="n">
        <v>0</v>
      </c>
      <c r="N912" t="n">
        <v>0</v>
      </c>
      <c r="O912" t="n">
        <v>0</v>
      </c>
      <c r="P912" t="n">
        <v>0</v>
      </c>
      <c r="Q912" t="n">
        <v>0</v>
      </c>
      <c r="R912" s="2" t="inlineStr"/>
    </row>
    <row r="913" ht="15" customHeight="1">
      <c r="A913" t="inlineStr">
        <is>
          <t>A 13555-2019</t>
        </is>
      </c>
      <c r="B913" s="1" t="n">
        <v>43530</v>
      </c>
      <c r="C913" s="1" t="n">
        <v>45351</v>
      </c>
      <c r="D913" t="inlineStr">
        <is>
          <t>UPPSALA LÄN</t>
        </is>
      </c>
      <c r="E913" t="inlineStr">
        <is>
          <t>HEBY</t>
        </is>
      </c>
      <c r="G913" t="n">
        <v>2</v>
      </c>
      <c r="H913" t="n">
        <v>0</v>
      </c>
      <c r="I913" t="n">
        <v>0</v>
      </c>
      <c r="J913" t="n">
        <v>0</v>
      </c>
      <c r="K913" t="n">
        <v>0</v>
      </c>
      <c r="L913" t="n">
        <v>0</v>
      </c>
      <c r="M913" t="n">
        <v>0</v>
      </c>
      <c r="N913" t="n">
        <v>0</v>
      </c>
      <c r="O913" t="n">
        <v>0</v>
      </c>
      <c r="P913" t="n">
        <v>0</v>
      </c>
      <c r="Q913" t="n">
        <v>0</v>
      </c>
      <c r="R913" s="2" t="inlineStr"/>
    </row>
    <row r="914" ht="15" customHeight="1">
      <c r="A914" t="inlineStr">
        <is>
          <t>A 13744-2019</t>
        </is>
      </c>
      <c r="B914" s="1" t="n">
        <v>43531</v>
      </c>
      <c r="C914" s="1" t="n">
        <v>45351</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13766-2019</t>
        </is>
      </c>
      <c r="B915" s="1" t="n">
        <v>43531</v>
      </c>
      <c r="C915" s="1" t="n">
        <v>45351</v>
      </c>
      <c r="D915" t="inlineStr">
        <is>
          <t>UPPSALA LÄN</t>
        </is>
      </c>
      <c r="E915" t="inlineStr">
        <is>
          <t>UPPSALA</t>
        </is>
      </c>
      <c r="G915" t="n">
        <v>6.7</v>
      </c>
      <c r="H915" t="n">
        <v>0</v>
      </c>
      <c r="I915" t="n">
        <v>0</v>
      </c>
      <c r="J915" t="n">
        <v>0</v>
      </c>
      <c r="K915" t="n">
        <v>0</v>
      </c>
      <c r="L915" t="n">
        <v>0</v>
      </c>
      <c r="M915" t="n">
        <v>0</v>
      </c>
      <c r="N915" t="n">
        <v>0</v>
      </c>
      <c r="O915" t="n">
        <v>0</v>
      </c>
      <c r="P915" t="n">
        <v>0</v>
      </c>
      <c r="Q915" t="n">
        <v>0</v>
      </c>
      <c r="R915" s="2" t="inlineStr"/>
    </row>
    <row r="916" ht="15" customHeight="1">
      <c r="A916" t="inlineStr">
        <is>
          <t>A 13741-2019</t>
        </is>
      </c>
      <c r="B916" s="1" t="n">
        <v>43531</v>
      </c>
      <c r="C916" s="1" t="n">
        <v>45351</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13827-2019</t>
        </is>
      </c>
      <c r="B917" s="1" t="n">
        <v>43531</v>
      </c>
      <c r="C917" s="1" t="n">
        <v>45351</v>
      </c>
      <c r="D917" t="inlineStr">
        <is>
          <t>UPPSALA LÄN</t>
        </is>
      </c>
      <c r="E917" t="inlineStr">
        <is>
          <t>ÖSTHAMMAR</t>
        </is>
      </c>
      <c r="F917" t="inlineStr">
        <is>
          <t>Bergvik skog öst AB</t>
        </is>
      </c>
      <c r="G917" t="n">
        <v>2.8</v>
      </c>
      <c r="H917" t="n">
        <v>0</v>
      </c>
      <c r="I917" t="n">
        <v>0</v>
      </c>
      <c r="J917" t="n">
        <v>0</v>
      </c>
      <c r="K917" t="n">
        <v>0</v>
      </c>
      <c r="L917" t="n">
        <v>0</v>
      </c>
      <c r="M917" t="n">
        <v>0</v>
      </c>
      <c r="N917" t="n">
        <v>0</v>
      </c>
      <c r="O917" t="n">
        <v>0</v>
      </c>
      <c r="P917" t="n">
        <v>0</v>
      </c>
      <c r="Q917" t="n">
        <v>0</v>
      </c>
      <c r="R917" s="2" t="inlineStr"/>
    </row>
    <row r="918" ht="15" customHeight="1">
      <c r="A918" t="inlineStr">
        <is>
          <t>A 13927-2019</t>
        </is>
      </c>
      <c r="B918" s="1" t="n">
        <v>43531</v>
      </c>
      <c r="C918" s="1" t="n">
        <v>45351</v>
      </c>
      <c r="D918" t="inlineStr">
        <is>
          <t>UPPSALA LÄN</t>
        </is>
      </c>
      <c r="E918" t="inlineStr">
        <is>
          <t>UPPSALA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13733-2019</t>
        </is>
      </c>
      <c r="B919" s="1" t="n">
        <v>43531</v>
      </c>
      <c r="C919" s="1" t="n">
        <v>45351</v>
      </c>
      <c r="D919" t="inlineStr">
        <is>
          <t>UPPSALA LÄN</t>
        </is>
      </c>
      <c r="E919" t="inlineStr">
        <is>
          <t>UPPSALA</t>
        </is>
      </c>
      <c r="G919" t="n">
        <v>5.2</v>
      </c>
      <c r="H919" t="n">
        <v>0</v>
      </c>
      <c r="I919" t="n">
        <v>0</v>
      </c>
      <c r="J919" t="n">
        <v>0</v>
      </c>
      <c r="K919" t="n">
        <v>0</v>
      </c>
      <c r="L919" t="n">
        <v>0</v>
      </c>
      <c r="M919" t="n">
        <v>0</v>
      </c>
      <c r="N919" t="n">
        <v>0</v>
      </c>
      <c r="O919" t="n">
        <v>0</v>
      </c>
      <c r="P919" t="n">
        <v>0</v>
      </c>
      <c r="Q919" t="n">
        <v>0</v>
      </c>
      <c r="R919" s="2" t="inlineStr"/>
    </row>
    <row r="920" ht="15" customHeight="1">
      <c r="A920" t="inlineStr">
        <is>
          <t>A 14070-2019</t>
        </is>
      </c>
      <c r="B920" s="1" t="n">
        <v>43532</v>
      </c>
      <c r="C920" s="1" t="n">
        <v>45351</v>
      </c>
      <c r="D920" t="inlineStr">
        <is>
          <t>UPPSALA LÄN</t>
        </is>
      </c>
      <c r="E920" t="inlineStr">
        <is>
          <t>KNIVSTA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14059-2019</t>
        </is>
      </c>
      <c r="B921" s="1" t="n">
        <v>43532</v>
      </c>
      <c r="C921" s="1" t="n">
        <v>45351</v>
      </c>
      <c r="D921" t="inlineStr">
        <is>
          <t>UPPSALA LÄN</t>
        </is>
      </c>
      <c r="E921" t="inlineStr">
        <is>
          <t>UPPSALA</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14115-2019</t>
        </is>
      </c>
      <c r="B922" s="1" t="n">
        <v>43532</v>
      </c>
      <c r="C922" s="1" t="n">
        <v>45351</v>
      </c>
      <c r="D922" t="inlineStr">
        <is>
          <t>UPPSALA LÄN</t>
        </is>
      </c>
      <c r="E922" t="inlineStr">
        <is>
          <t>KNIVSTA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14215-2019</t>
        </is>
      </c>
      <c r="B923" s="1" t="n">
        <v>43535</v>
      </c>
      <c r="C923" s="1" t="n">
        <v>45351</v>
      </c>
      <c r="D923" t="inlineStr">
        <is>
          <t>UPPSALA LÄN</t>
        </is>
      </c>
      <c r="E923" t="inlineStr">
        <is>
          <t>ÖSTHAMMAR</t>
        </is>
      </c>
      <c r="G923" t="n">
        <v>1.3</v>
      </c>
      <c r="H923" t="n">
        <v>0</v>
      </c>
      <c r="I923" t="n">
        <v>0</v>
      </c>
      <c r="J923" t="n">
        <v>0</v>
      </c>
      <c r="K923" t="n">
        <v>0</v>
      </c>
      <c r="L923" t="n">
        <v>0</v>
      </c>
      <c r="M923" t="n">
        <v>0</v>
      </c>
      <c r="N923" t="n">
        <v>0</v>
      </c>
      <c r="O923" t="n">
        <v>0</v>
      </c>
      <c r="P923" t="n">
        <v>0</v>
      </c>
      <c r="Q923" t="n">
        <v>0</v>
      </c>
      <c r="R923" s="2" t="inlineStr"/>
    </row>
    <row r="924" ht="15" customHeight="1">
      <c r="A924" t="inlineStr">
        <is>
          <t>A 14334-2019</t>
        </is>
      </c>
      <c r="B924" s="1" t="n">
        <v>43535</v>
      </c>
      <c r="C924" s="1" t="n">
        <v>45351</v>
      </c>
      <c r="D924" t="inlineStr">
        <is>
          <t>UPPSALA LÄN</t>
        </is>
      </c>
      <c r="E924" t="inlineStr">
        <is>
          <t>ÖSTHAMMAR</t>
        </is>
      </c>
      <c r="G924" t="n">
        <v>3.2</v>
      </c>
      <c r="H924" t="n">
        <v>0</v>
      </c>
      <c r="I924" t="n">
        <v>0</v>
      </c>
      <c r="J924" t="n">
        <v>0</v>
      </c>
      <c r="K924" t="n">
        <v>0</v>
      </c>
      <c r="L924" t="n">
        <v>0</v>
      </c>
      <c r="M924" t="n">
        <v>0</v>
      </c>
      <c r="N924" t="n">
        <v>0</v>
      </c>
      <c r="O924" t="n">
        <v>0</v>
      </c>
      <c r="P924" t="n">
        <v>0</v>
      </c>
      <c r="Q924" t="n">
        <v>0</v>
      </c>
      <c r="R924" s="2" t="inlineStr"/>
    </row>
    <row r="925" ht="15" customHeight="1">
      <c r="A925" t="inlineStr">
        <is>
          <t>A 14338-2019</t>
        </is>
      </c>
      <c r="B925" s="1" t="n">
        <v>43535</v>
      </c>
      <c r="C925" s="1" t="n">
        <v>45351</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14255-2019</t>
        </is>
      </c>
      <c r="B926" s="1" t="n">
        <v>43535</v>
      </c>
      <c r="C926" s="1" t="n">
        <v>45351</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14407-2019</t>
        </is>
      </c>
      <c r="B927" s="1" t="n">
        <v>43536</v>
      </c>
      <c r="C927" s="1" t="n">
        <v>45351</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14742-2019</t>
        </is>
      </c>
      <c r="B928" s="1" t="n">
        <v>43536</v>
      </c>
      <c r="C928" s="1" t="n">
        <v>45351</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14377-2019</t>
        </is>
      </c>
      <c r="B929" s="1" t="n">
        <v>43536</v>
      </c>
      <c r="C929" s="1" t="n">
        <v>45351</v>
      </c>
      <c r="D929" t="inlineStr">
        <is>
          <t>UPPSALA LÄN</t>
        </is>
      </c>
      <c r="E929" t="inlineStr">
        <is>
          <t>TIERP</t>
        </is>
      </c>
      <c r="G929" t="n">
        <v>4</v>
      </c>
      <c r="H929" t="n">
        <v>0</v>
      </c>
      <c r="I929" t="n">
        <v>0</v>
      </c>
      <c r="J929" t="n">
        <v>0</v>
      </c>
      <c r="K929" t="n">
        <v>0</v>
      </c>
      <c r="L929" t="n">
        <v>0</v>
      </c>
      <c r="M929" t="n">
        <v>0</v>
      </c>
      <c r="N929" t="n">
        <v>0</v>
      </c>
      <c r="O929" t="n">
        <v>0</v>
      </c>
      <c r="P929" t="n">
        <v>0</v>
      </c>
      <c r="Q929" t="n">
        <v>0</v>
      </c>
      <c r="R929" s="2" t="inlineStr"/>
    </row>
    <row r="930" ht="15" customHeight="1">
      <c r="A930" t="inlineStr">
        <is>
          <t>A 14493-2019</t>
        </is>
      </c>
      <c r="B930" s="1" t="n">
        <v>43537</v>
      </c>
      <c r="C930" s="1" t="n">
        <v>45351</v>
      </c>
      <c r="D930" t="inlineStr">
        <is>
          <t>UPPSALA LÄN</t>
        </is>
      </c>
      <c r="E930" t="inlineStr">
        <is>
          <t>ÖSTHAMMAR</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14519-2019</t>
        </is>
      </c>
      <c r="B931" s="1" t="n">
        <v>43537</v>
      </c>
      <c r="C931" s="1" t="n">
        <v>45351</v>
      </c>
      <c r="D931" t="inlineStr">
        <is>
          <t>UPPSALA LÄN</t>
        </is>
      </c>
      <c r="E931" t="inlineStr">
        <is>
          <t>ÖSTHAMMAR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14963-2019</t>
        </is>
      </c>
      <c r="B932" s="1" t="n">
        <v>43538</v>
      </c>
      <c r="C932" s="1" t="n">
        <v>45351</v>
      </c>
      <c r="D932" t="inlineStr">
        <is>
          <t>UPPSALA LÄN</t>
        </is>
      </c>
      <c r="E932" t="inlineStr">
        <is>
          <t>UPPSALA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14635-2019</t>
        </is>
      </c>
      <c r="B933" s="1" t="n">
        <v>43538</v>
      </c>
      <c r="C933" s="1" t="n">
        <v>45351</v>
      </c>
      <c r="D933" t="inlineStr">
        <is>
          <t>UPPSALA LÄN</t>
        </is>
      </c>
      <c r="E933" t="inlineStr">
        <is>
          <t>KNIVSTA</t>
        </is>
      </c>
      <c r="G933" t="n">
        <v>0.5</v>
      </c>
      <c r="H933" t="n">
        <v>0</v>
      </c>
      <c r="I933" t="n">
        <v>0</v>
      </c>
      <c r="J933" t="n">
        <v>0</v>
      </c>
      <c r="K933" t="n">
        <v>0</v>
      </c>
      <c r="L933" t="n">
        <v>0</v>
      </c>
      <c r="M933" t="n">
        <v>0</v>
      </c>
      <c r="N933" t="n">
        <v>0</v>
      </c>
      <c r="O933" t="n">
        <v>0</v>
      </c>
      <c r="P933" t="n">
        <v>0</v>
      </c>
      <c r="Q933" t="n">
        <v>0</v>
      </c>
      <c r="R933" s="2" t="inlineStr"/>
    </row>
    <row r="934" ht="15" customHeight="1">
      <c r="A934" t="inlineStr">
        <is>
          <t>A 14869-2019</t>
        </is>
      </c>
      <c r="B934" s="1" t="n">
        <v>43538</v>
      </c>
      <c r="C934" s="1" t="n">
        <v>45351</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14892-2019</t>
        </is>
      </c>
      <c r="B935" s="1" t="n">
        <v>43538</v>
      </c>
      <c r="C935" s="1" t="n">
        <v>45351</v>
      </c>
      <c r="D935" t="inlineStr">
        <is>
          <t>UPPSALA LÄN</t>
        </is>
      </c>
      <c r="E935" t="inlineStr">
        <is>
          <t>HEBY</t>
        </is>
      </c>
      <c r="G935" t="n">
        <v>9.9</v>
      </c>
      <c r="H935" t="n">
        <v>0</v>
      </c>
      <c r="I935" t="n">
        <v>0</v>
      </c>
      <c r="J935" t="n">
        <v>0</v>
      </c>
      <c r="K935" t="n">
        <v>0</v>
      </c>
      <c r="L935" t="n">
        <v>0</v>
      </c>
      <c r="M935" t="n">
        <v>0</v>
      </c>
      <c r="N935" t="n">
        <v>0</v>
      </c>
      <c r="O935" t="n">
        <v>0</v>
      </c>
      <c r="P935" t="n">
        <v>0</v>
      </c>
      <c r="Q935" t="n">
        <v>0</v>
      </c>
      <c r="R935" s="2" t="inlineStr"/>
    </row>
    <row r="936" ht="15" customHeight="1">
      <c r="A936" t="inlineStr">
        <is>
          <t>A 14956-2019</t>
        </is>
      </c>
      <c r="B936" s="1" t="n">
        <v>43538</v>
      </c>
      <c r="C936" s="1" t="n">
        <v>45351</v>
      </c>
      <c r="D936" t="inlineStr">
        <is>
          <t>UPPSALA LÄN</t>
        </is>
      </c>
      <c r="E936" t="inlineStr">
        <is>
          <t>UPPSALA</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15114-2019</t>
        </is>
      </c>
      <c r="B937" s="1" t="n">
        <v>43539</v>
      </c>
      <c r="C937" s="1" t="n">
        <v>45351</v>
      </c>
      <c r="D937" t="inlineStr">
        <is>
          <t>UPPSALA LÄN</t>
        </is>
      </c>
      <c r="E937" t="inlineStr">
        <is>
          <t>HEBY</t>
        </is>
      </c>
      <c r="G937" t="n">
        <v>5.2</v>
      </c>
      <c r="H937" t="n">
        <v>0</v>
      </c>
      <c r="I937" t="n">
        <v>0</v>
      </c>
      <c r="J937" t="n">
        <v>0</v>
      </c>
      <c r="K937" t="n">
        <v>0</v>
      </c>
      <c r="L937" t="n">
        <v>0</v>
      </c>
      <c r="M937" t="n">
        <v>0</v>
      </c>
      <c r="N937" t="n">
        <v>0</v>
      </c>
      <c r="O937" t="n">
        <v>0</v>
      </c>
      <c r="P937" t="n">
        <v>0</v>
      </c>
      <c r="Q937" t="n">
        <v>0</v>
      </c>
      <c r="R937" s="2" t="inlineStr"/>
    </row>
    <row r="938" ht="15" customHeight="1">
      <c r="A938" t="inlineStr">
        <is>
          <t>A 14703-2019</t>
        </is>
      </c>
      <c r="B938" s="1" t="n">
        <v>43539</v>
      </c>
      <c r="C938" s="1" t="n">
        <v>45351</v>
      </c>
      <c r="D938" t="inlineStr">
        <is>
          <t>UPPSALA LÄN</t>
        </is>
      </c>
      <c r="E938" t="inlineStr">
        <is>
          <t>TIERP</t>
        </is>
      </c>
      <c r="G938" t="n">
        <v>1.8</v>
      </c>
      <c r="H938" t="n">
        <v>0</v>
      </c>
      <c r="I938" t="n">
        <v>0</v>
      </c>
      <c r="J938" t="n">
        <v>0</v>
      </c>
      <c r="K938" t="n">
        <v>0</v>
      </c>
      <c r="L938" t="n">
        <v>0</v>
      </c>
      <c r="M938" t="n">
        <v>0</v>
      </c>
      <c r="N938" t="n">
        <v>0</v>
      </c>
      <c r="O938" t="n">
        <v>0</v>
      </c>
      <c r="P938" t="n">
        <v>0</v>
      </c>
      <c r="Q938" t="n">
        <v>0</v>
      </c>
      <c r="R938" s="2" t="inlineStr"/>
    </row>
    <row r="939" ht="15" customHeight="1">
      <c r="A939" t="inlineStr">
        <is>
          <t>A 15468-2019</t>
        </is>
      </c>
      <c r="B939" s="1" t="n">
        <v>43542</v>
      </c>
      <c r="C939" s="1" t="n">
        <v>45351</v>
      </c>
      <c r="D939" t="inlineStr">
        <is>
          <t>UPPSALA LÄN</t>
        </is>
      </c>
      <c r="E939" t="inlineStr">
        <is>
          <t>KNIVSTA</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15980-2019</t>
        </is>
      </c>
      <c r="B940" s="1" t="n">
        <v>43544</v>
      </c>
      <c r="C940" s="1" t="n">
        <v>45351</v>
      </c>
      <c r="D940" t="inlineStr">
        <is>
          <t>UPPSALA LÄN</t>
        </is>
      </c>
      <c r="E940" t="inlineStr">
        <is>
          <t>ENKÖPING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15995-2019</t>
        </is>
      </c>
      <c r="B941" s="1" t="n">
        <v>43544</v>
      </c>
      <c r="C941" s="1" t="n">
        <v>45351</v>
      </c>
      <c r="D941" t="inlineStr">
        <is>
          <t>UPPSALA LÄN</t>
        </is>
      </c>
      <c r="E941" t="inlineStr">
        <is>
          <t>UPPSALA</t>
        </is>
      </c>
      <c r="G941" t="n">
        <v>16.5</v>
      </c>
      <c r="H941" t="n">
        <v>0</v>
      </c>
      <c r="I941" t="n">
        <v>0</v>
      </c>
      <c r="J941" t="n">
        <v>0</v>
      </c>
      <c r="K941" t="n">
        <v>0</v>
      </c>
      <c r="L941" t="n">
        <v>0</v>
      </c>
      <c r="M941" t="n">
        <v>0</v>
      </c>
      <c r="N941" t="n">
        <v>0</v>
      </c>
      <c r="O941" t="n">
        <v>0</v>
      </c>
      <c r="P941" t="n">
        <v>0</v>
      </c>
      <c r="Q941" t="n">
        <v>0</v>
      </c>
      <c r="R941" s="2" t="inlineStr"/>
    </row>
    <row r="942" ht="15" customHeight="1">
      <c r="A942" t="inlineStr">
        <is>
          <t>A 16240-2019</t>
        </is>
      </c>
      <c r="B942" s="1" t="n">
        <v>43545</v>
      </c>
      <c r="C942" s="1" t="n">
        <v>45351</v>
      </c>
      <c r="D942" t="inlineStr">
        <is>
          <t>UPPSALA LÄN</t>
        </is>
      </c>
      <c r="E942" t="inlineStr">
        <is>
          <t>ÖSTHAMMAR</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16239-2019</t>
        </is>
      </c>
      <c r="B943" s="1" t="n">
        <v>43545</v>
      </c>
      <c r="C943" s="1" t="n">
        <v>45351</v>
      </c>
      <c r="D943" t="inlineStr">
        <is>
          <t>UPPSALA LÄN</t>
        </is>
      </c>
      <c r="E943" t="inlineStr">
        <is>
          <t>ÖSTHAMMAR</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16736-2019</t>
        </is>
      </c>
      <c r="B944" s="1" t="n">
        <v>43549</v>
      </c>
      <c r="C944" s="1" t="n">
        <v>45351</v>
      </c>
      <c r="D944" t="inlineStr">
        <is>
          <t>UPPSALA LÄN</t>
        </is>
      </c>
      <c r="E944" t="inlineStr">
        <is>
          <t>KNIVSTA</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16911-2019</t>
        </is>
      </c>
      <c r="B945" s="1" t="n">
        <v>43550</v>
      </c>
      <c r="C945" s="1" t="n">
        <v>45351</v>
      </c>
      <c r="D945" t="inlineStr">
        <is>
          <t>UPPSALA LÄN</t>
        </is>
      </c>
      <c r="E945" t="inlineStr">
        <is>
          <t>ENKÖPING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16917-2019</t>
        </is>
      </c>
      <c r="B946" s="1" t="n">
        <v>43550</v>
      </c>
      <c r="C946" s="1" t="n">
        <v>45351</v>
      </c>
      <c r="D946" t="inlineStr">
        <is>
          <t>UPPSALA LÄN</t>
        </is>
      </c>
      <c r="E946" t="inlineStr">
        <is>
          <t>ENKÖPING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17027-2019</t>
        </is>
      </c>
      <c r="B947" s="1" t="n">
        <v>43550</v>
      </c>
      <c r="C947" s="1" t="n">
        <v>45351</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16887-2019</t>
        </is>
      </c>
      <c r="B948" s="1" t="n">
        <v>43550</v>
      </c>
      <c r="C948" s="1" t="n">
        <v>45351</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17124-2019</t>
        </is>
      </c>
      <c r="B949" s="1" t="n">
        <v>43551</v>
      </c>
      <c r="C949" s="1" t="n">
        <v>45351</v>
      </c>
      <c r="D949" t="inlineStr">
        <is>
          <t>UPPSALA LÄN</t>
        </is>
      </c>
      <c r="E949" t="inlineStr">
        <is>
          <t>HEBY</t>
        </is>
      </c>
      <c r="G949" t="n">
        <v>37.1</v>
      </c>
      <c r="H949" t="n">
        <v>0</v>
      </c>
      <c r="I949" t="n">
        <v>0</v>
      </c>
      <c r="J949" t="n">
        <v>0</v>
      </c>
      <c r="K949" t="n">
        <v>0</v>
      </c>
      <c r="L949" t="n">
        <v>0</v>
      </c>
      <c r="M949" t="n">
        <v>0</v>
      </c>
      <c r="N949" t="n">
        <v>0</v>
      </c>
      <c r="O949" t="n">
        <v>0</v>
      </c>
      <c r="P949" t="n">
        <v>0</v>
      </c>
      <c r="Q949" t="n">
        <v>0</v>
      </c>
      <c r="R949" s="2" t="inlineStr"/>
    </row>
    <row r="950" ht="15" customHeight="1">
      <c r="A950" t="inlineStr">
        <is>
          <t>A 17231-2019</t>
        </is>
      </c>
      <c r="B950" s="1" t="n">
        <v>43552</v>
      </c>
      <c r="C950" s="1" t="n">
        <v>45351</v>
      </c>
      <c r="D950" t="inlineStr">
        <is>
          <t>UPPSALA LÄN</t>
        </is>
      </c>
      <c r="E950" t="inlineStr">
        <is>
          <t>HEBY</t>
        </is>
      </c>
      <c r="G950" t="n">
        <v>3.4</v>
      </c>
      <c r="H950" t="n">
        <v>0</v>
      </c>
      <c r="I950" t="n">
        <v>0</v>
      </c>
      <c r="J950" t="n">
        <v>0</v>
      </c>
      <c r="K950" t="n">
        <v>0</v>
      </c>
      <c r="L950" t="n">
        <v>0</v>
      </c>
      <c r="M950" t="n">
        <v>0</v>
      </c>
      <c r="N950" t="n">
        <v>0</v>
      </c>
      <c r="O950" t="n">
        <v>0</v>
      </c>
      <c r="P950" t="n">
        <v>0</v>
      </c>
      <c r="Q950" t="n">
        <v>0</v>
      </c>
      <c r="R950" s="2" t="inlineStr"/>
    </row>
    <row r="951" ht="15" customHeight="1">
      <c r="A951" t="inlineStr">
        <is>
          <t>A 17351-2019</t>
        </is>
      </c>
      <c r="B951" s="1" t="n">
        <v>43552</v>
      </c>
      <c r="C951" s="1" t="n">
        <v>45351</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17534-2019</t>
        </is>
      </c>
      <c r="B952" s="1" t="n">
        <v>43553</v>
      </c>
      <c r="C952" s="1" t="n">
        <v>45351</v>
      </c>
      <c r="D952" t="inlineStr">
        <is>
          <t>UPPSALA LÄN</t>
        </is>
      </c>
      <c r="E952" t="inlineStr">
        <is>
          <t>UPPSALA</t>
        </is>
      </c>
      <c r="G952" t="n">
        <v>3.7</v>
      </c>
      <c r="H952" t="n">
        <v>0</v>
      </c>
      <c r="I952" t="n">
        <v>0</v>
      </c>
      <c r="J952" t="n">
        <v>0</v>
      </c>
      <c r="K952" t="n">
        <v>0</v>
      </c>
      <c r="L952" t="n">
        <v>0</v>
      </c>
      <c r="M952" t="n">
        <v>0</v>
      </c>
      <c r="N952" t="n">
        <v>0</v>
      </c>
      <c r="O952" t="n">
        <v>0</v>
      </c>
      <c r="P952" t="n">
        <v>0</v>
      </c>
      <c r="Q952" t="n">
        <v>0</v>
      </c>
      <c r="R952" s="2" t="inlineStr"/>
    </row>
    <row r="953" ht="15" customHeight="1">
      <c r="A953" t="inlineStr">
        <is>
          <t>A 17438-2019</t>
        </is>
      </c>
      <c r="B953" s="1" t="n">
        <v>43553</v>
      </c>
      <c r="C953" s="1" t="n">
        <v>45351</v>
      </c>
      <c r="D953" t="inlineStr">
        <is>
          <t>UPPSALA LÄN</t>
        </is>
      </c>
      <c r="E953" t="inlineStr">
        <is>
          <t>UPPSALA</t>
        </is>
      </c>
      <c r="F953" t="inlineStr">
        <is>
          <t>Allmännings- och besparingsskogar</t>
        </is>
      </c>
      <c r="G953" t="n">
        <v>3.6</v>
      </c>
      <c r="H953" t="n">
        <v>0</v>
      </c>
      <c r="I953" t="n">
        <v>0</v>
      </c>
      <c r="J953" t="n">
        <v>0</v>
      </c>
      <c r="K953" t="n">
        <v>0</v>
      </c>
      <c r="L953" t="n">
        <v>0</v>
      </c>
      <c r="M953" t="n">
        <v>0</v>
      </c>
      <c r="N953" t="n">
        <v>0</v>
      </c>
      <c r="O953" t="n">
        <v>0</v>
      </c>
      <c r="P953" t="n">
        <v>0</v>
      </c>
      <c r="Q953" t="n">
        <v>0</v>
      </c>
      <c r="R953" s="2" t="inlineStr"/>
    </row>
    <row r="954" ht="15" customHeight="1">
      <c r="A954" t="inlineStr">
        <is>
          <t>A 17828-2019</t>
        </is>
      </c>
      <c r="B954" s="1" t="n">
        <v>43556</v>
      </c>
      <c r="C954" s="1" t="n">
        <v>45351</v>
      </c>
      <c r="D954" t="inlineStr">
        <is>
          <t>UPPSALA LÄN</t>
        </is>
      </c>
      <c r="E954" t="inlineStr">
        <is>
          <t>UPPSALA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17706-2019</t>
        </is>
      </c>
      <c r="B955" s="1" t="n">
        <v>43556</v>
      </c>
      <c r="C955" s="1" t="n">
        <v>45351</v>
      </c>
      <c r="D955" t="inlineStr">
        <is>
          <t>UPPSALA LÄN</t>
        </is>
      </c>
      <c r="E955" t="inlineStr">
        <is>
          <t>HEBY</t>
        </is>
      </c>
      <c r="G955" t="n">
        <v>2.4</v>
      </c>
      <c r="H955" t="n">
        <v>0</v>
      </c>
      <c r="I955" t="n">
        <v>0</v>
      </c>
      <c r="J955" t="n">
        <v>0</v>
      </c>
      <c r="K955" t="n">
        <v>0</v>
      </c>
      <c r="L955" t="n">
        <v>0</v>
      </c>
      <c r="M955" t="n">
        <v>0</v>
      </c>
      <c r="N955" t="n">
        <v>0</v>
      </c>
      <c r="O955" t="n">
        <v>0</v>
      </c>
      <c r="P955" t="n">
        <v>0</v>
      </c>
      <c r="Q955" t="n">
        <v>0</v>
      </c>
      <c r="R955" s="2" t="inlineStr"/>
    </row>
    <row r="956" ht="15" customHeight="1">
      <c r="A956" t="inlineStr">
        <is>
          <t>A 18148-2019</t>
        </is>
      </c>
      <c r="B956" s="1" t="n">
        <v>43558</v>
      </c>
      <c r="C956" s="1" t="n">
        <v>45351</v>
      </c>
      <c r="D956" t="inlineStr">
        <is>
          <t>UPPSALA LÄN</t>
        </is>
      </c>
      <c r="E956" t="inlineStr">
        <is>
          <t>ENKÖPING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18264-2019</t>
        </is>
      </c>
      <c r="B957" s="1" t="n">
        <v>43558</v>
      </c>
      <c r="C957" s="1" t="n">
        <v>45351</v>
      </c>
      <c r="D957" t="inlineStr">
        <is>
          <t>UPPSALA LÄN</t>
        </is>
      </c>
      <c r="E957" t="inlineStr">
        <is>
          <t>HÅBO</t>
        </is>
      </c>
      <c r="G957" t="n">
        <v>5.6</v>
      </c>
      <c r="H957" t="n">
        <v>0</v>
      </c>
      <c r="I957" t="n">
        <v>0</v>
      </c>
      <c r="J957" t="n">
        <v>0</v>
      </c>
      <c r="K957" t="n">
        <v>0</v>
      </c>
      <c r="L957" t="n">
        <v>0</v>
      </c>
      <c r="M957" t="n">
        <v>0</v>
      </c>
      <c r="N957" t="n">
        <v>0</v>
      </c>
      <c r="O957" t="n">
        <v>0</v>
      </c>
      <c r="P957" t="n">
        <v>0</v>
      </c>
      <c r="Q957" t="n">
        <v>0</v>
      </c>
      <c r="R957" s="2" t="inlineStr"/>
    </row>
    <row r="958" ht="15" customHeight="1">
      <c r="A958" t="inlineStr">
        <is>
          <t>A 18323-2019</t>
        </is>
      </c>
      <c r="B958" s="1" t="n">
        <v>43559</v>
      </c>
      <c r="C958" s="1" t="n">
        <v>45351</v>
      </c>
      <c r="D958" t="inlineStr">
        <is>
          <t>UPPSALA LÄN</t>
        </is>
      </c>
      <c r="E958" t="inlineStr">
        <is>
          <t>HEBY</t>
        </is>
      </c>
      <c r="G958" t="n">
        <v>3.3</v>
      </c>
      <c r="H958" t="n">
        <v>0</v>
      </c>
      <c r="I958" t="n">
        <v>0</v>
      </c>
      <c r="J958" t="n">
        <v>0</v>
      </c>
      <c r="K958" t="n">
        <v>0</v>
      </c>
      <c r="L958" t="n">
        <v>0</v>
      </c>
      <c r="M958" t="n">
        <v>0</v>
      </c>
      <c r="N958" t="n">
        <v>0</v>
      </c>
      <c r="O958" t="n">
        <v>0</v>
      </c>
      <c r="P958" t="n">
        <v>0</v>
      </c>
      <c r="Q958" t="n">
        <v>0</v>
      </c>
      <c r="R958" s="2" t="inlineStr"/>
    </row>
    <row r="959" ht="15" customHeight="1">
      <c r="A959" t="inlineStr">
        <is>
          <t>A 18446-2019</t>
        </is>
      </c>
      <c r="B959" s="1" t="n">
        <v>43559</v>
      </c>
      <c r="C959" s="1" t="n">
        <v>45351</v>
      </c>
      <c r="D959" t="inlineStr">
        <is>
          <t>UPPSALA LÄN</t>
        </is>
      </c>
      <c r="E959" t="inlineStr">
        <is>
          <t>UPPSALA</t>
        </is>
      </c>
      <c r="G959" t="n">
        <v>9.1</v>
      </c>
      <c r="H959" t="n">
        <v>0</v>
      </c>
      <c r="I959" t="n">
        <v>0</v>
      </c>
      <c r="J959" t="n">
        <v>0</v>
      </c>
      <c r="K959" t="n">
        <v>0</v>
      </c>
      <c r="L959" t="n">
        <v>0</v>
      </c>
      <c r="M959" t="n">
        <v>0</v>
      </c>
      <c r="N959" t="n">
        <v>0</v>
      </c>
      <c r="O959" t="n">
        <v>0</v>
      </c>
      <c r="P959" t="n">
        <v>0</v>
      </c>
      <c r="Q959" t="n">
        <v>0</v>
      </c>
      <c r="R959" s="2" t="inlineStr"/>
    </row>
    <row r="960" ht="15" customHeight="1">
      <c r="A960" t="inlineStr">
        <is>
          <t>A 18466-2019</t>
        </is>
      </c>
      <c r="B960" s="1" t="n">
        <v>43559</v>
      </c>
      <c r="C960" s="1" t="n">
        <v>45351</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18506-2019</t>
        </is>
      </c>
      <c r="B961" s="1" t="n">
        <v>43559</v>
      </c>
      <c r="C961" s="1" t="n">
        <v>45351</v>
      </c>
      <c r="D961" t="inlineStr">
        <is>
          <t>UPPSALA LÄN</t>
        </is>
      </c>
      <c r="E961" t="inlineStr">
        <is>
          <t>KNIVSTA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18503-2019</t>
        </is>
      </c>
      <c r="B962" s="1" t="n">
        <v>43559</v>
      </c>
      <c r="C962" s="1" t="n">
        <v>45351</v>
      </c>
      <c r="D962" t="inlineStr">
        <is>
          <t>UPPSALA LÄN</t>
        </is>
      </c>
      <c r="E962" t="inlineStr">
        <is>
          <t>KNIVSTA</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18554-2019</t>
        </is>
      </c>
      <c r="B963" s="1" t="n">
        <v>43559</v>
      </c>
      <c r="C963" s="1" t="n">
        <v>45351</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18699-2019</t>
        </is>
      </c>
      <c r="B964" s="1" t="n">
        <v>43560</v>
      </c>
      <c r="C964" s="1" t="n">
        <v>45351</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18716-2019</t>
        </is>
      </c>
      <c r="B965" s="1" t="n">
        <v>43560</v>
      </c>
      <c r="C965" s="1" t="n">
        <v>45351</v>
      </c>
      <c r="D965" t="inlineStr">
        <is>
          <t>UPPSALA LÄN</t>
        </is>
      </c>
      <c r="E965" t="inlineStr">
        <is>
          <t>HEBY</t>
        </is>
      </c>
      <c r="G965" t="n">
        <v>4.7</v>
      </c>
      <c r="H965" t="n">
        <v>0</v>
      </c>
      <c r="I965" t="n">
        <v>0</v>
      </c>
      <c r="J965" t="n">
        <v>0</v>
      </c>
      <c r="K965" t="n">
        <v>0</v>
      </c>
      <c r="L965" t="n">
        <v>0</v>
      </c>
      <c r="M965" t="n">
        <v>0</v>
      </c>
      <c r="N965" t="n">
        <v>0</v>
      </c>
      <c r="O965" t="n">
        <v>0</v>
      </c>
      <c r="P965" t="n">
        <v>0</v>
      </c>
      <c r="Q965" t="n">
        <v>0</v>
      </c>
      <c r="R965" s="2" t="inlineStr"/>
    </row>
    <row r="966" ht="15" customHeight="1">
      <c r="A966" t="inlineStr">
        <is>
          <t>A 18810-2019</t>
        </is>
      </c>
      <c r="B966" s="1" t="n">
        <v>43560</v>
      </c>
      <c r="C966" s="1" t="n">
        <v>45351</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18596-2019</t>
        </is>
      </c>
      <c r="B967" s="1" t="n">
        <v>43560</v>
      </c>
      <c r="C967" s="1" t="n">
        <v>45351</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18781-2019</t>
        </is>
      </c>
      <c r="B968" s="1" t="n">
        <v>43561</v>
      </c>
      <c r="C968" s="1" t="n">
        <v>45351</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18792-2019</t>
        </is>
      </c>
      <c r="B969" s="1" t="n">
        <v>43562</v>
      </c>
      <c r="C969" s="1" t="n">
        <v>45351</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18800-2019</t>
        </is>
      </c>
      <c r="B970" s="1" t="n">
        <v>43562</v>
      </c>
      <c r="C970" s="1" t="n">
        <v>45351</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18799-2019</t>
        </is>
      </c>
      <c r="B971" s="1" t="n">
        <v>43562</v>
      </c>
      <c r="C971" s="1" t="n">
        <v>45351</v>
      </c>
      <c r="D971" t="inlineStr">
        <is>
          <t>UPPSALA LÄN</t>
        </is>
      </c>
      <c r="E971" t="inlineStr">
        <is>
          <t>HEBY</t>
        </is>
      </c>
      <c r="G971" t="n">
        <v>5.8</v>
      </c>
      <c r="H971" t="n">
        <v>0</v>
      </c>
      <c r="I971" t="n">
        <v>0</v>
      </c>
      <c r="J971" t="n">
        <v>0</v>
      </c>
      <c r="K971" t="n">
        <v>0</v>
      </c>
      <c r="L971" t="n">
        <v>0</v>
      </c>
      <c r="M971" t="n">
        <v>0</v>
      </c>
      <c r="N971" t="n">
        <v>0</v>
      </c>
      <c r="O971" t="n">
        <v>0</v>
      </c>
      <c r="P971" t="n">
        <v>0</v>
      </c>
      <c r="Q971" t="n">
        <v>0</v>
      </c>
      <c r="R971" s="2" t="inlineStr"/>
    </row>
    <row r="972" ht="15" customHeight="1">
      <c r="A972" t="inlineStr">
        <is>
          <t>A 18997-2019</t>
        </is>
      </c>
      <c r="B972" s="1" t="n">
        <v>43563</v>
      </c>
      <c r="C972" s="1" t="n">
        <v>45351</v>
      </c>
      <c r="D972" t="inlineStr">
        <is>
          <t>UPPSALA LÄN</t>
        </is>
      </c>
      <c r="E972" t="inlineStr">
        <is>
          <t>HEBY</t>
        </is>
      </c>
      <c r="G972" t="n">
        <v>2.6</v>
      </c>
      <c r="H972" t="n">
        <v>0</v>
      </c>
      <c r="I972" t="n">
        <v>0</v>
      </c>
      <c r="J972" t="n">
        <v>0</v>
      </c>
      <c r="K972" t="n">
        <v>0</v>
      </c>
      <c r="L972" t="n">
        <v>0</v>
      </c>
      <c r="M972" t="n">
        <v>0</v>
      </c>
      <c r="N972" t="n">
        <v>0</v>
      </c>
      <c r="O972" t="n">
        <v>0</v>
      </c>
      <c r="P972" t="n">
        <v>0</v>
      </c>
      <c r="Q972" t="n">
        <v>0</v>
      </c>
      <c r="R972" s="2" t="inlineStr"/>
    </row>
    <row r="973" ht="15" customHeight="1">
      <c r="A973" t="inlineStr">
        <is>
          <t>A 19512-2019</t>
        </is>
      </c>
      <c r="B973" s="1" t="n">
        <v>43565</v>
      </c>
      <c r="C973" s="1" t="n">
        <v>45351</v>
      </c>
      <c r="D973" t="inlineStr">
        <is>
          <t>UPPSALA LÄN</t>
        </is>
      </c>
      <c r="E973" t="inlineStr">
        <is>
          <t>KNIVSTA</t>
        </is>
      </c>
      <c r="G973" t="n">
        <v>5.6</v>
      </c>
      <c r="H973" t="n">
        <v>0</v>
      </c>
      <c r="I973" t="n">
        <v>0</v>
      </c>
      <c r="J973" t="n">
        <v>0</v>
      </c>
      <c r="K973" t="n">
        <v>0</v>
      </c>
      <c r="L973" t="n">
        <v>0</v>
      </c>
      <c r="M973" t="n">
        <v>0</v>
      </c>
      <c r="N973" t="n">
        <v>0</v>
      </c>
      <c r="O973" t="n">
        <v>0</v>
      </c>
      <c r="P973" t="n">
        <v>0</v>
      </c>
      <c r="Q973" t="n">
        <v>0</v>
      </c>
      <c r="R973" s="2" t="inlineStr"/>
    </row>
    <row r="974" ht="15" customHeight="1">
      <c r="A974" t="inlineStr">
        <is>
          <t>A 19791-2019</t>
        </is>
      </c>
      <c r="B974" s="1" t="n">
        <v>43567</v>
      </c>
      <c r="C974" s="1" t="n">
        <v>45351</v>
      </c>
      <c r="D974" t="inlineStr">
        <is>
          <t>UPPSALA LÄN</t>
        </is>
      </c>
      <c r="E974" t="inlineStr">
        <is>
          <t>TIERP</t>
        </is>
      </c>
      <c r="G974" t="n">
        <v>6.2</v>
      </c>
      <c r="H974" t="n">
        <v>0</v>
      </c>
      <c r="I974" t="n">
        <v>0</v>
      </c>
      <c r="J974" t="n">
        <v>0</v>
      </c>
      <c r="K974" t="n">
        <v>0</v>
      </c>
      <c r="L974" t="n">
        <v>0</v>
      </c>
      <c r="M974" t="n">
        <v>0</v>
      </c>
      <c r="N974" t="n">
        <v>0</v>
      </c>
      <c r="O974" t="n">
        <v>0</v>
      </c>
      <c r="P974" t="n">
        <v>0</v>
      </c>
      <c r="Q974" t="n">
        <v>0</v>
      </c>
      <c r="R974" s="2" t="inlineStr"/>
    </row>
    <row r="975" ht="15" customHeight="1">
      <c r="A975" t="inlineStr">
        <is>
          <t>A 19779-2019</t>
        </is>
      </c>
      <c r="B975" s="1" t="n">
        <v>43567</v>
      </c>
      <c r="C975" s="1" t="n">
        <v>45351</v>
      </c>
      <c r="D975" t="inlineStr">
        <is>
          <t>UPPSALA LÄN</t>
        </is>
      </c>
      <c r="E975" t="inlineStr">
        <is>
          <t>HEBY</t>
        </is>
      </c>
      <c r="G975" t="n">
        <v>3.3</v>
      </c>
      <c r="H975" t="n">
        <v>0</v>
      </c>
      <c r="I975" t="n">
        <v>0</v>
      </c>
      <c r="J975" t="n">
        <v>0</v>
      </c>
      <c r="K975" t="n">
        <v>0</v>
      </c>
      <c r="L975" t="n">
        <v>0</v>
      </c>
      <c r="M975" t="n">
        <v>0</v>
      </c>
      <c r="N975" t="n">
        <v>0</v>
      </c>
      <c r="O975" t="n">
        <v>0</v>
      </c>
      <c r="P975" t="n">
        <v>0</v>
      </c>
      <c r="Q975" t="n">
        <v>0</v>
      </c>
      <c r="R975" s="2" t="inlineStr"/>
    </row>
    <row r="976" ht="15" customHeight="1">
      <c r="A976" t="inlineStr">
        <is>
          <t>A 19969-2019</t>
        </is>
      </c>
      <c r="B976" s="1" t="n">
        <v>43570</v>
      </c>
      <c r="C976" s="1" t="n">
        <v>45351</v>
      </c>
      <c r="D976" t="inlineStr">
        <is>
          <t>UPPSALA LÄN</t>
        </is>
      </c>
      <c r="E976" t="inlineStr">
        <is>
          <t>ÄLVKARLEBY</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20157-2019</t>
        </is>
      </c>
      <c r="B977" s="1" t="n">
        <v>43570</v>
      </c>
      <c r="C977" s="1" t="n">
        <v>45351</v>
      </c>
      <c r="D977" t="inlineStr">
        <is>
          <t>UPPSALA LÄN</t>
        </is>
      </c>
      <c r="E977" t="inlineStr">
        <is>
          <t>HEBY</t>
        </is>
      </c>
      <c r="G977" t="n">
        <v>4.5</v>
      </c>
      <c r="H977" t="n">
        <v>0</v>
      </c>
      <c r="I977" t="n">
        <v>0</v>
      </c>
      <c r="J977" t="n">
        <v>0</v>
      </c>
      <c r="K977" t="n">
        <v>0</v>
      </c>
      <c r="L977" t="n">
        <v>0</v>
      </c>
      <c r="M977" t="n">
        <v>0</v>
      </c>
      <c r="N977" t="n">
        <v>0</v>
      </c>
      <c r="O977" t="n">
        <v>0</v>
      </c>
      <c r="P977" t="n">
        <v>0</v>
      </c>
      <c r="Q977" t="n">
        <v>0</v>
      </c>
      <c r="R977" s="2" t="inlineStr"/>
    </row>
    <row r="978" ht="15" customHeight="1">
      <c r="A978" t="inlineStr">
        <is>
          <t>A 20011-2019</t>
        </is>
      </c>
      <c r="B978" s="1" t="n">
        <v>43570</v>
      </c>
      <c r="C978" s="1" t="n">
        <v>45351</v>
      </c>
      <c r="D978" t="inlineStr">
        <is>
          <t>UPPSALA LÄN</t>
        </is>
      </c>
      <c r="E978" t="inlineStr">
        <is>
          <t>UPPSALA</t>
        </is>
      </c>
      <c r="G978" t="n">
        <v>6.3</v>
      </c>
      <c r="H978" t="n">
        <v>0</v>
      </c>
      <c r="I978" t="n">
        <v>0</v>
      </c>
      <c r="J978" t="n">
        <v>0</v>
      </c>
      <c r="K978" t="n">
        <v>0</v>
      </c>
      <c r="L978" t="n">
        <v>0</v>
      </c>
      <c r="M978" t="n">
        <v>0</v>
      </c>
      <c r="N978" t="n">
        <v>0</v>
      </c>
      <c r="O978" t="n">
        <v>0</v>
      </c>
      <c r="P978" t="n">
        <v>0</v>
      </c>
      <c r="Q978" t="n">
        <v>0</v>
      </c>
      <c r="R978" s="2" t="inlineStr"/>
    </row>
    <row r="979" ht="15" customHeight="1">
      <c r="A979" t="inlineStr">
        <is>
          <t>A 19989-2019</t>
        </is>
      </c>
      <c r="B979" s="1" t="n">
        <v>43570</v>
      </c>
      <c r="C979" s="1" t="n">
        <v>45351</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20683-2019</t>
        </is>
      </c>
      <c r="B980" s="1" t="n">
        <v>43573</v>
      </c>
      <c r="C980" s="1" t="n">
        <v>45351</v>
      </c>
      <c r="D980" t="inlineStr">
        <is>
          <t>UPPSALA LÄN</t>
        </is>
      </c>
      <c r="E980" t="inlineStr">
        <is>
          <t>ÖSTHAMMAR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21087-2019</t>
        </is>
      </c>
      <c r="B981" s="1" t="n">
        <v>43578</v>
      </c>
      <c r="C981" s="1" t="n">
        <v>45351</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21082-2019</t>
        </is>
      </c>
      <c r="B982" s="1" t="n">
        <v>43578</v>
      </c>
      <c r="C982" s="1" t="n">
        <v>45351</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21566-2019</t>
        </is>
      </c>
      <c r="B983" s="1" t="n">
        <v>43580</v>
      </c>
      <c r="C983" s="1" t="n">
        <v>45351</v>
      </c>
      <c r="D983" t="inlineStr">
        <is>
          <t>UPPSALA LÄN</t>
        </is>
      </c>
      <c r="E983" t="inlineStr">
        <is>
          <t>HEBY</t>
        </is>
      </c>
      <c r="G983" t="n">
        <v>2.1</v>
      </c>
      <c r="H983" t="n">
        <v>0</v>
      </c>
      <c r="I983" t="n">
        <v>0</v>
      </c>
      <c r="J983" t="n">
        <v>0</v>
      </c>
      <c r="K983" t="n">
        <v>0</v>
      </c>
      <c r="L983" t="n">
        <v>0</v>
      </c>
      <c r="M983" t="n">
        <v>0</v>
      </c>
      <c r="N983" t="n">
        <v>0</v>
      </c>
      <c r="O983" t="n">
        <v>0</v>
      </c>
      <c r="P983" t="n">
        <v>0</v>
      </c>
      <c r="Q983" t="n">
        <v>0</v>
      </c>
      <c r="R983" s="2" t="inlineStr"/>
    </row>
    <row r="984" ht="15" customHeight="1">
      <c r="A984" t="inlineStr">
        <is>
          <t>A 21565-2019</t>
        </is>
      </c>
      <c r="B984" s="1" t="n">
        <v>43580</v>
      </c>
      <c r="C984" s="1" t="n">
        <v>45351</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21471-2019</t>
        </is>
      </c>
      <c r="B985" s="1" t="n">
        <v>43580</v>
      </c>
      <c r="C985" s="1" t="n">
        <v>45351</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21760-2019</t>
        </is>
      </c>
      <c r="B986" s="1" t="n">
        <v>43581</v>
      </c>
      <c r="C986" s="1" t="n">
        <v>45351</v>
      </c>
      <c r="D986" t="inlineStr">
        <is>
          <t>UPPSALA LÄN</t>
        </is>
      </c>
      <c r="E986" t="inlineStr">
        <is>
          <t>HEBY</t>
        </is>
      </c>
      <c r="F986" t="inlineStr">
        <is>
          <t>Övriga Aktiebolag</t>
        </is>
      </c>
      <c r="G986" t="n">
        <v>12.3</v>
      </c>
      <c r="H986" t="n">
        <v>0</v>
      </c>
      <c r="I986" t="n">
        <v>0</v>
      </c>
      <c r="J986" t="n">
        <v>0</v>
      </c>
      <c r="K986" t="n">
        <v>0</v>
      </c>
      <c r="L986" t="n">
        <v>0</v>
      </c>
      <c r="M986" t="n">
        <v>0</v>
      </c>
      <c r="N986" t="n">
        <v>0</v>
      </c>
      <c r="O986" t="n">
        <v>0</v>
      </c>
      <c r="P986" t="n">
        <v>0</v>
      </c>
      <c r="Q986" t="n">
        <v>0</v>
      </c>
      <c r="R986" s="2" t="inlineStr"/>
    </row>
    <row r="987" ht="15" customHeight="1">
      <c r="A987" t="inlineStr">
        <is>
          <t>A 21862-2019</t>
        </is>
      </c>
      <c r="B987" s="1" t="n">
        <v>43583</v>
      </c>
      <c r="C987" s="1" t="n">
        <v>45351</v>
      </c>
      <c r="D987" t="inlineStr">
        <is>
          <t>UPPSALA LÄN</t>
        </is>
      </c>
      <c r="E987" t="inlineStr">
        <is>
          <t>UPPSALA</t>
        </is>
      </c>
      <c r="G987" t="n">
        <v>9.5</v>
      </c>
      <c r="H987" t="n">
        <v>0</v>
      </c>
      <c r="I987" t="n">
        <v>0</v>
      </c>
      <c r="J987" t="n">
        <v>0</v>
      </c>
      <c r="K987" t="n">
        <v>0</v>
      </c>
      <c r="L987" t="n">
        <v>0</v>
      </c>
      <c r="M987" t="n">
        <v>0</v>
      </c>
      <c r="N987" t="n">
        <v>0</v>
      </c>
      <c r="O987" t="n">
        <v>0</v>
      </c>
      <c r="P987" t="n">
        <v>0</v>
      </c>
      <c r="Q987" t="n">
        <v>0</v>
      </c>
      <c r="R987" s="2" t="inlineStr"/>
    </row>
    <row r="988" ht="15" customHeight="1">
      <c r="A988" t="inlineStr">
        <is>
          <t>A 22153-2019</t>
        </is>
      </c>
      <c r="B988" s="1" t="n">
        <v>43585</v>
      </c>
      <c r="C988" s="1" t="n">
        <v>45351</v>
      </c>
      <c r="D988" t="inlineStr">
        <is>
          <t>UPPSALA LÄN</t>
        </is>
      </c>
      <c r="E988" t="inlineStr">
        <is>
          <t>UPPSALA</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22750-2019</t>
        </is>
      </c>
      <c r="B989" s="1" t="n">
        <v>43588</v>
      </c>
      <c r="C989" s="1" t="n">
        <v>45351</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22800-2019</t>
        </is>
      </c>
      <c r="B990" s="1" t="n">
        <v>43590</v>
      </c>
      <c r="C990" s="1" t="n">
        <v>45351</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c r="U990">
        <f>HYPERLINK("https://klasma.github.io/Logging_0382/knärot/A 22800-2019 karta knärot.png", "A 22800-2019")</f>
        <v/>
      </c>
      <c r="V990">
        <f>HYPERLINK("https://klasma.github.io/Logging_0382/klagomål/A 22800-2019 FSC-klagomål.docx", "A 22800-2019")</f>
        <v/>
      </c>
      <c r="W990">
        <f>HYPERLINK("https://klasma.github.io/Logging_0382/klagomålsmail/A 22800-2019 FSC-klagomål mail.docx", "A 22800-2019")</f>
        <v/>
      </c>
      <c r="X990">
        <f>HYPERLINK("https://klasma.github.io/Logging_0382/tillsyn/A 22800-2019 tillsynsbegäran.docx", "A 22800-2019")</f>
        <v/>
      </c>
      <c r="Y990">
        <f>HYPERLINK("https://klasma.github.io/Logging_0382/tillsynsmail/A 22800-2019 tillsynsbegäran mail.docx", "A 22800-2019")</f>
        <v/>
      </c>
    </row>
    <row r="991" ht="15" customHeight="1">
      <c r="A991" t="inlineStr">
        <is>
          <t>A 22801-2019</t>
        </is>
      </c>
      <c r="B991" s="1" t="n">
        <v>43590</v>
      </c>
      <c r="C991" s="1" t="n">
        <v>45351</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23042-2019</t>
        </is>
      </c>
      <c r="B992" s="1" t="n">
        <v>43591</v>
      </c>
      <c r="C992" s="1" t="n">
        <v>45351</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23051-2019</t>
        </is>
      </c>
      <c r="B993" s="1" t="n">
        <v>43591</v>
      </c>
      <c r="C993" s="1" t="n">
        <v>45351</v>
      </c>
      <c r="D993" t="inlineStr">
        <is>
          <t>UPPSALA LÄN</t>
        </is>
      </c>
      <c r="E993" t="inlineStr">
        <is>
          <t>KNIVSTA</t>
        </is>
      </c>
      <c r="G993" t="n">
        <v>1.5</v>
      </c>
      <c r="H993" t="n">
        <v>0</v>
      </c>
      <c r="I993" t="n">
        <v>0</v>
      </c>
      <c r="J993" t="n">
        <v>0</v>
      </c>
      <c r="K993" t="n">
        <v>0</v>
      </c>
      <c r="L993" t="n">
        <v>0</v>
      </c>
      <c r="M993" t="n">
        <v>0</v>
      </c>
      <c r="N993" t="n">
        <v>0</v>
      </c>
      <c r="O993" t="n">
        <v>0</v>
      </c>
      <c r="P993" t="n">
        <v>0</v>
      </c>
      <c r="Q993" t="n">
        <v>0</v>
      </c>
      <c r="R993" s="2" t="inlineStr"/>
    </row>
    <row r="994" ht="15" customHeight="1">
      <c r="A994" t="inlineStr">
        <is>
          <t>A 23008-2019</t>
        </is>
      </c>
      <c r="B994" s="1" t="n">
        <v>43591</v>
      </c>
      <c r="C994" s="1" t="n">
        <v>45351</v>
      </c>
      <c r="D994" t="inlineStr">
        <is>
          <t>UPPSALA LÄN</t>
        </is>
      </c>
      <c r="E994" t="inlineStr">
        <is>
          <t>ÖSTHAMMAR</t>
        </is>
      </c>
      <c r="G994" t="n">
        <v>4.5</v>
      </c>
      <c r="H994" t="n">
        <v>0</v>
      </c>
      <c r="I994" t="n">
        <v>0</v>
      </c>
      <c r="J994" t="n">
        <v>0</v>
      </c>
      <c r="K994" t="n">
        <v>0</v>
      </c>
      <c r="L994" t="n">
        <v>0</v>
      </c>
      <c r="M994" t="n">
        <v>0</v>
      </c>
      <c r="N994" t="n">
        <v>0</v>
      </c>
      <c r="O994" t="n">
        <v>0</v>
      </c>
      <c r="P994" t="n">
        <v>0</v>
      </c>
      <c r="Q994" t="n">
        <v>0</v>
      </c>
      <c r="R994" s="2" t="inlineStr"/>
    </row>
    <row r="995" ht="15" customHeight="1">
      <c r="A995" t="inlineStr">
        <is>
          <t>A 23262-2019</t>
        </is>
      </c>
      <c r="B995" s="1" t="n">
        <v>43592</v>
      </c>
      <c r="C995" s="1" t="n">
        <v>45351</v>
      </c>
      <c r="D995" t="inlineStr">
        <is>
          <t>UPPSALA LÄN</t>
        </is>
      </c>
      <c r="E995" t="inlineStr">
        <is>
          <t>UPPSALA</t>
        </is>
      </c>
      <c r="F995" t="inlineStr">
        <is>
          <t>Kyrkan</t>
        </is>
      </c>
      <c r="G995" t="n">
        <v>7.6</v>
      </c>
      <c r="H995" t="n">
        <v>0</v>
      </c>
      <c r="I995" t="n">
        <v>0</v>
      </c>
      <c r="J995" t="n">
        <v>0</v>
      </c>
      <c r="K995" t="n">
        <v>0</v>
      </c>
      <c r="L995" t="n">
        <v>0</v>
      </c>
      <c r="M995" t="n">
        <v>0</v>
      </c>
      <c r="N995" t="n">
        <v>0</v>
      </c>
      <c r="O995" t="n">
        <v>0</v>
      </c>
      <c r="P995" t="n">
        <v>0</v>
      </c>
      <c r="Q995" t="n">
        <v>0</v>
      </c>
      <c r="R995" s="2" t="inlineStr"/>
    </row>
    <row r="996" ht="15" customHeight="1">
      <c r="A996" t="inlineStr">
        <is>
          <t>A 23328-2019</t>
        </is>
      </c>
      <c r="B996" s="1" t="n">
        <v>43593</v>
      </c>
      <c r="C996" s="1" t="n">
        <v>45351</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24105-2019</t>
        </is>
      </c>
      <c r="B997" s="1" t="n">
        <v>43598</v>
      </c>
      <c r="C997" s="1" t="n">
        <v>45351</v>
      </c>
      <c r="D997" t="inlineStr">
        <is>
          <t>UPPSALA LÄN</t>
        </is>
      </c>
      <c r="E997" t="inlineStr">
        <is>
          <t>ÄLVKARLEBY</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24039-2019</t>
        </is>
      </c>
      <c r="B998" s="1" t="n">
        <v>43598</v>
      </c>
      <c r="C998" s="1" t="n">
        <v>45351</v>
      </c>
      <c r="D998" t="inlineStr">
        <is>
          <t>UPPSALA LÄN</t>
        </is>
      </c>
      <c r="E998" t="inlineStr">
        <is>
          <t>HEBY</t>
        </is>
      </c>
      <c r="G998" t="n">
        <v>1.1</v>
      </c>
      <c r="H998" t="n">
        <v>0</v>
      </c>
      <c r="I998" t="n">
        <v>0</v>
      </c>
      <c r="J998" t="n">
        <v>0</v>
      </c>
      <c r="K998" t="n">
        <v>0</v>
      </c>
      <c r="L998" t="n">
        <v>0</v>
      </c>
      <c r="M998" t="n">
        <v>0</v>
      </c>
      <c r="N998" t="n">
        <v>0</v>
      </c>
      <c r="O998" t="n">
        <v>0</v>
      </c>
      <c r="P998" t="n">
        <v>0</v>
      </c>
      <c r="Q998" t="n">
        <v>0</v>
      </c>
      <c r="R998" s="2" t="inlineStr"/>
    </row>
    <row r="999" ht="15" customHeight="1">
      <c r="A999" t="inlineStr">
        <is>
          <t>A 24297-2019</t>
        </is>
      </c>
      <c r="B999" s="1" t="n">
        <v>43598</v>
      </c>
      <c r="C999" s="1" t="n">
        <v>45351</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24998-2019</t>
        </is>
      </c>
      <c r="B1000" s="1" t="n">
        <v>43600</v>
      </c>
      <c r="C1000" s="1" t="n">
        <v>45351</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25164-2019</t>
        </is>
      </c>
      <c r="B1001" s="1" t="n">
        <v>43605</v>
      </c>
      <c r="C1001" s="1" t="n">
        <v>45351</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25157-2019</t>
        </is>
      </c>
      <c r="B1002" s="1" t="n">
        <v>43605</v>
      </c>
      <c r="C1002" s="1" t="n">
        <v>45351</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25874-2019</t>
        </is>
      </c>
      <c r="B1003" s="1" t="n">
        <v>43605</v>
      </c>
      <c r="C1003" s="1" t="n">
        <v>45351</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25317-2019</t>
        </is>
      </c>
      <c r="B1004" s="1" t="n">
        <v>43606</v>
      </c>
      <c r="C1004" s="1" t="n">
        <v>45351</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25498-2019</t>
        </is>
      </c>
      <c r="B1005" s="1" t="n">
        <v>43606</v>
      </c>
      <c r="C1005" s="1" t="n">
        <v>45351</v>
      </c>
      <c r="D1005" t="inlineStr">
        <is>
          <t>UPPSALA LÄN</t>
        </is>
      </c>
      <c r="E1005" t="inlineStr">
        <is>
          <t>TIERP</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25340-2019</t>
        </is>
      </c>
      <c r="B1006" s="1" t="n">
        <v>43606</v>
      </c>
      <c r="C1006" s="1" t="n">
        <v>45351</v>
      </c>
      <c r="D1006" t="inlineStr">
        <is>
          <t>UPPSALA LÄN</t>
        </is>
      </c>
      <c r="E1006" t="inlineStr">
        <is>
          <t>ÄLVKARLEBY</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25502-2019</t>
        </is>
      </c>
      <c r="B1007" s="1" t="n">
        <v>43606</v>
      </c>
      <c r="C1007" s="1" t="n">
        <v>45351</v>
      </c>
      <c r="D1007" t="inlineStr">
        <is>
          <t>UPPSALA LÄN</t>
        </is>
      </c>
      <c r="E1007" t="inlineStr">
        <is>
          <t>TIERP</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25703-2019</t>
        </is>
      </c>
      <c r="B1008" s="1" t="n">
        <v>43607</v>
      </c>
      <c r="C1008" s="1" t="n">
        <v>45351</v>
      </c>
      <c r="D1008" t="inlineStr">
        <is>
          <t>UPPSALA LÄN</t>
        </is>
      </c>
      <c r="E1008" t="inlineStr">
        <is>
          <t>ÖSTHAMMAR</t>
        </is>
      </c>
      <c r="F1008" t="inlineStr">
        <is>
          <t>Bergvik skog öst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25667-2019</t>
        </is>
      </c>
      <c r="B1009" s="1" t="n">
        <v>43607</v>
      </c>
      <c r="C1009" s="1" t="n">
        <v>45351</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25708-2019</t>
        </is>
      </c>
      <c r="B1010" s="1" t="n">
        <v>43607</v>
      </c>
      <c r="C1010" s="1" t="n">
        <v>45351</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25706-2019</t>
        </is>
      </c>
      <c r="B1011" s="1" t="n">
        <v>43607</v>
      </c>
      <c r="C1011" s="1" t="n">
        <v>45351</v>
      </c>
      <c r="D1011" t="inlineStr">
        <is>
          <t>UPPSALA LÄN</t>
        </is>
      </c>
      <c r="E1011" t="inlineStr">
        <is>
          <t>ÖSTHAMMAR</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25672-2019</t>
        </is>
      </c>
      <c r="B1012" s="1" t="n">
        <v>43607</v>
      </c>
      <c r="C1012" s="1" t="n">
        <v>45351</v>
      </c>
      <c r="D1012" t="inlineStr">
        <is>
          <t>UPPSALA LÄN</t>
        </is>
      </c>
      <c r="E1012" t="inlineStr">
        <is>
          <t>HEBY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25791-2019</t>
        </is>
      </c>
      <c r="B1013" s="1" t="n">
        <v>43608</v>
      </c>
      <c r="C1013" s="1" t="n">
        <v>45351</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26060-2019</t>
        </is>
      </c>
      <c r="B1014" s="1" t="n">
        <v>43609</v>
      </c>
      <c r="C1014" s="1" t="n">
        <v>45351</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26366-2019</t>
        </is>
      </c>
      <c r="B1015" s="1" t="n">
        <v>43612</v>
      </c>
      <c r="C1015" s="1" t="n">
        <v>45351</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26562-2019</t>
        </is>
      </c>
      <c r="B1016" s="1" t="n">
        <v>43612</v>
      </c>
      <c r="C1016" s="1" t="n">
        <v>45351</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26371-2019</t>
        </is>
      </c>
      <c r="B1017" s="1" t="n">
        <v>43612</v>
      </c>
      <c r="C1017" s="1" t="n">
        <v>45351</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26926-2019</t>
        </is>
      </c>
      <c r="B1018" s="1" t="n">
        <v>43613</v>
      </c>
      <c r="C1018" s="1" t="n">
        <v>45351</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26724-2019</t>
        </is>
      </c>
      <c r="B1019" s="1" t="n">
        <v>43613</v>
      </c>
      <c r="C1019" s="1" t="n">
        <v>45351</v>
      </c>
      <c r="D1019" t="inlineStr">
        <is>
          <t>UPPSALA LÄN</t>
        </is>
      </c>
      <c r="E1019" t="inlineStr">
        <is>
          <t>ÖSTHAMMAR</t>
        </is>
      </c>
      <c r="F1019" t="inlineStr">
        <is>
          <t>Bergvik skog öst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26796-2019</t>
        </is>
      </c>
      <c r="B1020" s="1" t="n">
        <v>43613</v>
      </c>
      <c r="C1020" s="1" t="n">
        <v>45351</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27277-2019</t>
        </is>
      </c>
      <c r="B1021" s="1" t="n">
        <v>43615</v>
      </c>
      <c r="C1021" s="1" t="n">
        <v>45351</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27458-2019</t>
        </is>
      </c>
      <c r="B1022" s="1" t="n">
        <v>43618</v>
      </c>
      <c r="C1022" s="1" t="n">
        <v>45351</v>
      </c>
      <c r="D1022" t="inlineStr">
        <is>
          <t>UPPSALA LÄN</t>
        </is>
      </c>
      <c r="E1022" t="inlineStr">
        <is>
          <t>ÖSTHAMMAR</t>
        </is>
      </c>
      <c r="F1022" t="inlineStr">
        <is>
          <t>Bergvik skog öst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28134-2019</t>
        </is>
      </c>
      <c r="B1023" s="1" t="n">
        <v>43621</v>
      </c>
      <c r="C1023" s="1" t="n">
        <v>45351</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29204-2019</t>
        </is>
      </c>
      <c r="B1024" s="1" t="n">
        <v>43623</v>
      </c>
      <c r="C1024" s="1" t="n">
        <v>45351</v>
      </c>
      <c r="D1024" t="inlineStr">
        <is>
          <t>UPPSALA LÄN</t>
        </is>
      </c>
      <c r="E1024" t="inlineStr">
        <is>
          <t>ÖSTHAMMAR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28551-2019</t>
        </is>
      </c>
      <c r="B1025" s="1" t="n">
        <v>43626</v>
      </c>
      <c r="C1025" s="1" t="n">
        <v>45351</v>
      </c>
      <c r="D1025" t="inlineStr">
        <is>
          <t>UPPSALA LÄN</t>
        </is>
      </c>
      <c r="E1025" t="inlineStr">
        <is>
          <t>KNIVSTA</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29105-2019</t>
        </is>
      </c>
      <c r="B1026" s="1" t="n">
        <v>43628</v>
      </c>
      <c r="C1026" s="1" t="n">
        <v>45351</v>
      </c>
      <c r="D1026" t="inlineStr">
        <is>
          <t>UPPSALA LÄN</t>
        </is>
      </c>
      <c r="E1026" t="inlineStr">
        <is>
          <t>UPPSALA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29183-2019</t>
        </is>
      </c>
      <c r="B1027" s="1" t="n">
        <v>43628</v>
      </c>
      <c r="C1027" s="1" t="n">
        <v>45351</v>
      </c>
      <c r="D1027" t="inlineStr">
        <is>
          <t>UPPSALA LÄN</t>
        </is>
      </c>
      <c r="E1027" t="inlineStr">
        <is>
          <t>UPPSALA</t>
        </is>
      </c>
      <c r="F1027" t="inlineStr">
        <is>
          <t>Allmännings- och besparingsskogar</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29081-2019</t>
        </is>
      </c>
      <c r="B1028" s="1" t="n">
        <v>43628</v>
      </c>
      <c r="C1028" s="1" t="n">
        <v>45351</v>
      </c>
      <c r="D1028" t="inlineStr">
        <is>
          <t>UPPSALA LÄN</t>
        </is>
      </c>
      <c r="E1028" t="inlineStr">
        <is>
          <t>UPPSALA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29637-2019</t>
        </is>
      </c>
      <c r="B1029" s="1" t="n">
        <v>43628</v>
      </c>
      <c r="C1029" s="1" t="n">
        <v>45351</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29719-2019</t>
        </is>
      </c>
      <c r="B1030" s="1" t="n">
        <v>43630</v>
      </c>
      <c r="C1030" s="1" t="n">
        <v>45351</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29713-2019</t>
        </is>
      </c>
      <c r="B1031" s="1" t="n">
        <v>43630</v>
      </c>
      <c r="C1031" s="1" t="n">
        <v>45351</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29792-2019</t>
        </is>
      </c>
      <c r="B1032" s="1" t="n">
        <v>43633</v>
      </c>
      <c r="C1032" s="1" t="n">
        <v>45351</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29954-2019</t>
        </is>
      </c>
      <c r="B1033" s="1" t="n">
        <v>43633</v>
      </c>
      <c r="C1033" s="1" t="n">
        <v>45351</v>
      </c>
      <c r="D1033" t="inlineStr">
        <is>
          <t>UPPSALA LÄN</t>
        </is>
      </c>
      <c r="E1033" t="inlineStr">
        <is>
          <t>HEBY</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30036-2019</t>
        </is>
      </c>
      <c r="B1034" s="1" t="n">
        <v>43633</v>
      </c>
      <c r="C1034" s="1" t="n">
        <v>45351</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29979-2019</t>
        </is>
      </c>
      <c r="B1035" s="1" t="n">
        <v>43633</v>
      </c>
      <c r="C1035" s="1" t="n">
        <v>45351</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31106-2019</t>
        </is>
      </c>
      <c r="B1036" s="1" t="n">
        <v>43635</v>
      </c>
      <c r="C1036" s="1" t="n">
        <v>45351</v>
      </c>
      <c r="D1036" t="inlineStr">
        <is>
          <t>UPPSALA LÄN</t>
        </is>
      </c>
      <c r="E1036" t="inlineStr">
        <is>
          <t>ÖSTHAMMAR</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30838-2019</t>
        </is>
      </c>
      <c r="B1037" s="1" t="n">
        <v>43636</v>
      </c>
      <c r="C1037" s="1" t="n">
        <v>45351</v>
      </c>
      <c r="D1037" t="inlineStr">
        <is>
          <t>UPPSALA LÄN</t>
        </is>
      </c>
      <c r="E1037" t="inlineStr">
        <is>
          <t>HEBY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31081-2019</t>
        </is>
      </c>
      <c r="B1038" s="1" t="n">
        <v>43640</v>
      </c>
      <c r="C1038" s="1" t="n">
        <v>45351</v>
      </c>
      <c r="D1038" t="inlineStr">
        <is>
          <t>UPPSALA LÄN</t>
        </is>
      </c>
      <c r="E1038" t="inlineStr">
        <is>
          <t>ENKÖPING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31074-2019</t>
        </is>
      </c>
      <c r="B1039" s="1" t="n">
        <v>43640</v>
      </c>
      <c r="C1039" s="1" t="n">
        <v>45351</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31438-2019</t>
        </is>
      </c>
      <c r="B1040" s="1" t="n">
        <v>43641</v>
      </c>
      <c r="C1040" s="1" t="n">
        <v>45351</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31319-2019</t>
        </is>
      </c>
      <c r="B1041" s="1" t="n">
        <v>43641</v>
      </c>
      <c r="C1041" s="1" t="n">
        <v>45351</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31436-2019</t>
        </is>
      </c>
      <c r="B1042" s="1" t="n">
        <v>43641</v>
      </c>
      <c r="C1042" s="1" t="n">
        <v>45351</v>
      </c>
      <c r="D1042" t="inlineStr">
        <is>
          <t>UPPSALA LÄN</t>
        </is>
      </c>
      <c r="E1042" t="inlineStr">
        <is>
          <t>HEBY</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31716-2019</t>
        </is>
      </c>
      <c r="B1043" s="1" t="n">
        <v>43642</v>
      </c>
      <c r="C1043" s="1" t="n">
        <v>45351</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31882-2019</t>
        </is>
      </c>
      <c r="B1044" s="1" t="n">
        <v>43642</v>
      </c>
      <c r="C1044" s="1" t="n">
        <v>45351</v>
      </c>
      <c r="D1044" t="inlineStr">
        <is>
          <t>UPPSALA LÄN</t>
        </is>
      </c>
      <c r="E1044" t="inlineStr">
        <is>
          <t>ÖSTHAMMAR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31884-2019</t>
        </is>
      </c>
      <c r="B1045" s="1" t="n">
        <v>43642</v>
      </c>
      <c r="C1045" s="1" t="n">
        <v>45351</v>
      </c>
      <c r="D1045" t="inlineStr">
        <is>
          <t>UPPSALA LÄN</t>
        </is>
      </c>
      <c r="E1045" t="inlineStr">
        <is>
          <t>TIERP</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32299-2019</t>
        </is>
      </c>
      <c r="B1046" s="1" t="n">
        <v>43644</v>
      </c>
      <c r="C1046" s="1" t="n">
        <v>45351</v>
      </c>
      <c r="D1046" t="inlineStr">
        <is>
          <t>UPPSALA LÄN</t>
        </is>
      </c>
      <c r="E1046" t="inlineStr">
        <is>
          <t>HEBY</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32310-2019</t>
        </is>
      </c>
      <c r="B1047" s="1" t="n">
        <v>43644</v>
      </c>
      <c r="C1047" s="1" t="n">
        <v>45351</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32558-2019</t>
        </is>
      </c>
      <c r="B1048" s="1" t="n">
        <v>43647</v>
      </c>
      <c r="C1048" s="1" t="n">
        <v>45351</v>
      </c>
      <c r="D1048" t="inlineStr">
        <is>
          <t>UPPSALA LÄN</t>
        </is>
      </c>
      <c r="E1048" t="inlineStr">
        <is>
          <t>UPPSALA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32640-2019</t>
        </is>
      </c>
      <c r="B1049" s="1" t="n">
        <v>43647</v>
      </c>
      <c r="C1049" s="1" t="n">
        <v>45351</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32718-2019</t>
        </is>
      </c>
      <c r="B1050" s="1" t="n">
        <v>43647</v>
      </c>
      <c r="C1050" s="1" t="n">
        <v>45351</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34560-2019</t>
        </is>
      </c>
      <c r="B1051" s="1" t="n">
        <v>43647</v>
      </c>
      <c r="C1051" s="1" t="n">
        <v>45351</v>
      </c>
      <c r="D1051" t="inlineStr">
        <is>
          <t>UPPSALA LÄN</t>
        </is>
      </c>
      <c r="E1051" t="inlineStr">
        <is>
          <t>UPPSALA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32830-2019</t>
        </is>
      </c>
      <c r="B1052" s="1" t="n">
        <v>43648</v>
      </c>
      <c r="C1052" s="1" t="n">
        <v>45351</v>
      </c>
      <c r="D1052" t="inlineStr">
        <is>
          <t>UPPSALA LÄN</t>
        </is>
      </c>
      <c r="E1052" t="inlineStr">
        <is>
          <t>UPPSALA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33339-2019</t>
        </is>
      </c>
      <c r="B1053" s="1" t="n">
        <v>43650</v>
      </c>
      <c r="C1053" s="1" t="n">
        <v>45351</v>
      </c>
      <c r="D1053" t="inlineStr">
        <is>
          <t>UPPSALA LÄN</t>
        </is>
      </c>
      <c r="E1053" t="inlineStr">
        <is>
          <t>ENKÖPING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33532-2019</t>
        </is>
      </c>
      <c r="B1054" s="1" t="n">
        <v>43651</v>
      </c>
      <c r="C1054" s="1" t="n">
        <v>45351</v>
      </c>
      <c r="D1054" t="inlineStr">
        <is>
          <t>UPPSALA LÄN</t>
        </is>
      </c>
      <c r="E1054" t="inlineStr">
        <is>
          <t>ÖSTHAMMAR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33544-2019</t>
        </is>
      </c>
      <c r="B1055" s="1" t="n">
        <v>43651</v>
      </c>
      <c r="C1055" s="1" t="n">
        <v>45351</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33602-2019</t>
        </is>
      </c>
      <c r="B1056" s="1" t="n">
        <v>43651</v>
      </c>
      <c r="C1056" s="1" t="n">
        <v>45351</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33539-2019</t>
        </is>
      </c>
      <c r="B1057" s="1" t="n">
        <v>43651</v>
      </c>
      <c r="C1057" s="1" t="n">
        <v>45351</v>
      </c>
      <c r="D1057" t="inlineStr">
        <is>
          <t>UPPSALA LÄN</t>
        </is>
      </c>
      <c r="E1057" t="inlineStr">
        <is>
          <t>ÖSTHAMMAR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33551-2019</t>
        </is>
      </c>
      <c r="B1058" s="1" t="n">
        <v>43651</v>
      </c>
      <c r="C1058" s="1" t="n">
        <v>45351</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33575-2019</t>
        </is>
      </c>
      <c r="B1059" s="1" t="n">
        <v>43651</v>
      </c>
      <c r="C1059" s="1" t="n">
        <v>45351</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33584-2019</t>
        </is>
      </c>
      <c r="B1060" s="1" t="n">
        <v>43651</v>
      </c>
      <c r="C1060" s="1" t="n">
        <v>45351</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33614-2019</t>
        </is>
      </c>
      <c r="B1061" s="1" t="n">
        <v>43651</v>
      </c>
      <c r="C1061" s="1" t="n">
        <v>45351</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33670-2019</t>
        </is>
      </c>
      <c r="B1062" s="1" t="n">
        <v>43651</v>
      </c>
      <c r="C1062" s="1" t="n">
        <v>45351</v>
      </c>
      <c r="D1062" t="inlineStr">
        <is>
          <t>UPPSALA LÄN</t>
        </is>
      </c>
      <c r="E1062" t="inlineStr">
        <is>
          <t>TIERP</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33615-2019</t>
        </is>
      </c>
      <c r="B1063" s="1" t="n">
        <v>43651</v>
      </c>
      <c r="C1063" s="1" t="n">
        <v>45351</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33596-2019</t>
        </is>
      </c>
      <c r="B1064" s="1" t="n">
        <v>43651</v>
      </c>
      <c r="C1064" s="1" t="n">
        <v>45351</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33784-2019</t>
        </is>
      </c>
      <c r="B1065" s="1" t="n">
        <v>43651</v>
      </c>
      <c r="C1065" s="1" t="n">
        <v>45351</v>
      </c>
      <c r="D1065" t="inlineStr">
        <is>
          <t>UPPSALA LÄN</t>
        </is>
      </c>
      <c r="E1065" t="inlineStr">
        <is>
          <t>ÖSTHAMMAR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33932-2019</t>
        </is>
      </c>
      <c r="B1066" s="1" t="n">
        <v>43654</v>
      </c>
      <c r="C1066" s="1" t="n">
        <v>45351</v>
      </c>
      <c r="D1066" t="inlineStr">
        <is>
          <t>UPPSALA LÄN</t>
        </is>
      </c>
      <c r="E1066" t="inlineStr">
        <is>
          <t>HEBY</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34007-2019</t>
        </is>
      </c>
      <c r="B1067" s="1" t="n">
        <v>43654</v>
      </c>
      <c r="C1067" s="1" t="n">
        <v>45351</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34063-2019</t>
        </is>
      </c>
      <c r="B1068" s="1" t="n">
        <v>43654</v>
      </c>
      <c r="C1068" s="1" t="n">
        <v>45351</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34386-2019</t>
        </is>
      </c>
      <c r="B1069" s="1" t="n">
        <v>43656</v>
      </c>
      <c r="C1069" s="1" t="n">
        <v>45351</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34331-2019</t>
        </is>
      </c>
      <c r="B1070" s="1" t="n">
        <v>43656</v>
      </c>
      <c r="C1070" s="1" t="n">
        <v>45351</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35811-2019</t>
        </is>
      </c>
      <c r="B1071" s="1" t="n">
        <v>43656</v>
      </c>
      <c r="C1071" s="1" t="n">
        <v>45351</v>
      </c>
      <c r="D1071" t="inlineStr">
        <is>
          <t>UPPSALA LÄN</t>
        </is>
      </c>
      <c r="E1071" t="inlineStr">
        <is>
          <t>HEBY</t>
        </is>
      </c>
      <c r="F1071" t="inlineStr">
        <is>
          <t>Allmännings- och besparingsskogar</t>
        </is>
      </c>
      <c r="G1071" t="n">
        <v>16.5</v>
      </c>
      <c r="H1071" t="n">
        <v>0</v>
      </c>
      <c r="I1071" t="n">
        <v>0</v>
      </c>
      <c r="J1071" t="n">
        <v>0</v>
      </c>
      <c r="K1071" t="n">
        <v>0</v>
      </c>
      <c r="L1071" t="n">
        <v>0</v>
      </c>
      <c r="M1071" t="n">
        <v>0</v>
      </c>
      <c r="N1071" t="n">
        <v>0</v>
      </c>
      <c r="O1071" t="n">
        <v>0</v>
      </c>
      <c r="P1071" t="n">
        <v>0</v>
      </c>
      <c r="Q1071" t="n">
        <v>0</v>
      </c>
      <c r="R1071" s="2" t="inlineStr"/>
    </row>
    <row r="1072" ht="15" customHeight="1">
      <c r="A1072" t="inlineStr">
        <is>
          <t>A 34392-2019</t>
        </is>
      </c>
      <c r="B1072" s="1" t="n">
        <v>43656</v>
      </c>
      <c r="C1072" s="1" t="n">
        <v>45351</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35059-2019</t>
        </is>
      </c>
      <c r="B1073" s="1" t="n">
        <v>43661</v>
      </c>
      <c r="C1073" s="1" t="n">
        <v>45351</v>
      </c>
      <c r="D1073" t="inlineStr">
        <is>
          <t>UPPSALA LÄN</t>
        </is>
      </c>
      <c r="E1073" t="inlineStr">
        <is>
          <t>KNIVSTA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36345-2019</t>
        </is>
      </c>
      <c r="B1074" s="1" t="n">
        <v>43661</v>
      </c>
      <c r="C1074" s="1" t="n">
        <v>45351</v>
      </c>
      <c r="D1074" t="inlineStr">
        <is>
          <t>UPPSALA LÄN</t>
        </is>
      </c>
      <c r="E1074" t="inlineStr">
        <is>
          <t>UPPSALA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36394-2019</t>
        </is>
      </c>
      <c r="B1075" s="1" t="n">
        <v>43663</v>
      </c>
      <c r="C1075" s="1" t="n">
        <v>45351</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35752-2019</t>
        </is>
      </c>
      <c r="B1076" s="1" t="n">
        <v>43665</v>
      </c>
      <c r="C1076" s="1" t="n">
        <v>45351</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36019-2019</t>
        </is>
      </c>
      <c r="B1077" s="1" t="n">
        <v>43668</v>
      </c>
      <c r="C1077" s="1" t="n">
        <v>45351</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36370-2019</t>
        </is>
      </c>
      <c r="B1078" s="1" t="n">
        <v>43670</v>
      </c>
      <c r="C1078" s="1" t="n">
        <v>45351</v>
      </c>
      <c r="D1078" t="inlineStr">
        <is>
          <t>UPPSALA LÄN</t>
        </is>
      </c>
      <c r="E1078" t="inlineStr">
        <is>
          <t>ENKÖPING</t>
        </is>
      </c>
      <c r="G1078" t="n">
        <v>26.9</v>
      </c>
      <c r="H1078" t="n">
        <v>0</v>
      </c>
      <c r="I1078" t="n">
        <v>0</v>
      </c>
      <c r="J1078" t="n">
        <v>0</v>
      </c>
      <c r="K1078" t="n">
        <v>0</v>
      </c>
      <c r="L1078" t="n">
        <v>0</v>
      </c>
      <c r="M1078" t="n">
        <v>0</v>
      </c>
      <c r="N1078" t="n">
        <v>0</v>
      </c>
      <c r="O1078" t="n">
        <v>0</v>
      </c>
      <c r="P1078" t="n">
        <v>0</v>
      </c>
      <c r="Q1078" t="n">
        <v>0</v>
      </c>
      <c r="R1078" s="2" t="inlineStr"/>
    </row>
    <row r="1079" ht="15" customHeight="1">
      <c r="A1079" t="inlineStr">
        <is>
          <t>A 36733-2019</t>
        </is>
      </c>
      <c r="B1079" s="1" t="n">
        <v>43672</v>
      </c>
      <c r="C1079" s="1" t="n">
        <v>45351</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37114-2019</t>
        </is>
      </c>
      <c r="B1080" s="1" t="n">
        <v>43676</v>
      </c>
      <c r="C1080" s="1" t="n">
        <v>45351</v>
      </c>
      <c r="D1080" t="inlineStr">
        <is>
          <t>UPPSALA LÄN</t>
        </is>
      </c>
      <c r="E1080" t="inlineStr">
        <is>
          <t>TIERP</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37092-2019</t>
        </is>
      </c>
      <c r="B1081" s="1" t="n">
        <v>43676</v>
      </c>
      <c r="C1081" s="1" t="n">
        <v>45351</v>
      </c>
      <c r="D1081" t="inlineStr">
        <is>
          <t>UPPSALA LÄN</t>
        </is>
      </c>
      <c r="E1081" t="inlineStr">
        <is>
          <t>HEBY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37234-2019</t>
        </is>
      </c>
      <c r="B1082" s="1" t="n">
        <v>43677</v>
      </c>
      <c r="C1082" s="1" t="n">
        <v>45351</v>
      </c>
      <c r="D1082" t="inlineStr">
        <is>
          <t>UPPSALA LÄN</t>
        </is>
      </c>
      <c r="E1082" t="inlineStr">
        <is>
          <t>UPPSALA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37519-2019</t>
        </is>
      </c>
      <c r="B1083" s="1" t="n">
        <v>43679</v>
      </c>
      <c r="C1083" s="1" t="n">
        <v>45351</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37702-2019</t>
        </is>
      </c>
      <c r="B1084" s="1" t="n">
        <v>43682</v>
      </c>
      <c r="C1084" s="1" t="n">
        <v>45351</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37711-2019</t>
        </is>
      </c>
      <c r="B1085" s="1" t="n">
        <v>43682</v>
      </c>
      <c r="C1085" s="1" t="n">
        <v>45351</v>
      </c>
      <c r="D1085" t="inlineStr">
        <is>
          <t>UPPSALA LÄN</t>
        </is>
      </c>
      <c r="E1085" t="inlineStr">
        <is>
          <t>UPPSALA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37700-2019</t>
        </is>
      </c>
      <c r="B1086" s="1" t="n">
        <v>43682</v>
      </c>
      <c r="C1086" s="1" t="n">
        <v>45351</v>
      </c>
      <c r="D1086" t="inlineStr">
        <is>
          <t>UPPSALA LÄN</t>
        </is>
      </c>
      <c r="E1086" t="inlineStr">
        <is>
          <t>ENKÖPING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37936-2019</t>
        </is>
      </c>
      <c r="B1087" s="1" t="n">
        <v>43683</v>
      </c>
      <c r="C1087" s="1" t="n">
        <v>45351</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38204-2019</t>
        </is>
      </c>
      <c r="B1088" s="1" t="n">
        <v>43683</v>
      </c>
      <c r="C1088" s="1" t="n">
        <v>45351</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38189-2019</t>
        </is>
      </c>
      <c r="B1089" s="1" t="n">
        <v>43684</v>
      </c>
      <c r="C1089" s="1" t="n">
        <v>45351</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38205-2019</t>
        </is>
      </c>
      <c r="B1090" s="1" t="n">
        <v>43684</v>
      </c>
      <c r="C1090" s="1" t="n">
        <v>45351</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40148-2019</t>
        </is>
      </c>
      <c r="B1091" s="1" t="n">
        <v>43684</v>
      </c>
      <c r="C1091" s="1" t="n">
        <v>45351</v>
      </c>
      <c r="D1091" t="inlineStr">
        <is>
          <t>UPPSALA LÄN</t>
        </is>
      </c>
      <c r="E1091" t="inlineStr">
        <is>
          <t>HÅBO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38475-2019</t>
        </is>
      </c>
      <c r="B1092" s="1" t="n">
        <v>43685</v>
      </c>
      <c r="C1092" s="1" t="n">
        <v>45351</v>
      </c>
      <c r="D1092" t="inlineStr">
        <is>
          <t>UPPSALA LÄN</t>
        </is>
      </c>
      <c r="E1092" t="inlineStr">
        <is>
          <t>ENKÖPING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38684-2019</t>
        </is>
      </c>
      <c r="B1093" s="1" t="n">
        <v>43686</v>
      </c>
      <c r="C1093" s="1" t="n">
        <v>45351</v>
      </c>
      <c r="D1093" t="inlineStr">
        <is>
          <t>UPPSALA LÄN</t>
        </is>
      </c>
      <c r="E1093" t="inlineStr">
        <is>
          <t>UPPSALA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39554-2019</t>
        </is>
      </c>
      <c r="B1094" s="1" t="n">
        <v>43686</v>
      </c>
      <c r="C1094" s="1" t="n">
        <v>45351</v>
      </c>
      <c r="D1094" t="inlineStr">
        <is>
          <t>UPPSALA LÄN</t>
        </is>
      </c>
      <c r="E1094" t="inlineStr">
        <is>
          <t>TIERP</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39582-2019</t>
        </is>
      </c>
      <c r="B1095" s="1" t="n">
        <v>43686</v>
      </c>
      <c r="C1095" s="1" t="n">
        <v>45351</v>
      </c>
      <c r="D1095" t="inlineStr">
        <is>
          <t>UPPSALA LÄN</t>
        </is>
      </c>
      <c r="E1095" t="inlineStr">
        <is>
          <t>ÖSTHAMMAR</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38896-2019</t>
        </is>
      </c>
      <c r="B1096" s="1" t="n">
        <v>43689</v>
      </c>
      <c r="C1096" s="1" t="n">
        <v>45351</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39918-2019</t>
        </is>
      </c>
      <c r="B1097" s="1" t="n">
        <v>43689</v>
      </c>
      <c r="C1097" s="1" t="n">
        <v>45351</v>
      </c>
      <c r="D1097" t="inlineStr">
        <is>
          <t>UPPSALA LÄN</t>
        </is>
      </c>
      <c r="E1097" t="inlineStr">
        <is>
          <t>HEBY</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39087-2019</t>
        </is>
      </c>
      <c r="B1098" s="1" t="n">
        <v>43689</v>
      </c>
      <c r="C1098" s="1" t="n">
        <v>45351</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38899-2019</t>
        </is>
      </c>
      <c r="B1099" s="1" t="n">
        <v>43689</v>
      </c>
      <c r="C1099" s="1" t="n">
        <v>45351</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39911-2019</t>
        </is>
      </c>
      <c r="B1100" s="1" t="n">
        <v>43692</v>
      </c>
      <c r="C1100" s="1" t="n">
        <v>45351</v>
      </c>
      <c r="D1100" t="inlineStr">
        <is>
          <t>UPPSALA LÄN</t>
        </is>
      </c>
      <c r="E1100" t="inlineStr">
        <is>
          <t>TIERP</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39914-2019</t>
        </is>
      </c>
      <c r="B1101" s="1" t="n">
        <v>43692</v>
      </c>
      <c r="C1101" s="1" t="n">
        <v>45351</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39910-2019</t>
        </is>
      </c>
      <c r="B1102" s="1" t="n">
        <v>43692</v>
      </c>
      <c r="C1102" s="1" t="n">
        <v>45351</v>
      </c>
      <c r="D1102" t="inlineStr">
        <is>
          <t>UPPSALA LÄN</t>
        </is>
      </c>
      <c r="E1102" t="inlineStr">
        <is>
          <t>ÖSTHAMMAR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40151-2019</t>
        </is>
      </c>
      <c r="B1103" s="1" t="n">
        <v>43693</v>
      </c>
      <c r="C1103" s="1" t="n">
        <v>45351</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40247-2019</t>
        </is>
      </c>
      <c r="B1104" s="1" t="n">
        <v>43695</v>
      </c>
      <c r="C1104" s="1" t="n">
        <v>45351</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40336-2019</t>
        </is>
      </c>
      <c r="B1105" s="1" t="n">
        <v>43696</v>
      </c>
      <c r="C1105" s="1" t="n">
        <v>45351</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41609-2019</t>
        </is>
      </c>
      <c r="B1106" s="1" t="n">
        <v>43696</v>
      </c>
      <c r="C1106" s="1" t="n">
        <v>45351</v>
      </c>
      <c r="D1106" t="inlineStr">
        <is>
          <t>UPPSALA LÄN</t>
        </is>
      </c>
      <c r="E1106" t="inlineStr">
        <is>
          <t>UPPSALA</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41653-2019</t>
        </is>
      </c>
      <c r="B1107" s="1" t="n">
        <v>43696</v>
      </c>
      <c r="C1107" s="1" t="n">
        <v>45351</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40792-2019</t>
        </is>
      </c>
      <c r="B1108" s="1" t="n">
        <v>43697</v>
      </c>
      <c r="C1108" s="1" t="n">
        <v>45351</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40839-2019</t>
        </is>
      </c>
      <c r="B1109" s="1" t="n">
        <v>43697</v>
      </c>
      <c r="C1109" s="1" t="n">
        <v>45351</v>
      </c>
      <c r="D1109" t="inlineStr">
        <is>
          <t>UPPSALA LÄN</t>
        </is>
      </c>
      <c r="E1109" t="inlineStr">
        <is>
          <t>ENKÖPING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40843-2019</t>
        </is>
      </c>
      <c r="B1110" s="1" t="n">
        <v>43697</v>
      </c>
      <c r="C1110" s="1" t="n">
        <v>45351</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41512-2019</t>
        </is>
      </c>
      <c r="B1111" s="1" t="n">
        <v>43699</v>
      </c>
      <c r="C1111" s="1" t="n">
        <v>45351</v>
      </c>
      <c r="D1111" t="inlineStr">
        <is>
          <t>UPPSALA LÄN</t>
        </is>
      </c>
      <c r="E1111" t="inlineStr">
        <is>
          <t>ENKÖPING</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41697-2019</t>
        </is>
      </c>
      <c r="B1112" s="1" t="n">
        <v>43699</v>
      </c>
      <c r="C1112" s="1" t="n">
        <v>45351</v>
      </c>
      <c r="D1112" t="inlineStr">
        <is>
          <t>UPPSALA LÄN</t>
        </is>
      </c>
      <c r="E1112" t="inlineStr">
        <is>
          <t>ÖSTHAMMAR</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41524-2019</t>
        </is>
      </c>
      <c r="B1113" s="1" t="n">
        <v>43699</v>
      </c>
      <c r="C1113" s="1" t="n">
        <v>45351</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41539-2019</t>
        </is>
      </c>
      <c r="B1114" s="1" t="n">
        <v>43699</v>
      </c>
      <c r="C1114" s="1" t="n">
        <v>45351</v>
      </c>
      <c r="D1114" t="inlineStr">
        <is>
          <t>UPPSALA LÄN</t>
        </is>
      </c>
      <c r="E1114" t="inlineStr">
        <is>
          <t>ÖSTHAMMAR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41535-2019</t>
        </is>
      </c>
      <c r="B1115" s="1" t="n">
        <v>43699</v>
      </c>
      <c r="C1115" s="1" t="n">
        <v>45351</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41695-2019</t>
        </is>
      </c>
      <c r="B1116" s="1" t="n">
        <v>43699</v>
      </c>
      <c r="C1116" s="1" t="n">
        <v>45351</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42350-2019</t>
        </is>
      </c>
      <c r="B1117" s="1" t="n">
        <v>43703</v>
      </c>
      <c r="C1117" s="1" t="n">
        <v>45351</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42111-2019</t>
        </is>
      </c>
      <c r="B1118" s="1" t="n">
        <v>43703</v>
      </c>
      <c r="C1118" s="1" t="n">
        <v>45351</v>
      </c>
      <c r="D1118" t="inlineStr">
        <is>
          <t>UPPSALA LÄN</t>
        </is>
      </c>
      <c r="E1118" t="inlineStr">
        <is>
          <t>UPPSALA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42624-2019</t>
        </is>
      </c>
      <c r="B1119" s="1" t="n">
        <v>43704</v>
      </c>
      <c r="C1119" s="1" t="n">
        <v>45351</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42986-2019</t>
        </is>
      </c>
      <c r="B1120" s="1" t="n">
        <v>43705</v>
      </c>
      <c r="C1120" s="1" t="n">
        <v>45351</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42841-2019</t>
        </is>
      </c>
      <c r="B1121" s="1" t="n">
        <v>43705</v>
      </c>
      <c r="C1121" s="1" t="n">
        <v>45351</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43039-2019</t>
        </is>
      </c>
      <c r="B1122" s="1" t="n">
        <v>43705</v>
      </c>
      <c r="C1122" s="1" t="n">
        <v>45351</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42829-2019</t>
        </is>
      </c>
      <c r="B1123" s="1" t="n">
        <v>43705</v>
      </c>
      <c r="C1123" s="1" t="n">
        <v>45351</v>
      </c>
      <c r="D1123" t="inlineStr">
        <is>
          <t>UPPSALA LÄN</t>
        </is>
      </c>
      <c r="E1123" t="inlineStr">
        <is>
          <t>ENKÖPING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43222-2019</t>
        </is>
      </c>
      <c r="B1124" s="1" t="n">
        <v>43706</v>
      </c>
      <c r="C1124" s="1" t="n">
        <v>45351</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43426-2019</t>
        </is>
      </c>
      <c r="B1125" s="1" t="n">
        <v>43706</v>
      </c>
      <c r="C1125" s="1" t="n">
        <v>45351</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43410-2019</t>
        </is>
      </c>
      <c r="B1126" s="1" t="n">
        <v>43706</v>
      </c>
      <c r="C1126" s="1" t="n">
        <v>45351</v>
      </c>
      <c r="D1126" t="inlineStr">
        <is>
          <t>UPPSALA LÄN</t>
        </is>
      </c>
      <c r="E1126" t="inlineStr">
        <is>
          <t>UPPSALA</t>
        </is>
      </c>
      <c r="F1126" t="inlineStr">
        <is>
          <t>Övriga statliga verk och myndigheter</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43715-2019</t>
        </is>
      </c>
      <c r="B1127" s="1" t="n">
        <v>43706</v>
      </c>
      <c r="C1127" s="1" t="n">
        <v>45351</v>
      </c>
      <c r="D1127" t="inlineStr">
        <is>
          <t>UPPSALA LÄN</t>
        </is>
      </c>
      <c r="E1127" t="inlineStr">
        <is>
          <t>UPPSALA</t>
        </is>
      </c>
      <c r="F1127" t="inlineStr">
        <is>
          <t>Övriga statliga verk och myndigheter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43535-2019</t>
        </is>
      </c>
      <c r="B1128" s="1" t="n">
        <v>43706</v>
      </c>
      <c r="C1128" s="1" t="n">
        <v>45351</v>
      </c>
      <c r="D1128" t="inlineStr">
        <is>
          <t>UPPSALA LÄN</t>
        </is>
      </c>
      <c r="E1128" t="inlineStr">
        <is>
          <t>TIERP</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43224-2019</t>
        </is>
      </c>
      <c r="B1129" s="1" t="n">
        <v>43706</v>
      </c>
      <c r="C1129" s="1" t="n">
        <v>45351</v>
      </c>
      <c r="D1129" t="inlineStr">
        <is>
          <t>UPPSALA LÄN</t>
        </is>
      </c>
      <c r="E1129" t="inlineStr">
        <is>
          <t>UPPSALA</t>
        </is>
      </c>
      <c r="F1129" t="inlineStr">
        <is>
          <t>Bergvik skog öst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43435-2019</t>
        </is>
      </c>
      <c r="B1130" s="1" t="n">
        <v>43706</v>
      </c>
      <c r="C1130" s="1" t="n">
        <v>45351</v>
      </c>
      <c r="D1130" t="inlineStr">
        <is>
          <t>UPPSALA LÄN</t>
        </is>
      </c>
      <c r="E1130" t="inlineStr">
        <is>
          <t>UPPSALA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43722-2019</t>
        </is>
      </c>
      <c r="B1131" s="1" t="n">
        <v>43706</v>
      </c>
      <c r="C1131" s="1" t="n">
        <v>45351</v>
      </c>
      <c r="D1131" t="inlineStr">
        <is>
          <t>UPPSALA LÄN</t>
        </is>
      </c>
      <c r="E1131" t="inlineStr">
        <is>
          <t>UPPSALA</t>
        </is>
      </c>
      <c r="F1131" t="inlineStr">
        <is>
          <t>Övriga statliga verk och myndigheter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43308-2019</t>
        </is>
      </c>
      <c r="B1132" s="1" t="n">
        <v>43706</v>
      </c>
      <c r="C1132" s="1" t="n">
        <v>45351</v>
      </c>
      <c r="D1132" t="inlineStr">
        <is>
          <t>UPPSALA LÄN</t>
        </is>
      </c>
      <c r="E1132" t="inlineStr">
        <is>
          <t>ENKÖPING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43625-2019</t>
        </is>
      </c>
      <c r="B1133" s="1" t="n">
        <v>43707</v>
      </c>
      <c r="C1133" s="1" t="n">
        <v>45351</v>
      </c>
      <c r="D1133" t="inlineStr">
        <is>
          <t>UPPSALA LÄN</t>
        </is>
      </c>
      <c r="E1133" t="inlineStr">
        <is>
          <t>TIERP</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43704-2019</t>
        </is>
      </c>
      <c r="B1134" s="1" t="n">
        <v>43707</v>
      </c>
      <c r="C1134" s="1" t="n">
        <v>45351</v>
      </c>
      <c r="D1134" t="inlineStr">
        <is>
          <t>UPPSALA LÄN</t>
        </is>
      </c>
      <c r="E1134" t="inlineStr">
        <is>
          <t>UPPSALA</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43725-2019</t>
        </is>
      </c>
      <c r="B1135" s="1" t="n">
        <v>43707</v>
      </c>
      <c r="C1135" s="1" t="n">
        <v>45351</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44109-2019</t>
        </is>
      </c>
      <c r="B1136" s="1" t="n">
        <v>43707</v>
      </c>
      <c r="C1136" s="1" t="n">
        <v>45351</v>
      </c>
      <c r="D1136" t="inlineStr">
        <is>
          <t>UPPSALA LÄN</t>
        </is>
      </c>
      <c r="E1136" t="inlineStr">
        <is>
          <t>UPPSALA</t>
        </is>
      </c>
      <c r="F1136" t="inlineStr">
        <is>
          <t>Allmännings- och besparingsskogar</t>
        </is>
      </c>
      <c r="G1136" t="n">
        <v>81.3</v>
      </c>
      <c r="H1136" t="n">
        <v>0</v>
      </c>
      <c r="I1136" t="n">
        <v>0</v>
      </c>
      <c r="J1136" t="n">
        <v>0</v>
      </c>
      <c r="K1136" t="n">
        <v>0</v>
      </c>
      <c r="L1136" t="n">
        <v>0</v>
      </c>
      <c r="M1136" t="n">
        <v>0</v>
      </c>
      <c r="N1136" t="n">
        <v>0</v>
      </c>
      <c r="O1136" t="n">
        <v>0</v>
      </c>
      <c r="P1136" t="n">
        <v>0</v>
      </c>
      <c r="Q1136" t="n">
        <v>0</v>
      </c>
      <c r="R1136" s="2" t="inlineStr"/>
    </row>
    <row r="1137" ht="15" customHeight="1">
      <c r="A1137" t="inlineStr">
        <is>
          <t>A 43713-2019</t>
        </is>
      </c>
      <c r="B1137" s="1" t="n">
        <v>43707</v>
      </c>
      <c r="C1137" s="1" t="n">
        <v>45351</v>
      </c>
      <c r="D1137" t="inlineStr">
        <is>
          <t>UPPSALA LÄN</t>
        </is>
      </c>
      <c r="E1137" t="inlineStr">
        <is>
          <t>UPPSALA</t>
        </is>
      </c>
      <c r="F1137" t="inlineStr">
        <is>
          <t>Bergvik skog öst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43853-2019</t>
        </is>
      </c>
      <c r="B1138" s="1" t="n">
        <v>43707</v>
      </c>
      <c r="C1138" s="1" t="n">
        <v>45351</v>
      </c>
      <c r="D1138" t="inlineStr">
        <is>
          <t>UPPSALA LÄN</t>
        </is>
      </c>
      <c r="E1138" t="inlineStr">
        <is>
          <t>UPPSALA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43998-2019</t>
        </is>
      </c>
      <c r="B1139" s="1" t="n">
        <v>43709</v>
      </c>
      <c r="C1139" s="1" t="n">
        <v>45351</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43999-2019</t>
        </is>
      </c>
      <c r="B1140" s="1" t="n">
        <v>43709</v>
      </c>
      <c r="C1140" s="1" t="n">
        <v>45351</v>
      </c>
      <c r="D1140" t="inlineStr">
        <is>
          <t>UPPSALA LÄN</t>
        </is>
      </c>
      <c r="E1140" t="inlineStr">
        <is>
          <t>ENKÖPING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44141-2019</t>
        </is>
      </c>
      <c r="B1141" s="1" t="n">
        <v>43710</v>
      </c>
      <c r="C1141" s="1" t="n">
        <v>45351</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45500-2019</t>
        </is>
      </c>
      <c r="B1142" s="1" t="n">
        <v>43710</v>
      </c>
      <c r="C1142" s="1" t="n">
        <v>45351</v>
      </c>
      <c r="D1142" t="inlineStr">
        <is>
          <t>UPPSALA LÄN</t>
        </is>
      </c>
      <c r="E1142" t="inlineStr">
        <is>
          <t>HEBY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45493-2019</t>
        </is>
      </c>
      <c r="B1143" s="1" t="n">
        <v>43710</v>
      </c>
      <c r="C1143" s="1" t="n">
        <v>45351</v>
      </c>
      <c r="D1143" t="inlineStr">
        <is>
          <t>UPPSALA LÄN</t>
        </is>
      </c>
      <c r="E1143" t="inlineStr">
        <is>
          <t>HEBY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44497-2019</t>
        </is>
      </c>
      <c r="B1144" s="1" t="n">
        <v>43711</v>
      </c>
      <c r="C1144" s="1" t="n">
        <v>45351</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44569-2019</t>
        </is>
      </c>
      <c r="B1145" s="1" t="n">
        <v>43711</v>
      </c>
      <c r="C1145" s="1" t="n">
        <v>45351</v>
      </c>
      <c r="D1145" t="inlineStr">
        <is>
          <t>UPPSALA LÄN</t>
        </is>
      </c>
      <c r="E1145" t="inlineStr">
        <is>
          <t>TIERP</t>
        </is>
      </c>
      <c r="F1145" t="inlineStr">
        <is>
          <t>Bergvik skog öst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44457-2019</t>
        </is>
      </c>
      <c r="B1146" s="1" t="n">
        <v>43711</v>
      </c>
      <c r="C1146" s="1" t="n">
        <v>45351</v>
      </c>
      <c r="D1146" t="inlineStr">
        <is>
          <t>UPPSALA LÄN</t>
        </is>
      </c>
      <c r="E1146" t="inlineStr">
        <is>
          <t>ÄLVKARLEBY</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44749-2019</t>
        </is>
      </c>
      <c r="B1147" s="1" t="n">
        <v>43712</v>
      </c>
      <c r="C1147" s="1" t="n">
        <v>45351</v>
      </c>
      <c r="D1147" t="inlineStr">
        <is>
          <t>UPPSALA LÄN</t>
        </is>
      </c>
      <c r="E1147" t="inlineStr">
        <is>
          <t>ENKÖPING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44701-2019</t>
        </is>
      </c>
      <c r="B1148" s="1" t="n">
        <v>43712</v>
      </c>
      <c r="C1148" s="1" t="n">
        <v>45351</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44687-2019</t>
        </is>
      </c>
      <c r="B1149" s="1" t="n">
        <v>43712</v>
      </c>
      <c r="C1149" s="1" t="n">
        <v>45351</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45010-2019</t>
        </is>
      </c>
      <c r="B1150" s="1" t="n">
        <v>43713</v>
      </c>
      <c r="C1150" s="1" t="n">
        <v>45351</v>
      </c>
      <c r="D1150" t="inlineStr">
        <is>
          <t>UPPSALA LÄN</t>
        </is>
      </c>
      <c r="E1150" t="inlineStr">
        <is>
          <t>UPPSALA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45140-2019</t>
        </is>
      </c>
      <c r="B1151" s="1" t="n">
        <v>43713</v>
      </c>
      <c r="C1151" s="1" t="n">
        <v>45351</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45007-2019</t>
        </is>
      </c>
      <c r="B1152" s="1" t="n">
        <v>43713</v>
      </c>
      <c r="C1152" s="1" t="n">
        <v>45351</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44991-2019</t>
        </is>
      </c>
      <c r="B1153" s="1" t="n">
        <v>43713</v>
      </c>
      <c r="C1153" s="1" t="n">
        <v>45351</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45481-2019</t>
        </is>
      </c>
      <c r="B1154" s="1" t="n">
        <v>43714</v>
      </c>
      <c r="C1154" s="1" t="n">
        <v>45351</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45574-2019</t>
        </is>
      </c>
      <c r="B1155" s="1" t="n">
        <v>43716</v>
      </c>
      <c r="C1155" s="1" t="n">
        <v>45351</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45681-2019</t>
        </is>
      </c>
      <c r="B1156" s="1" t="n">
        <v>43717</v>
      </c>
      <c r="C1156" s="1" t="n">
        <v>45351</v>
      </c>
      <c r="D1156" t="inlineStr">
        <is>
          <t>UPPSALA LÄN</t>
        </is>
      </c>
      <c r="E1156" t="inlineStr">
        <is>
          <t>ÖSTHAMMAR</t>
        </is>
      </c>
      <c r="F1156" t="inlineStr">
        <is>
          <t>Bergvik skog öst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45729-2019</t>
        </is>
      </c>
      <c r="B1157" s="1" t="n">
        <v>43717</v>
      </c>
      <c r="C1157" s="1" t="n">
        <v>45351</v>
      </c>
      <c r="D1157" t="inlineStr">
        <is>
          <t>UPPSALA LÄN</t>
        </is>
      </c>
      <c r="E1157" t="inlineStr">
        <is>
          <t>ENKÖPING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45767-2019</t>
        </is>
      </c>
      <c r="B1158" s="1" t="n">
        <v>43717</v>
      </c>
      <c r="C1158" s="1" t="n">
        <v>45351</v>
      </c>
      <c r="D1158" t="inlineStr">
        <is>
          <t>UPPSALA LÄN</t>
        </is>
      </c>
      <c r="E1158" t="inlineStr">
        <is>
          <t>ENKÖPING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45784-2019</t>
        </is>
      </c>
      <c r="B1159" s="1" t="n">
        <v>43717</v>
      </c>
      <c r="C1159" s="1" t="n">
        <v>45351</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45667-2019</t>
        </is>
      </c>
      <c r="B1160" s="1" t="n">
        <v>43717</v>
      </c>
      <c r="C1160" s="1" t="n">
        <v>45351</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46292-2019</t>
        </is>
      </c>
      <c r="B1161" s="1" t="n">
        <v>43718</v>
      </c>
      <c r="C1161" s="1" t="n">
        <v>45351</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46274-2019</t>
        </is>
      </c>
      <c r="B1162" s="1" t="n">
        <v>43718</v>
      </c>
      <c r="C1162" s="1" t="n">
        <v>45351</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46311-2019</t>
        </is>
      </c>
      <c r="B1163" s="1" t="n">
        <v>43718</v>
      </c>
      <c r="C1163" s="1" t="n">
        <v>45351</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46307-2019</t>
        </is>
      </c>
      <c r="B1164" s="1" t="n">
        <v>43718</v>
      </c>
      <c r="C1164" s="1" t="n">
        <v>45351</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46151-2019</t>
        </is>
      </c>
      <c r="B1165" s="1" t="n">
        <v>43718</v>
      </c>
      <c r="C1165" s="1" t="n">
        <v>45351</v>
      </c>
      <c r="D1165" t="inlineStr">
        <is>
          <t>UPPSALA LÄN</t>
        </is>
      </c>
      <c r="E1165" t="inlineStr">
        <is>
          <t>UPPSALA</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46157-2019</t>
        </is>
      </c>
      <c r="B1166" s="1" t="n">
        <v>43718</v>
      </c>
      <c r="C1166" s="1" t="n">
        <v>45351</v>
      </c>
      <c r="D1166" t="inlineStr">
        <is>
          <t>UPPSALA LÄN</t>
        </is>
      </c>
      <c r="E1166" t="inlineStr">
        <is>
          <t>UPPSALA</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46310-2019</t>
        </is>
      </c>
      <c r="B1167" s="1" t="n">
        <v>43718</v>
      </c>
      <c r="C1167" s="1" t="n">
        <v>45351</v>
      </c>
      <c r="D1167" t="inlineStr">
        <is>
          <t>UPPSALA LÄN</t>
        </is>
      </c>
      <c r="E1167" t="inlineStr">
        <is>
          <t>UPPSALA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46147-2019</t>
        </is>
      </c>
      <c r="B1168" s="1" t="n">
        <v>43718</v>
      </c>
      <c r="C1168" s="1" t="n">
        <v>45351</v>
      </c>
      <c r="D1168" t="inlineStr">
        <is>
          <t>UPPSALA LÄN</t>
        </is>
      </c>
      <c r="E1168" t="inlineStr">
        <is>
          <t>UPPSALA</t>
        </is>
      </c>
      <c r="F1168" t="inlineStr">
        <is>
          <t>Övriga Aktiebolag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46563-2019</t>
        </is>
      </c>
      <c r="B1169" s="1" t="n">
        <v>43719</v>
      </c>
      <c r="C1169" s="1" t="n">
        <v>45351</v>
      </c>
      <c r="D1169" t="inlineStr">
        <is>
          <t>UPPSALA LÄN</t>
        </is>
      </c>
      <c r="E1169" t="inlineStr">
        <is>
          <t>HEBY</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46545-2019</t>
        </is>
      </c>
      <c r="B1170" s="1" t="n">
        <v>43719</v>
      </c>
      <c r="C1170" s="1" t="n">
        <v>45351</v>
      </c>
      <c r="D1170" t="inlineStr">
        <is>
          <t>UPPSALA LÄN</t>
        </is>
      </c>
      <c r="E1170" t="inlineStr">
        <is>
          <t>HEBY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46877-2019</t>
        </is>
      </c>
      <c r="B1171" s="1" t="n">
        <v>43720</v>
      </c>
      <c r="C1171" s="1" t="n">
        <v>45351</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46896-2019</t>
        </is>
      </c>
      <c r="B1172" s="1" t="n">
        <v>43720</v>
      </c>
      <c r="C1172" s="1" t="n">
        <v>45351</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46971-2019</t>
        </is>
      </c>
      <c r="B1173" s="1" t="n">
        <v>43720</v>
      </c>
      <c r="C1173" s="1" t="n">
        <v>45351</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47039-2019</t>
        </is>
      </c>
      <c r="B1174" s="1" t="n">
        <v>43720</v>
      </c>
      <c r="C1174" s="1" t="n">
        <v>45351</v>
      </c>
      <c r="D1174" t="inlineStr">
        <is>
          <t>UPPSALA LÄN</t>
        </is>
      </c>
      <c r="E1174" t="inlineStr">
        <is>
          <t>ENKÖPING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47368-2019</t>
        </is>
      </c>
      <c r="B1175" s="1" t="n">
        <v>43721</v>
      </c>
      <c r="C1175" s="1" t="n">
        <v>45351</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47440-2019</t>
        </is>
      </c>
      <c r="B1176" s="1" t="n">
        <v>43723</v>
      </c>
      <c r="C1176" s="1" t="n">
        <v>45351</v>
      </c>
      <c r="D1176" t="inlineStr">
        <is>
          <t>UPPSALA LÄN</t>
        </is>
      </c>
      <c r="E1176" t="inlineStr">
        <is>
          <t>ÖSTHAMMAR</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47436-2019</t>
        </is>
      </c>
      <c r="B1177" s="1" t="n">
        <v>43723</v>
      </c>
      <c r="C1177" s="1" t="n">
        <v>45351</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47476-2019</t>
        </is>
      </c>
      <c r="B1178" s="1" t="n">
        <v>43724</v>
      </c>
      <c r="C1178" s="1" t="n">
        <v>45351</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48086-2019</t>
        </is>
      </c>
      <c r="B1179" s="1" t="n">
        <v>43725</v>
      </c>
      <c r="C1179" s="1" t="n">
        <v>45351</v>
      </c>
      <c r="D1179" t="inlineStr">
        <is>
          <t>UPPSALA LÄN</t>
        </is>
      </c>
      <c r="E1179" t="inlineStr">
        <is>
          <t>HEBY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48098-2019</t>
        </is>
      </c>
      <c r="B1180" s="1" t="n">
        <v>43725</v>
      </c>
      <c r="C1180" s="1" t="n">
        <v>45351</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48095-2019</t>
        </is>
      </c>
      <c r="B1181" s="1" t="n">
        <v>43725</v>
      </c>
      <c r="C1181" s="1" t="n">
        <v>45351</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48096-2019</t>
        </is>
      </c>
      <c r="B1182" s="1" t="n">
        <v>43725</v>
      </c>
      <c r="C1182" s="1" t="n">
        <v>45351</v>
      </c>
      <c r="D1182" t="inlineStr">
        <is>
          <t>UPPSALA LÄN</t>
        </is>
      </c>
      <c r="E1182" t="inlineStr">
        <is>
          <t>ENKÖPING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48515-2019</t>
        </is>
      </c>
      <c r="B1183" s="1" t="n">
        <v>43727</v>
      </c>
      <c r="C1183" s="1" t="n">
        <v>45351</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48485-2019</t>
        </is>
      </c>
      <c r="B1184" s="1" t="n">
        <v>43727</v>
      </c>
      <c r="C1184" s="1" t="n">
        <v>45351</v>
      </c>
      <c r="D1184" t="inlineStr">
        <is>
          <t>UPPSALA LÄN</t>
        </is>
      </c>
      <c r="E1184" t="inlineStr">
        <is>
          <t>UPPSALA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48511-2019</t>
        </is>
      </c>
      <c r="B1185" s="1" t="n">
        <v>43727</v>
      </c>
      <c r="C1185" s="1" t="n">
        <v>45351</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48822-2019</t>
        </is>
      </c>
      <c r="B1186" s="1" t="n">
        <v>43728</v>
      </c>
      <c r="C1186" s="1" t="n">
        <v>45351</v>
      </c>
      <c r="D1186" t="inlineStr">
        <is>
          <t>UPPSALA LÄN</t>
        </is>
      </c>
      <c r="E1186" t="inlineStr">
        <is>
          <t>ÄLVKARLEBY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49567-2019</t>
        </is>
      </c>
      <c r="B1187" s="1" t="n">
        <v>43730</v>
      </c>
      <c r="C1187" s="1" t="n">
        <v>45351</v>
      </c>
      <c r="D1187" t="inlineStr">
        <is>
          <t>UPPSALA LÄN</t>
        </is>
      </c>
      <c r="E1187" t="inlineStr">
        <is>
          <t>UPPSALA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49082-2019</t>
        </is>
      </c>
      <c r="B1188" s="1" t="n">
        <v>43731</v>
      </c>
      <c r="C1188" s="1" t="n">
        <v>45351</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50358-2019</t>
        </is>
      </c>
      <c r="B1189" s="1" t="n">
        <v>43731</v>
      </c>
      <c r="C1189" s="1" t="n">
        <v>45351</v>
      </c>
      <c r="D1189" t="inlineStr">
        <is>
          <t>UPPSALA LÄN</t>
        </is>
      </c>
      <c r="E1189" t="inlineStr">
        <is>
          <t>HEBY</t>
        </is>
      </c>
      <c r="F1189" t="inlineStr">
        <is>
          <t>Bergvik skog väst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50414-2019</t>
        </is>
      </c>
      <c r="B1190" s="1" t="n">
        <v>43731</v>
      </c>
      <c r="C1190" s="1" t="n">
        <v>45351</v>
      </c>
      <c r="D1190" t="inlineStr">
        <is>
          <t>UPPSALA LÄN</t>
        </is>
      </c>
      <c r="E1190" t="inlineStr">
        <is>
          <t>HEBY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49568-2019</t>
        </is>
      </c>
      <c r="B1191" s="1" t="n">
        <v>43732</v>
      </c>
      <c r="C1191" s="1" t="n">
        <v>45351</v>
      </c>
      <c r="D1191" t="inlineStr">
        <is>
          <t>UPPSALA LÄN</t>
        </is>
      </c>
      <c r="E1191" t="inlineStr">
        <is>
          <t>HÅBO</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49856-2019</t>
        </is>
      </c>
      <c r="B1192" s="1" t="n">
        <v>43733</v>
      </c>
      <c r="C1192" s="1" t="n">
        <v>45351</v>
      </c>
      <c r="D1192" t="inlineStr">
        <is>
          <t>UPPSALA LÄN</t>
        </is>
      </c>
      <c r="E1192" t="inlineStr">
        <is>
          <t>ENKÖPING</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49877-2019</t>
        </is>
      </c>
      <c r="B1193" s="1" t="n">
        <v>43733</v>
      </c>
      <c r="C1193" s="1" t="n">
        <v>45351</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50180-2019</t>
        </is>
      </c>
      <c r="B1194" s="1" t="n">
        <v>43733</v>
      </c>
      <c r="C1194" s="1" t="n">
        <v>45351</v>
      </c>
      <c r="D1194" t="inlineStr">
        <is>
          <t>UPPSALA LÄN</t>
        </is>
      </c>
      <c r="E1194" t="inlineStr">
        <is>
          <t>UPPSALA</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49900-2019</t>
        </is>
      </c>
      <c r="B1195" s="1" t="n">
        <v>43733</v>
      </c>
      <c r="C1195" s="1" t="n">
        <v>45351</v>
      </c>
      <c r="D1195" t="inlineStr">
        <is>
          <t>UPPSALA LÄN</t>
        </is>
      </c>
      <c r="E1195" t="inlineStr">
        <is>
          <t>TIERP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49941-2019</t>
        </is>
      </c>
      <c r="B1196" s="1" t="n">
        <v>43733</v>
      </c>
      <c r="C1196" s="1" t="n">
        <v>45351</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50156-2019</t>
        </is>
      </c>
      <c r="B1197" s="1" t="n">
        <v>43734</v>
      </c>
      <c r="C1197" s="1" t="n">
        <v>45351</v>
      </c>
      <c r="D1197" t="inlineStr">
        <is>
          <t>UPPSALA LÄN</t>
        </is>
      </c>
      <c r="E1197" t="inlineStr">
        <is>
          <t>TIERP</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50348-2019</t>
        </is>
      </c>
      <c r="B1198" s="1" t="n">
        <v>43735</v>
      </c>
      <c r="C1198" s="1" t="n">
        <v>45351</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50361-2019</t>
        </is>
      </c>
      <c r="B1199" s="1" t="n">
        <v>43735</v>
      </c>
      <c r="C1199" s="1" t="n">
        <v>45351</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50346-2019</t>
        </is>
      </c>
      <c r="B1200" s="1" t="n">
        <v>43735</v>
      </c>
      <c r="C1200" s="1" t="n">
        <v>45351</v>
      </c>
      <c r="D1200" t="inlineStr">
        <is>
          <t>UPPSALA LÄN</t>
        </is>
      </c>
      <c r="E1200" t="inlineStr">
        <is>
          <t>HEBY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50387-2019</t>
        </is>
      </c>
      <c r="B1201" s="1" t="n">
        <v>43735</v>
      </c>
      <c r="C1201" s="1" t="n">
        <v>45351</v>
      </c>
      <c r="D1201" t="inlineStr">
        <is>
          <t>UPPSALA LÄN</t>
        </is>
      </c>
      <c r="E1201" t="inlineStr">
        <is>
          <t>UPPSALA</t>
        </is>
      </c>
      <c r="F1201" t="inlineStr">
        <is>
          <t>Kyrkan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50415-2019</t>
        </is>
      </c>
      <c r="B1202" s="1" t="n">
        <v>43735</v>
      </c>
      <c r="C1202" s="1" t="n">
        <v>45351</v>
      </c>
      <c r="D1202" t="inlineStr">
        <is>
          <t>UPPSALA LÄN</t>
        </is>
      </c>
      <c r="E1202" t="inlineStr">
        <is>
          <t>UPPSALA</t>
        </is>
      </c>
      <c r="F1202" t="inlineStr">
        <is>
          <t>Kyrkan</t>
        </is>
      </c>
      <c r="G1202" t="n">
        <v>13.6</v>
      </c>
      <c r="H1202" t="n">
        <v>0</v>
      </c>
      <c r="I1202" t="n">
        <v>0</v>
      </c>
      <c r="J1202" t="n">
        <v>0</v>
      </c>
      <c r="K1202" t="n">
        <v>0</v>
      </c>
      <c r="L1202" t="n">
        <v>0</v>
      </c>
      <c r="M1202" t="n">
        <v>0</v>
      </c>
      <c r="N1202" t="n">
        <v>0</v>
      </c>
      <c r="O1202" t="n">
        <v>0</v>
      </c>
      <c r="P1202" t="n">
        <v>0</v>
      </c>
      <c r="Q1202" t="n">
        <v>0</v>
      </c>
      <c r="R1202" s="2" t="inlineStr"/>
    </row>
    <row r="1203" ht="15" customHeight="1">
      <c r="A1203" t="inlineStr">
        <is>
          <t>A 50616-2019</t>
        </is>
      </c>
      <c r="B1203" s="1" t="n">
        <v>43736</v>
      </c>
      <c r="C1203" s="1" t="n">
        <v>45351</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50785-2019</t>
        </is>
      </c>
      <c r="B1204" s="1" t="n">
        <v>43737</v>
      </c>
      <c r="C1204" s="1" t="n">
        <v>45351</v>
      </c>
      <c r="D1204" t="inlineStr">
        <is>
          <t>UPPSALA LÄN</t>
        </is>
      </c>
      <c r="E1204" t="inlineStr">
        <is>
          <t>HEBY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50858-2019</t>
        </is>
      </c>
      <c r="B1205" s="1" t="n">
        <v>43738</v>
      </c>
      <c r="C1205" s="1" t="n">
        <v>45351</v>
      </c>
      <c r="D1205" t="inlineStr">
        <is>
          <t>UPPSALA LÄN</t>
        </is>
      </c>
      <c r="E1205" t="inlineStr">
        <is>
          <t>TIERP</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50893-2019</t>
        </is>
      </c>
      <c r="B1206" s="1" t="n">
        <v>43738</v>
      </c>
      <c r="C1206" s="1" t="n">
        <v>45351</v>
      </c>
      <c r="D1206" t="inlineStr">
        <is>
          <t>UPPSALA LÄN</t>
        </is>
      </c>
      <c r="E1206" t="inlineStr">
        <is>
          <t>ENKÖPING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50688-2019</t>
        </is>
      </c>
      <c r="B1207" s="1" t="n">
        <v>43738</v>
      </c>
      <c r="C1207" s="1" t="n">
        <v>45351</v>
      </c>
      <c r="D1207" t="inlineStr">
        <is>
          <t>UPPSALA LÄN</t>
        </is>
      </c>
      <c r="E1207" t="inlineStr">
        <is>
          <t>HEBY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52516-2019</t>
        </is>
      </c>
      <c r="B1208" s="1" t="n">
        <v>43738</v>
      </c>
      <c r="C1208" s="1" t="n">
        <v>45351</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51025-2019</t>
        </is>
      </c>
      <c r="B1209" s="1" t="n">
        <v>43739</v>
      </c>
      <c r="C1209" s="1" t="n">
        <v>45351</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51488-2019</t>
        </is>
      </c>
      <c r="B1210" s="1" t="n">
        <v>43740</v>
      </c>
      <c r="C1210" s="1" t="n">
        <v>45351</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53320-2019</t>
        </is>
      </c>
      <c r="B1211" s="1" t="n">
        <v>43740</v>
      </c>
      <c r="C1211" s="1" t="n">
        <v>45351</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51862-2019</t>
        </is>
      </c>
      <c r="B1212" s="1" t="n">
        <v>43741</v>
      </c>
      <c r="C1212" s="1" t="n">
        <v>45351</v>
      </c>
      <c r="D1212" t="inlineStr">
        <is>
          <t>UPPSALA LÄN</t>
        </is>
      </c>
      <c r="E1212" t="inlineStr">
        <is>
          <t>HEBY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51782-2019</t>
        </is>
      </c>
      <c r="B1213" s="1" t="n">
        <v>43741</v>
      </c>
      <c r="C1213" s="1" t="n">
        <v>45351</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51796-2019</t>
        </is>
      </c>
      <c r="B1214" s="1" t="n">
        <v>43741</v>
      </c>
      <c r="C1214" s="1" t="n">
        <v>45351</v>
      </c>
      <c r="D1214" t="inlineStr">
        <is>
          <t>UPPSALA LÄN</t>
        </is>
      </c>
      <c r="E1214" t="inlineStr">
        <is>
          <t>TIERP</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51802-2019</t>
        </is>
      </c>
      <c r="B1215" s="1" t="n">
        <v>43741</v>
      </c>
      <c r="C1215" s="1" t="n">
        <v>45351</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51836-2019</t>
        </is>
      </c>
      <c r="B1216" s="1" t="n">
        <v>43741</v>
      </c>
      <c r="C1216" s="1" t="n">
        <v>45351</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51805-2019</t>
        </is>
      </c>
      <c r="B1217" s="1" t="n">
        <v>43741</v>
      </c>
      <c r="C1217" s="1" t="n">
        <v>45351</v>
      </c>
      <c r="D1217" t="inlineStr">
        <is>
          <t>UPPSALA LÄN</t>
        </is>
      </c>
      <c r="E1217" t="inlineStr">
        <is>
          <t>ENKÖPING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51905-2019</t>
        </is>
      </c>
      <c r="B1218" s="1" t="n">
        <v>43741</v>
      </c>
      <c r="C1218" s="1" t="n">
        <v>45351</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51912-2019</t>
        </is>
      </c>
      <c r="B1219" s="1" t="n">
        <v>43741</v>
      </c>
      <c r="C1219" s="1" t="n">
        <v>45351</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52187-2019</t>
        </is>
      </c>
      <c r="B1220" s="1" t="n">
        <v>43742</v>
      </c>
      <c r="C1220" s="1" t="n">
        <v>45351</v>
      </c>
      <c r="D1220" t="inlineStr">
        <is>
          <t>UPPSALA LÄN</t>
        </is>
      </c>
      <c r="E1220" t="inlineStr">
        <is>
          <t>HEBY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52386-2019</t>
        </is>
      </c>
      <c r="B1221" s="1" t="n">
        <v>43745</v>
      </c>
      <c r="C1221" s="1" t="n">
        <v>45351</v>
      </c>
      <c r="D1221" t="inlineStr">
        <is>
          <t>UPPSALA LÄN</t>
        </is>
      </c>
      <c r="E1221" t="inlineStr">
        <is>
          <t>UPPSALA</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52524-2019</t>
        </is>
      </c>
      <c r="B1222" s="1" t="n">
        <v>43745</v>
      </c>
      <c r="C1222" s="1" t="n">
        <v>45351</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52394-2019</t>
        </is>
      </c>
      <c r="B1223" s="1" t="n">
        <v>43745</v>
      </c>
      <c r="C1223" s="1" t="n">
        <v>45351</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52419-2019</t>
        </is>
      </c>
      <c r="B1224" s="1" t="n">
        <v>43745</v>
      </c>
      <c r="C1224" s="1" t="n">
        <v>45351</v>
      </c>
      <c r="D1224" t="inlineStr">
        <is>
          <t>UPPSALA LÄN</t>
        </is>
      </c>
      <c r="E1224" t="inlineStr">
        <is>
          <t>UPPSALA</t>
        </is>
      </c>
      <c r="F1224" t="inlineStr">
        <is>
          <t>Allmännings- och besparingsskogar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54280-2019</t>
        </is>
      </c>
      <c r="B1225" s="1" t="n">
        <v>43745</v>
      </c>
      <c r="C1225" s="1" t="n">
        <v>45351</v>
      </c>
      <c r="D1225" t="inlineStr">
        <is>
          <t>UPPSALA LÄN</t>
        </is>
      </c>
      <c r="E1225" t="inlineStr">
        <is>
          <t>HEBY</t>
        </is>
      </c>
      <c r="F1225" t="inlineStr">
        <is>
          <t>Bergvik skog väst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54258-2019</t>
        </is>
      </c>
      <c r="B1226" s="1" t="n">
        <v>43745</v>
      </c>
      <c r="C1226" s="1" t="n">
        <v>45351</v>
      </c>
      <c r="D1226" t="inlineStr">
        <is>
          <t>UPPSALA LÄN</t>
        </is>
      </c>
      <c r="E1226" t="inlineStr">
        <is>
          <t>HEBY</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52726-2019</t>
        </is>
      </c>
      <c r="B1227" s="1" t="n">
        <v>43746</v>
      </c>
      <c r="C1227" s="1" t="n">
        <v>45351</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52831-2019</t>
        </is>
      </c>
      <c r="B1228" s="1" t="n">
        <v>43746</v>
      </c>
      <c r="C1228" s="1" t="n">
        <v>45351</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52955-2019</t>
        </is>
      </c>
      <c r="B1229" s="1" t="n">
        <v>43747</v>
      </c>
      <c r="C1229" s="1" t="n">
        <v>45351</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52950-2019</t>
        </is>
      </c>
      <c r="B1230" s="1" t="n">
        <v>43747</v>
      </c>
      <c r="C1230" s="1" t="n">
        <v>45351</v>
      </c>
      <c r="D1230" t="inlineStr">
        <is>
          <t>UPPSALA LÄN</t>
        </is>
      </c>
      <c r="E1230" t="inlineStr">
        <is>
          <t>UPPSALA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53303-2019</t>
        </is>
      </c>
      <c r="B1231" s="1" t="n">
        <v>43747</v>
      </c>
      <c r="C1231" s="1" t="n">
        <v>45351</v>
      </c>
      <c r="D1231" t="inlineStr">
        <is>
          <t>UPPSALA LÄN</t>
        </is>
      </c>
      <c r="E1231" t="inlineStr">
        <is>
          <t>UPPSALA</t>
        </is>
      </c>
      <c r="F1231" t="inlineStr">
        <is>
          <t>Allmännings- och besparingsskogar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54479-2019</t>
        </is>
      </c>
      <c r="B1232" s="1" t="n">
        <v>43747</v>
      </c>
      <c r="C1232" s="1" t="n">
        <v>45351</v>
      </c>
      <c r="D1232" t="inlineStr">
        <is>
          <t>UPPSALA LÄN</t>
        </is>
      </c>
      <c r="E1232" t="inlineStr">
        <is>
          <t>HEBY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53316-2019</t>
        </is>
      </c>
      <c r="B1233" s="1" t="n">
        <v>43748</v>
      </c>
      <c r="C1233" s="1" t="n">
        <v>45351</v>
      </c>
      <c r="D1233" t="inlineStr">
        <is>
          <t>UPPSALA LÄN</t>
        </is>
      </c>
      <c r="E1233" t="inlineStr">
        <is>
          <t>UPPSALA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53442-2019</t>
        </is>
      </c>
      <c r="B1234" s="1" t="n">
        <v>43748</v>
      </c>
      <c r="C1234" s="1" t="n">
        <v>45351</v>
      </c>
      <c r="D1234" t="inlineStr">
        <is>
          <t>UPPSALA LÄN</t>
        </is>
      </c>
      <c r="E1234" t="inlineStr">
        <is>
          <t>ÖSTHAMMAR</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53733-2019</t>
        </is>
      </c>
      <c r="B1235" s="1" t="n">
        <v>43749</v>
      </c>
      <c r="C1235" s="1" t="n">
        <v>45351</v>
      </c>
      <c r="D1235" t="inlineStr">
        <is>
          <t>UPPSALA LÄN</t>
        </is>
      </c>
      <c r="E1235" t="inlineStr">
        <is>
          <t>HEBY</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53738-2019</t>
        </is>
      </c>
      <c r="B1236" s="1" t="n">
        <v>43749</v>
      </c>
      <c r="C1236" s="1" t="n">
        <v>45351</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53840-2019</t>
        </is>
      </c>
      <c r="B1237" s="1" t="n">
        <v>43752</v>
      </c>
      <c r="C1237" s="1" t="n">
        <v>45351</v>
      </c>
      <c r="D1237" t="inlineStr">
        <is>
          <t>UPPSALA LÄN</t>
        </is>
      </c>
      <c r="E1237" t="inlineStr">
        <is>
          <t>ENKÖPING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55369-2019</t>
        </is>
      </c>
      <c r="B1238" s="1" t="n">
        <v>43754</v>
      </c>
      <c r="C1238" s="1" t="n">
        <v>45351</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54757-2019</t>
        </is>
      </c>
      <c r="B1239" s="1" t="n">
        <v>43755</v>
      </c>
      <c r="C1239" s="1" t="n">
        <v>45351</v>
      </c>
      <c r="D1239" t="inlineStr">
        <is>
          <t>UPPSALA LÄN</t>
        </is>
      </c>
      <c r="E1239" t="inlineStr">
        <is>
          <t>UPPSALA</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55382-2019</t>
        </is>
      </c>
      <c r="B1240" s="1" t="n">
        <v>43755</v>
      </c>
      <c r="C1240" s="1" t="n">
        <v>45351</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55170-2019</t>
        </is>
      </c>
      <c r="B1241" s="1" t="n">
        <v>43756</v>
      </c>
      <c r="C1241" s="1" t="n">
        <v>45351</v>
      </c>
      <c r="D1241" t="inlineStr">
        <is>
          <t>UPPSALA LÄN</t>
        </is>
      </c>
      <c r="E1241" t="inlineStr">
        <is>
          <t>KNIVSTA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56380-2019</t>
        </is>
      </c>
      <c r="B1242" s="1" t="n">
        <v>43756</v>
      </c>
      <c r="C1242" s="1" t="n">
        <v>45351</v>
      </c>
      <c r="D1242" t="inlineStr">
        <is>
          <t>UPPSALA LÄN</t>
        </is>
      </c>
      <c r="E1242" t="inlineStr">
        <is>
          <t>TIERP</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56153-2019</t>
        </is>
      </c>
      <c r="B1243" s="1" t="n">
        <v>43756</v>
      </c>
      <c r="C1243" s="1" t="n">
        <v>45351</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55516-2019</t>
        </is>
      </c>
      <c r="B1244" s="1" t="n">
        <v>43759</v>
      </c>
      <c r="C1244" s="1" t="n">
        <v>45351</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55872-2019</t>
        </is>
      </c>
      <c r="B1245" s="1" t="n">
        <v>43759</v>
      </c>
      <c r="C1245" s="1" t="n">
        <v>45351</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55876-2019</t>
        </is>
      </c>
      <c r="B1246" s="1" t="n">
        <v>43759</v>
      </c>
      <c r="C1246" s="1" t="n">
        <v>45351</v>
      </c>
      <c r="D1246" t="inlineStr">
        <is>
          <t>UPPSALA LÄN</t>
        </is>
      </c>
      <c r="E1246" t="inlineStr">
        <is>
          <t>HÅBO</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55512-2019</t>
        </is>
      </c>
      <c r="B1247" s="1" t="n">
        <v>43759</v>
      </c>
      <c r="C1247" s="1" t="n">
        <v>45351</v>
      </c>
      <c r="D1247" t="inlineStr">
        <is>
          <t>UPPSALA LÄN</t>
        </is>
      </c>
      <c r="E1247" t="inlineStr">
        <is>
          <t>ENKÖPING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56041-2019</t>
        </is>
      </c>
      <c r="B1248" s="1" t="n">
        <v>43759</v>
      </c>
      <c r="C1248" s="1" t="n">
        <v>45351</v>
      </c>
      <c r="D1248" t="inlineStr">
        <is>
          <t>UPPSALA LÄN</t>
        </is>
      </c>
      <c r="E1248" t="inlineStr">
        <is>
          <t>UPPSALA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55944-2019</t>
        </is>
      </c>
      <c r="B1249" s="1" t="n">
        <v>43761</v>
      </c>
      <c r="C1249" s="1" t="n">
        <v>45351</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57686-2019</t>
        </is>
      </c>
      <c r="B1250" s="1" t="n">
        <v>43761</v>
      </c>
      <c r="C1250" s="1" t="n">
        <v>45351</v>
      </c>
      <c r="D1250" t="inlineStr">
        <is>
          <t>UPPSALA LÄN</t>
        </is>
      </c>
      <c r="E1250" t="inlineStr">
        <is>
          <t>ÖSTHAMMAR</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56309-2019</t>
        </is>
      </c>
      <c r="B1251" s="1" t="n">
        <v>43762</v>
      </c>
      <c r="C1251" s="1" t="n">
        <v>45351</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56634-2019</t>
        </is>
      </c>
      <c r="B1252" s="1" t="n">
        <v>43763</v>
      </c>
      <c r="C1252" s="1" t="n">
        <v>45351</v>
      </c>
      <c r="D1252" t="inlineStr">
        <is>
          <t>UPPSALA LÄN</t>
        </is>
      </c>
      <c r="E1252" t="inlineStr">
        <is>
          <t>UPPSALA</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56932-2019</t>
        </is>
      </c>
      <c r="B1253" s="1" t="n">
        <v>43766</v>
      </c>
      <c r="C1253" s="1" t="n">
        <v>45351</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56910-2019</t>
        </is>
      </c>
      <c r="B1254" s="1" t="n">
        <v>43766</v>
      </c>
      <c r="C1254" s="1" t="n">
        <v>45351</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57023-2019</t>
        </is>
      </c>
      <c r="B1255" s="1" t="n">
        <v>43766</v>
      </c>
      <c r="C1255" s="1" t="n">
        <v>45351</v>
      </c>
      <c r="D1255" t="inlineStr">
        <is>
          <t>UPPSALA LÄN</t>
        </is>
      </c>
      <c r="E1255" t="inlineStr">
        <is>
          <t>HEBY</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57066-2019</t>
        </is>
      </c>
      <c r="B1256" s="1" t="n">
        <v>43766</v>
      </c>
      <c r="C1256" s="1" t="n">
        <v>45351</v>
      </c>
      <c r="D1256" t="inlineStr">
        <is>
          <t>UPPSALA LÄN</t>
        </is>
      </c>
      <c r="E1256" t="inlineStr">
        <is>
          <t>ENKÖPING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56897-2019</t>
        </is>
      </c>
      <c r="B1257" s="1" t="n">
        <v>43766</v>
      </c>
      <c r="C1257" s="1" t="n">
        <v>45351</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57126-2019</t>
        </is>
      </c>
      <c r="B1258" s="1" t="n">
        <v>43766</v>
      </c>
      <c r="C1258" s="1" t="n">
        <v>45351</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57134-2019</t>
        </is>
      </c>
      <c r="B1259" s="1" t="n">
        <v>43766</v>
      </c>
      <c r="C1259" s="1" t="n">
        <v>45351</v>
      </c>
      <c r="D1259" t="inlineStr">
        <is>
          <t>UPPSALA LÄN</t>
        </is>
      </c>
      <c r="E1259" t="inlineStr">
        <is>
          <t>HEBY</t>
        </is>
      </c>
      <c r="G1259" t="n">
        <v>6.9</v>
      </c>
      <c r="H1259" t="n">
        <v>0</v>
      </c>
      <c r="I1259" t="n">
        <v>0</v>
      </c>
      <c r="J1259" t="n">
        <v>0</v>
      </c>
      <c r="K1259" t="n">
        <v>0</v>
      </c>
      <c r="L1259" t="n">
        <v>0</v>
      </c>
      <c r="M1259" t="n">
        <v>0</v>
      </c>
      <c r="N1259" t="n">
        <v>0</v>
      </c>
      <c r="O1259" t="n">
        <v>0</v>
      </c>
      <c r="P1259" t="n">
        <v>0</v>
      </c>
      <c r="Q1259" t="n">
        <v>0</v>
      </c>
      <c r="R1259" s="2" t="inlineStr"/>
      <c r="U1259">
        <f>HYPERLINK("https://klasma.github.io/Logging_0331/knärot/A 57134-2019 karta knärot.png", "A 57134-2019")</f>
        <v/>
      </c>
      <c r="V1259">
        <f>HYPERLINK("https://klasma.github.io/Logging_0331/klagomål/A 57134-2019 FSC-klagomål.docx", "A 57134-2019")</f>
        <v/>
      </c>
      <c r="W1259">
        <f>HYPERLINK("https://klasma.github.io/Logging_0331/klagomålsmail/A 57134-2019 FSC-klagomål mail.docx", "A 57134-2019")</f>
        <v/>
      </c>
      <c r="X1259">
        <f>HYPERLINK("https://klasma.github.io/Logging_0331/tillsyn/A 57134-2019 tillsynsbegäran.docx", "A 57134-2019")</f>
        <v/>
      </c>
      <c r="Y1259">
        <f>HYPERLINK("https://klasma.github.io/Logging_0331/tillsynsmail/A 57134-2019 tillsynsbegäran mail.docx", "A 57134-2019")</f>
        <v/>
      </c>
    </row>
    <row r="1260" ht="15" customHeight="1">
      <c r="A1260" t="inlineStr">
        <is>
          <t>A 57304-2019</t>
        </is>
      </c>
      <c r="B1260" s="1" t="n">
        <v>43767</v>
      </c>
      <c r="C1260" s="1" t="n">
        <v>45351</v>
      </c>
      <c r="D1260" t="inlineStr">
        <is>
          <t>UPPSALA LÄN</t>
        </is>
      </c>
      <c r="E1260" t="inlineStr">
        <is>
          <t>ÖSTHAMMAR</t>
        </is>
      </c>
      <c r="F1260" t="inlineStr">
        <is>
          <t>Bergvik skog öst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57813-2019</t>
        </is>
      </c>
      <c r="B1261" s="1" t="n">
        <v>43768</v>
      </c>
      <c r="C1261" s="1" t="n">
        <v>45351</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57792-2019</t>
        </is>
      </c>
      <c r="B1262" s="1" t="n">
        <v>43768</v>
      </c>
      <c r="C1262" s="1" t="n">
        <v>45351</v>
      </c>
      <c r="D1262" t="inlineStr">
        <is>
          <t>UPPSALA LÄN</t>
        </is>
      </c>
      <c r="E1262" t="inlineStr">
        <is>
          <t>HEBY</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57821-2019</t>
        </is>
      </c>
      <c r="B1263" s="1" t="n">
        <v>43768</v>
      </c>
      <c r="C1263" s="1" t="n">
        <v>45351</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57820-2019</t>
        </is>
      </c>
      <c r="B1264" s="1" t="n">
        <v>43768</v>
      </c>
      <c r="C1264" s="1" t="n">
        <v>45351</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57745-2019</t>
        </is>
      </c>
      <c r="B1265" s="1" t="n">
        <v>43768</v>
      </c>
      <c r="C1265" s="1" t="n">
        <v>45351</v>
      </c>
      <c r="D1265" t="inlineStr">
        <is>
          <t>UPPSALA LÄN</t>
        </is>
      </c>
      <c r="E1265" t="inlineStr">
        <is>
          <t>ÄLVKARLEBY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58146-2019</t>
        </is>
      </c>
      <c r="B1266" s="1" t="n">
        <v>43769</v>
      </c>
      <c r="C1266" s="1" t="n">
        <v>45351</v>
      </c>
      <c r="D1266" t="inlineStr">
        <is>
          <t>UPPSALA LÄN</t>
        </is>
      </c>
      <c r="E1266" t="inlineStr">
        <is>
          <t>KNIVSTA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59227-2019</t>
        </is>
      </c>
      <c r="B1267" s="1" t="n">
        <v>43770</v>
      </c>
      <c r="C1267" s="1" t="n">
        <v>45351</v>
      </c>
      <c r="D1267" t="inlineStr">
        <is>
          <t>UPPSALA LÄN</t>
        </is>
      </c>
      <c r="E1267" t="inlineStr">
        <is>
          <t>TIERP</t>
        </is>
      </c>
      <c r="F1267" t="inlineStr">
        <is>
          <t>Bergvik skog väst AB</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58276-2019</t>
        </is>
      </c>
      <c r="B1268" s="1" t="n">
        <v>43770</v>
      </c>
      <c r="C1268" s="1" t="n">
        <v>45351</v>
      </c>
      <c r="D1268" t="inlineStr">
        <is>
          <t>UPPSALA LÄN</t>
        </is>
      </c>
      <c r="E1268" t="inlineStr">
        <is>
          <t>TIERP</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58491-2019</t>
        </is>
      </c>
      <c r="B1269" s="1" t="n">
        <v>43773</v>
      </c>
      <c r="C1269" s="1" t="n">
        <v>45351</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58445-2019</t>
        </is>
      </c>
      <c r="B1270" s="1" t="n">
        <v>43773</v>
      </c>
      <c r="C1270" s="1" t="n">
        <v>45351</v>
      </c>
      <c r="D1270" t="inlineStr">
        <is>
          <t>UPPSALA LÄN</t>
        </is>
      </c>
      <c r="E1270" t="inlineStr">
        <is>
          <t>UPPSALA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58527-2019</t>
        </is>
      </c>
      <c r="B1271" s="1" t="n">
        <v>43773</v>
      </c>
      <c r="C1271" s="1" t="n">
        <v>45351</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58558-2019</t>
        </is>
      </c>
      <c r="B1272" s="1" t="n">
        <v>43773</v>
      </c>
      <c r="C1272" s="1" t="n">
        <v>45351</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58903-2019</t>
        </is>
      </c>
      <c r="B1273" s="1" t="n">
        <v>43773</v>
      </c>
      <c r="C1273" s="1" t="n">
        <v>45351</v>
      </c>
      <c r="D1273" t="inlineStr">
        <is>
          <t>UPPSALA LÄN</t>
        </is>
      </c>
      <c r="E1273" t="inlineStr">
        <is>
          <t>UPPSALA</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59283-2019</t>
        </is>
      </c>
      <c r="B1274" s="1" t="n">
        <v>43773</v>
      </c>
      <c r="C1274" s="1" t="n">
        <v>45351</v>
      </c>
      <c r="D1274" t="inlineStr">
        <is>
          <t>UPPSALA LÄN</t>
        </is>
      </c>
      <c r="E1274" t="inlineStr">
        <is>
          <t>HÅBO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58665-2019</t>
        </is>
      </c>
      <c r="B1275" s="1" t="n">
        <v>43773</v>
      </c>
      <c r="C1275" s="1" t="n">
        <v>45351</v>
      </c>
      <c r="D1275" t="inlineStr">
        <is>
          <t>UPPSALA LÄN</t>
        </is>
      </c>
      <c r="E1275" t="inlineStr">
        <is>
          <t>ÖSTHAMMAR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59058-2019</t>
        </is>
      </c>
      <c r="B1276" s="1" t="n">
        <v>43774</v>
      </c>
      <c r="C1276" s="1" t="n">
        <v>45351</v>
      </c>
      <c r="D1276" t="inlineStr">
        <is>
          <t>UPPSALA LÄN</t>
        </is>
      </c>
      <c r="E1276" t="inlineStr">
        <is>
          <t>TIERP</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59239-2019</t>
        </is>
      </c>
      <c r="B1277" s="1" t="n">
        <v>43775</v>
      </c>
      <c r="C1277" s="1" t="n">
        <v>45351</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60054-2019</t>
        </is>
      </c>
      <c r="B1278" s="1" t="n">
        <v>43775</v>
      </c>
      <c r="C1278" s="1" t="n">
        <v>45351</v>
      </c>
      <c r="D1278" t="inlineStr">
        <is>
          <t>UPPSALA LÄN</t>
        </is>
      </c>
      <c r="E1278" t="inlineStr">
        <is>
          <t>ENKÖPING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59600-2019</t>
        </is>
      </c>
      <c r="B1279" s="1" t="n">
        <v>43776</v>
      </c>
      <c r="C1279" s="1" t="n">
        <v>45351</v>
      </c>
      <c r="D1279" t="inlineStr">
        <is>
          <t>UPPSALA LÄN</t>
        </is>
      </c>
      <c r="E1279" t="inlineStr">
        <is>
          <t>ENKÖPING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60070-2019</t>
        </is>
      </c>
      <c r="B1280" s="1" t="n">
        <v>43777</v>
      </c>
      <c r="C1280" s="1" t="n">
        <v>45351</v>
      </c>
      <c r="D1280" t="inlineStr">
        <is>
          <t>UPPSALA LÄN</t>
        </is>
      </c>
      <c r="E1280" t="inlineStr">
        <is>
          <t>ENKÖPING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60011-2019</t>
        </is>
      </c>
      <c r="B1281" s="1" t="n">
        <v>43777</v>
      </c>
      <c r="C1281" s="1" t="n">
        <v>45351</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60062-2019</t>
        </is>
      </c>
      <c r="B1282" s="1" t="n">
        <v>43777</v>
      </c>
      <c r="C1282" s="1" t="n">
        <v>45351</v>
      </c>
      <c r="D1282" t="inlineStr">
        <is>
          <t>UPPSALA LÄN</t>
        </is>
      </c>
      <c r="E1282" t="inlineStr">
        <is>
          <t>ENKÖPING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60159-2019</t>
        </is>
      </c>
      <c r="B1283" s="1" t="n">
        <v>43777</v>
      </c>
      <c r="C1283" s="1" t="n">
        <v>45351</v>
      </c>
      <c r="D1283" t="inlineStr">
        <is>
          <t>UPPSALA LÄN</t>
        </is>
      </c>
      <c r="E1283" t="inlineStr">
        <is>
          <t>UPPSALA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60230-2019</t>
        </is>
      </c>
      <c r="B1284" s="1" t="n">
        <v>43780</v>
      </c>
      <c r="C1284" s="1" t="n">
        <v>45351</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60163-2019</t>
        </is>
      </c>
      <c r="B1285" s="1" t="n">
        <v>43780</v>
      </c>
      <c r="C1285" s="1" t="n">
        <v>45351</v>
      </c>
      <c r="D1285" t="inlineStr">
        <is>
          <t>UPPSALA LÄN</t>
        </is>
      </c>
      <c r="E1285" t="inlineStr">
        <is>
          <t>UPPSALA</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60222-2019</t>
        </is>
      </c>
      <c r="B1286" s="1" t="n">
        <v>43780</v>
      </c>
      <c r="C1286" s="1" t="n">
        <v>45351</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61322-2019</t>
        </is>
      </c>
      <c r="B1287" s="1" t="n">
        <v>43780</v>
      </c>
      <c r="C1287" s="1" t="n">
        <v>45351</v>
      </c>
      <c r="D1287" t="inlineStr">
        <is>
          <t>UPPSALA LÄN</t>
        </is>
      </c>
      <c r="E1287" t="inlineStr">
        <is>
          <t>TIERP</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60579-2019</t>
        </is>
      </c>
      <c r="B1288" s="1" t="n">
        <v>43780</v>
      </c>
      <c r="C1288" s="1" t="n">
        <v>45351</v>
      </c>
      <c r="D1288" t="inlineStr">
        <is>
          <t>UPPSALA LÄN</t>
        </is>
      </c>
      <c r="E1288" t="inlineStr">
        <is>
          <t>UPPSALA</t>
        </is>
      </c>
      <c r="F1288" t="inlineStr">
        <is>
          <t>Övriga Aktiebolag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60806-2019</t>
        </is>
      </c>
      <c r="B1289" s="1" t="n">
        <v>43781</v>
      </c>
      <c r="C1289" s="1" t="n">
        <v>45351</v>
      </c>
      <c r="D1289" t="inlineStr">
        <is>
          <t>UPPSALA LÄN</t>
        </is>
      </c>
      <c r="E1289" t="inlineStr">
        <is>
          <t>HEBY</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60977-2019</t>
        </is>
      </c>
      <c r="B1290" s="1" t="n">
        <v>43782</v>
      </c>
      <c r="C1290" s="1" t="n">
        <v>45351</v>
      </c>
      <c r="D1290" t="inlineStr">
        <is>
          <t>UPPSALA LÄN</t>
        </is>
      </c>
      <c r="E1290" t="inlineStr">
        <is>
          <t>ÖSTHAMMAR</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61005-2019</t>
        </is>
      </c>
      <c r="B1291" s="1" t="n">
        <v>43782</v>
      </c>
      <c r="C1291" s="1" t="n">
        <v>45351</v>
      </c>
      <c r="D1291" t="inlineStr">
        <is>
          <t>UPPSALA LÄN</t>
        </is>
      </c>
      <c r="E1291" t="inlineStr">
        <is>
          <t>ENKÖPING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62096-2019</t>
        </is>
      </c>
      <c r="B1292" s="1" t="n">
        <v>43782</v>
      </c>
      <c r="C1292" s="1" t="n">
        <v>45351</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62308-2019</t>
        </is>
      </c>
      <c r="B1293" s="1" t="n">
        <v>43782</v>
      </c>
      <c r="C1293" s="1" t="n">
        <v>45351</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61351-2019</t>
        </is>
      </c>
      <c r="B1294" s="1" t="n">
        <v>43783</v>
      </c>
      <c r="C1294" s="1" t="n">
        <v>45351</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61395-2019</t>
        </is>
      </c>
      <c r="B1295" s="1" t="n">
        <v>43783</v>
      </c>
      <c r="C1295" s="1" t="n">
        <v>45351</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61388-2019</t>
        </is>
      </c>
      <c r="B1296" s="1" t="n">
        <v>43783</v>
      </c>
      <c r="C1296" s="1" t="n">
        <v>45351</v>
      </c>
      <c r="D1296" t="inlineStr">
        <is>
          <t>UPPSALA LÄN</t>
        </is>
      </c>
      <c r="E1296" t="inlineStr">
        <is>
          <t>HEBY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61667-2019</t>
        </is>
      </c>
      <c r="B1297" s="1" t="n">
        <v>43784</v>
      </c>
      <c r="C1297" s="1" t="n">
        <v>45351</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61924-2019</t>
        </is>
      </c>
      <c r="B1298" s="1" t="n">
        <v>43787</v>
      </c>
      <c r="C1298" s="1" t="n">
        <v>45351</v>
      </c>
      <c r="D1298" t="inlineStr">
        <is>
          <t>UPPSALA LÄN</t>
        </is>
      </c>
      <c r="E1298" t="inlineStr">
        <is>
          <t>HEBY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61866-2019</t>
        </is>
      </c>
      <c r="B1299" s="1" t="n">
        <v>43787</v>
      </c>
      <c r="C1299" s="1" t="n">
        <v>45351</v>
      </c>
      <c r="D1299" t="inlineStr">
        <is>
          <t>UPPSALA LÄN</t>
        </is>
      </c>
      <c r="E1299" t="inlineStr">
        <is>
          <t>ÖSTHAMMAR</t>
        </is>
      </c>
      <c r="F1299" t="inlineStr">
        <is>
          <t>Bergvik skog öst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62026-2019</t>
        </is>
      </c>
      <c r="B1300" s="1" t="n">
        <v>43787</v>
      </c>
      <c r="C1300" s="1" t="n">
        <v>45351</v>
      </c>
      <c r="D1300" t="inlineStr">
        <is>
          <t>UPPSALA LÄN</t>
        </is>
      </c>
      <c r="E1300" t="inlineStr">
        <is>
          <t>HEBY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62022-2019</t>
        </is>
      </c>
      <c r="B1301" s="1" t="n">
        <v>43787</v>
      </c>
      <c r="C1301" s="1" t="n">
        <v>45351</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62808-2019</t>
        </is>
      </c>
      <c r="B1302" s="1" t="n">
        <v>43790</v>
      </c>
      <c r="C1302" s="1" t="n">
        <v>45351</v>
      </c>
      <c r="D1302" t="inlineStr">
        <is>
          <t>UPPSALA LÄN</t>
        </is>
      </c>
      <c r="E1302" t="inlineStr">
        <is>
          <t>ÖSTHAMMAR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62868-2019</t>
        </is>
      </c>
      <c r="B1303" s="1" t="n">
        <v>43790</v>
      </c>
      <c r="C1303" s="1" t="n">
        <v>45351</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63145-2019</t>
        </is>
      </c>
      <c r="B1304" s="1" t="n">
        <v>43791</v>
      </c>
      <c r="C1304" s="1" t="n">
        <v>45351</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63091-2019</t>
        </is>
      </c>
      <c r="B1305" s="1" t="n">
        <v>43791</v>
      </c>
      <c r="C1305" s="1" t="n">
        <v>45351</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63099-2019</t>
        </is>
      </c>
      <c r="B1306" s="1" t="n">
        <v>43791</v>
      </c>
      <c r="C1306" s="1" t="n">
        <v>45351</v>
      </c>
      <c r="D1306" t="inlineStr">
        <is>
          <t>UPPSALA LÄN</t>
        </is>
      </c>
      <c r="E1306" t="inlineStr">
        <is>
          <t>UPPSALA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63118-2019</t>
        </is>
      </c>
      <c r="B1307" s="1" t="n">
        <v>43791</v>
      </c>
      <c r="C1307" s="1" t="n">
        <v>45351</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63376-2019</t>
        </is>
      </c>
      <c r="B1308" s="1" t="n">
        <v>43794</v>
      </c>
      <c r="C1308" s="1" t="n">
        <v>45351</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63589-2019</t>
        </is>
      </c>
      <c r="B1309" s="1" t="n">
        <v>43795</v>
      </c>
      <c r="C1309" s="1" t="n">
        <v>45351</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63564-2019</t>
        </is>
      </c>
      <c r="B1310" s="1" t="n">
        <v>43795</v>
      </c>
      <c r="C1310" s="1" t="n">
        <v>45351</v>
      </c>
      <c r="D1310" t="inlineStr">
        <is>
          <t>UPPSALA LÄN</t>
        </is>
      </c>
      <c r="E1310" t="inlineStr">
        <is>
          <t>ÖSTHAMMAR</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63769-2019</t>
        </is>
      </c>
      <c r="B1311" s="1" t="n">
        <v>43795</v>
      </c>
      <c r="C1311" s="1" t="n">
        <v>45351</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63757-2019</t>
        </is>
      </c>
      <c r="B1312" s="1" t="n">
        <v>43795</v>
      </c>
      <c r="C1312" s="1" t="n">
        <v>45351</v>
      </c>
      <c r="D1312" t="inlineStr">
        <is>
          <t>UPPSALA LÄN</t>
        </is>
      </c>
      <c r="E1312" t="inlineStr">
        <is>
          <t>UPPSALA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63756-2019</t>
        </is>
      </c>
      <c r="B1313" s="1" t="n">
        <v>43795</v>
      </c>
      <c r="C1313" s="1" t="n">
        <v>45351</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63872-2019</t>
        </is>
      </c>
      <c r="B1314" s="1" t="n">
        <v>43796</v>
      </c>
      <c r="C1314" s="1" t="n">
        <v>45351</v>
      </c>
      <c r="D1314" t="inlineStr">
        <is>
          <t>UPPSALA LÄN</t>
        </is>
      </c>
      <c r="E1314" t="inlineStr">
        <is>
          <t>TIERP</t>
        </is>
      </c>
      <c r="F1314" t="inlineStr">
        <is>
          <t>Bergvik skog väst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64252-2019</t>
        </is>
      </c>
      <c r="B1315" s="1" t="n">
        <v>43797</v>
      </c>
      <c r="C1315" s="1" t="n">
        <v>45351</v>
      </c>
      <c r="D1315" t="inlineStr">
        <is>
          <t>UPPSALA LÄN</t>
        </is>
      </c>
      <c r="E1315" t="inlineStr">
        <is>
          <t>TIERP</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64250-2019</t>
        </is>
      </c>
      <c r="B1316" s="1" t="n">
        <v>43797</v>
      </c>
      <c r="C1316" s="1" t="n">
        <v>45351</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64271-2019</t>
        </is>
      </c>
      <c r="B1317" s="1" t="n">
        <v>43797</v>
      </c>
      <c r="C1317" s="1" t="n">
        <v>45351</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64344-2019</t>
        </is>
      </c>
      <c r="B1318" s="1" t="n">
        <v>43797</v>
      </c>
      <c r="C1318" s="1" t="n">
        <v>45351</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65903-2019</t>
        </is>
      </c>
      <c r="B1319" s="1" t="n">
        <v>43800</v>
      </c>
      <c r="C1319" s="1" t="n">
        <v>45351</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64836-2019</t>
        </is>
      </c>
      <c r="B1320" s="1" t="n">
        <v>43801</v>
      </c>
      <c r="C1320" s="1" t="n">
        <v>45351</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64834-2019</t>
        </is>
      </c>
      <c r="B1321" s="1" t="n">
        <v>43801</v>
      </c>
      <c r="C1321" s="1" t="n">
        <v>45351</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64986-2019</t>
        </is>
      </c>
      <c r="B1322" s="1" t="n">
        <v>43801</v>
      </c>
      <c r="C1322" s="1" t="n">
        <v>45351</v>
      </c>
      <c r="D1322" t="inlineStr">
        <is>
          <t>UPPSALA LÄN</t>
        </is>
      </c>
      <c r="E1322" t="inlineStr">
        <is>
          <t>TIERP</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64983-2019</t>
        </is>
      </c>
      <c r="B1323" s="1" t="n">
        <v>43801</v>
      </c>
      <c r="C1323" s="1" t="n">
        <v>45351</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65087-2019</t>
        </is>
      </c>
      <c r="B1324" s="1" t="n">
        <v>43802</v>
      </c>
      <c r="C1324" s="1" t="n">
        <v>45351</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65111-2019</t>
        </is>
      </c>
      <c r="B1325" s="1" t="n">
        <v>43802</v>
      </c>
      <c r="C1325" s="1" t="n">
        <v>45351</v>
      </c>
      <c r="D1325" t="inlineStr">
        <is>
          <t>UPPSALA LÄN</t>
        </is>
      </c>
      <c r="E1325" t="inlineStr">
        <is>
          <t>HEBY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65182-2019</t>
        </is>
      </c>
      <c r="B1326" s="1" t="n">
        <v>43802</v>
      </c>
      <c r="C1326" s="1" t="n">
        <v>45351</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65107-2019</t>
        </is>
      </c>
      <c r="B1327" s="1" t="n">
        <v>43802</v>
      </c>
      <c r="C1327" s="1" t="n">
        <v>45351</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65527-2019</t>
        </is>
      </c>
      <c r="B1328" s="1" t="n">
        <v>43803</v>
      </c>
      <c r="C1328" s="1" t="n">
        <v>45351</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66556-2019</t>
        </is>
      </c>
      <c r="B1329" s="1" t="n">
        <v>43803</v>
      </c>
      <c r="C1329" s="1" t="n">
        <v>45351</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65668-2019</t>
        </is>
      </c>
      <c r="B1330" s="1" t="n">
        <v>43804</v>
      </c>
      <c r="C1330" s="1" t="n">
        <v>45351</v>
      </c>
      <c r="D1330" t="inlineStr">
        <is>
          <t>UPPSALA LÄN</t>
        </is>
      </c>
      <c r="E1330" t="inlineStr">
        <is>
          <t>UPPSALA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66125-2019</t>
        </is>
      </c>
      <c r="B1331" s="1" t="n">
        <v>43808</v>
      </c>
      <c r="C1331" s="1" t="n">
        <v>45351</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66167-2019</t>
        </is>
      </c>
      <c r="B1332" s="1" t="n">
        <v>43808</v>
      </c>
      <c r="C1332" s="1" t="n">
        <v>45351</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66270-2019</t>
        </is>
      </c>
      <c r="B1333" s="1" t="n">
        <v>43808</v>
      </c>
      <c r="C1333" s="1" t="n">
        <v>45351</v>
      </c>
      <c r="D1333" t="inlineStr">
        <is>
          <t>UPPSALA LÄN</t>
        </is>
      </c>
      <c r="E1333" t="inlineStr">
        <is>
          <t>UPPSALA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66298-2019</t>
        </is>
      </c>
      <c r="B1334" s="1" t="n">
        <v>43808</v>
      </c>
      <c r="C1334" s="1" t="n">
        <v>45351</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67647-2019</t>
        </is>
      </c>
      <c r="B1335" s="1" t="n">
        <v>43808</v>
      </c>
      <c r="C1335" s="1" t="n">
        <v>45351</v>
      </c>
      <c r="D1335" t="inlineStr">
        <is>
          <t>UPPSALA LÄN</t>
        </is>
      </c>
      <c r="E1335" t="inlineStr">
        <is>
          <t>ÖSTHAMMAR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66641-2019</t>
        </is>
      </c>
      <c r="B1336" s="1" t="n">
        <v>43809</v>
      </c>
      <c r="C1336" s="1" t="n">
        <v>45351</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66640-2019</t>
        </is>
      </c>
      <c r="B1337" s="1" t="n">
        <v>43809</v>
      </c>
      <c r="C1337" s="1" t="n">
        <v>45351</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66607-2019</t>
        </is>
      </c>
      <c r="B1338" s="1" t="n">
        <v>43809</v>
      </c>
      <c r="C1338" s="1" t="n">
        <v>45351</v>
      </c>
      <c r="D1338" t="inlineStr">
        <is>
          <t>UPPSALA LÄN</t>
        </is>
      </c>
      <c r="E1338" t="inlineStr">
        <is>
          <t>KNIVSTA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66802-2019</t>
        </is>
      </c>
      <c r="B1339" s="1" t="n">
        <v>43810</v>
      </c>
      <c r="C1339" s="1" t="n">
        <v>45351</v>
      </c>
      <c r="D1339" t="inlineStr">
        <is>
          <t>UPPSALA LÄN</t>
        </is>
      </c>
      <c r="E1339" t="inlineStr">
        <is>
          <t>ÖSTHAMMAR</t>
        </is>
      </c>
      <c r="F1339" t="inlineStr">
        <is>
          <t>Bergvik skog öst AB</t>
        </is>
      </c>
      <c r="G1339" t="n">
        <v>34.8</v>
      </c>
      <c r="H1339" t="n">
        <v>0</v>
      </c>
      <c r="I1339" t="n">
        <v>0</v>
      </c>
      <c r="J1339" t="n">
        <v>0</v>
      </c>
      <c r="K1339" t="n">
        <v>0</v>
      </c>
      <c r="L1339" t="n">
        <v>0</v>
      </c>
      <c r="M1339" t="n">
        <v>0</v>
      </c>
      <c r="N1339" t="n">
        <v>0</v>
      </c>
      <c r="O1339" t="n">
        <v>0</v>
      </c>
      <c r="P1339" t="n">
        <v>0</v>
      </c>
      <c r="Q1339" t="n">
        <v>0</v>
      </c>
      <c r="R1339" s="2" t="inlineStr"/>
    </row>
    <row r="1340" ht="15" customHeight="1">
      <c r="A1340" t="inlineStr">
        <is>
          <t>A 67165-2019</t>
        </is>
      </c>
      <c r="B1340" s="1" t="n">
        <v>43811</v>
      </c>
      <c r="C1340" s="1" t="n">
        <v>45351</v>
      </c>
      <c r="D1340" t="inlineStr">
        <is>
          <t>UPPSALA LÄN</t>
        </is>
      </c>
      <c r="E1340" t="inlineStr">
        <is>
          <t>KNIVSTA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67166-2019</t>
        </is>
      </c>
      <c r="B1341" s="1" t="n">
        <v>43811</v>
      </c>
      <c r="C1341" s="1" t="n">
        <v>45351</v>
      </c>
      <c r="D1341" t="inlineStr">
        <is>
          <t>UPPSALA LÄN</t>
        </is>
      </c>
      <c r="E1341" t="inlineStr">
        <is>
          <t>KNIVSTA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67190-2019</t>
        </is>
      </c>
      <c r="B1342" s="1" t="n">
        <v>43811</v>
      </c>
      <c r="C1342" s="1" t="n">
        <v>45351</v>
      </c>
      <c r="D1342" t="inlineStr">
        <is>
          <t>UPPSALA LÄN</t>
        </is>
      </c>
      <c r="E1342" t="inlineStr">
        <is>
          <t>ENKÖPING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67196-2019</t>
        </is>
      </c>
      <c r="B1343" s="1" t="n">
        <v>43811</v>
      </c>
      <c r="C1343" s="1" t="n">
        <v>45351</v>
      </c>
      <c r="D1343" t="inlineStr">
        <is>
          <t>UPPSALA LÄN</t>
        </is>
      </c>
      <c r="E1343" t="inlineStr">
        <is>
          <t>ENKÖPING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67108-2019</t>
        </is>
      </c>
      <c r="B1344" s="1" t="n">
        <v>43811</v>
      </c>
      <c r="C1344" s="1" t="n">
        <v>45351</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67253-2019</t>
        </is>
      </c>
      <c r="B1345" s="1" t="n">
        <v>43812</v>
      </c>
      <c r="C1345" s="1" t="n">
        <v>45351</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67281-2019</t>
        </is>
      </c>
      <c r="B1346" s="1" t="n">
        <v>43812</v>
      </c>
      <c r="C1346" s="1" t="n">
        <v>45351</v>
      </c>
      <c r="D1346" t="inlineStr">
        <is>
          <t>UPPSALA LÄN</t>
        </is>
      </c>
      <c r="E1346" t="inlineStr">
        <is>
          <t>UPPSALA</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67244-2019</t>
        </is>
      </c>
      <c r="B1347" s="1" t="n">
        <v>43812</v>
      </c>
      <c r="C1347" s="1" t="n">
        <v>45351</v>
      </c>
      <c r="D1347" t="inlineStr">
        <is>
          <t>UPPSALA LÄN</t>
        </is>
      </c>
      <c r="E1347" t="inlineStr">
        <is>
          <t>ENKÖPING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67448-2019</t>
        </is>
      </c>
      <c r="B1348" s="1" t="n">
        <v>43812</v>
      </c>
      <c r="C1348" s="1" t="n">
        <v>45351</v>
      </c>
      <c r="D1348" t="inlineStr">
        <is>
          <t>UPPSALA LÄN</t>
        </is>
      </c>
      <c r="E1348" t="inlineStr">
        <is>
          <t>ENKÖPING</t>
        </is>
      </c>
      <c r="F1348" t="inlineStr">
        <is>
          <t>Allmännings- och besparingsskogar</t>
        </is>
      </c>
      <c r="G1348" t="n">
        <v>15.1</v>
      </c>
      <c r="H1348" t="n">
        <v>0</v>
      </c>
      <c r="I1348" t="n">
        <v>0</v>
      </c>
      <c r="J1348" t="n">
        <v>0</v>
      </c>
      <c r="K1348" t="n">
        <v>0</v>
      </c>
      <c r="L1348" t="n">
        <v>0</v>
      </c>
      <c r="M1348" t="n">
        <v>0</v>
      </c>
      <c r="N1348" t="n">
        <v>0</v>
      </c>
      <c r="O1348" t="n">
        <v>0</v>
      </c>
      <c r="P1348" t="n">
        <v>0</v>
      </c>
      <c r="Q1348" t="n">
        <v>0</v>
      </c>
      <c r="R1348" s="2" t="inlineStr"/>
    </row>
    <row r="1349" ht="15" customHeight="1">
      <c r="A1349" t="inlineStr">
        <is>
          <t>A 67254-2019</t>
        </is>
      </c>
      <c r="B1349" s="1" t="n">
        <v>43812</v>
      </c>
      <c r="C1349" s="1" t="n">
        <v>45351</v>
      </c>
      <c r="D1349" t="inlineStr">
        <is>
          <t>UPPSALA LÄN</t>
        </is>
      </c>
      <c r="E1349" t="inlineStr">
        <is>
          <t>ÖSTHAMMAR</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67508-2019</t>
        </is>
      </c>
      <c r="B1350" s="1" t="n">
        <v>43814</v>
      </c>
      <c r="C1350" s="1" t="n">
        <v>45351</v>
      </c>
      <c r="D1350" t="inlineStr">
        <is>
          <t>UPPSALA LÄN</t>
        </is>
      </c>
      <c r="E1350" t="inlineStr">
        <is>
          <t>UPPSALA</t>
        </is>
      </c>
      <c r="F1350" t="inlineStr">
        <is>
          <t>Allmännings- och besparingsskogar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67504-2019</t>
        </is>
      </c>
      <c r="B1351" s="1" t="n">
        <v>43814</v>
      </c>
      <c r="C1351" s="1" t="n">
        <v>45351</v>
      </c>
      <c r="D1351" t="inlineStr">
        <is>
          <t>UPPSALA LÄN</t>
        </is>
      </c>
      <c r="E1351" t="inlineStr">
        <is>
          <t>UPPSALA</t>
        </is>
      </c>
      <c r="F1351" t="inlineStr">
        <is>
          <t>Allmännings- och besparingsskogar</t>
        </is>
      </c>
      <c r="G1351" t="n">
        <v>21.9</v>
      </c>
      <c r="H1351" t="n">
        <v>0</v>
      </c>
      <c r="I1351" t="n">
        <v>0</v>
      </c>
      <c r="J1351" t="n">
        <v>0</v>
      </c>
      <c r="K1351" t="n">
        <v>0</v>
      </c>
      <c r="L1351" t="n">
        <v>0</v>
      </c>
      <c r="M1351" t="n">
        <v>0</v>
      </c>
      <c r="N1351" t="n">
        <v>0</v>
      </c>
      <c r="O1351" t="n">
        <v>0</v>
      </c>
      <c r="P1351" t="n">
        <v>0</v>
      </c>
      <c r="Q1351" t="n">
        <v>0</v>
      </c>
      <c r="R1351" s="2" t="inlineStr"/>
    </row>
    <row r="1352" ht="15" customHeight="1">
      <c r="A1352" t="inlineStr">
        <is>
          <t>A 67720-2019</t>
        </is>
      </c>
      <c r="B1352" s="1" t="n">
        <v>43815</v>
      </c>
      <c r="C1352" s="1" t="n">
        <v>45351</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67592-2019</t>
        </is>
      </c>
      <c r="B1353" s="1" t="n">
        <v>43815</v>
      </c>
      <c r="C1353" s="1" t="n">
        <v>45351</v>
      </c>
      <c r="D1353" t="inlineStr">
        <is>
          <t>UPPSALA LÄN</t>
        </is>
      </c>
      <c r="E1353" t="inlineStr">
        <is>
          <t>UPPSALA</t>
        </is>
      </c>
      <c r="F1353" t="inlineStr">
        <is>
          <t>Övriga statliga verk och myndigheter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67598-2019</t>
        </is>
      </c>
      <c r="B1354" s="1" t="n">
        <v>43815</v>
      </c>
      <c r="C1354" s="1" t="n">
        <v>45351</v>
      </c>
      <c r="D1354" t="inlineStr">
        <is>
          <t>UPPSALA LÄN</t>
        </is>
      </c>
      <c r="E1354" t="inlineStr">
        <is>
          <t>KNIVSTA</t>
        </is>
      </c>
      <c r="F1354" t="inlineStr">
        <is>
          <t>Övriga Aktiebolag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68196-2019</t>
        </is>
      </c>
      <c r="B1355" s="1" t="n">
        <v>43817</v>
      </c>
      <c r="C1355" s="1" t="n">
        <v>45351</v>
      </c>
      <c r="D1355" t="inlineStr">
        <is>
          <t>UPPSALA LÄN</t>
        </is>
      </c>
      <c r="E1355" t="inlineStr">
        <is>
          <t>HEBY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618-2020</t>
        </is>
      </c>
      <c r="B1356" s="1" t="n">
        <v>43817</v>
      </c>
      <c r="C1356" s="1" t="n">
        <v>45351</v>
      </c>
      <c r="D1356" t="inlineStr">
        <is>
          <t>UPPSALA LÄN</t>
        </is>
      </c>
      <c r="E1356" t="inlineStr">
        <is>
          <t>ÖSTHAMMAR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68186-2019</t>
        </is>
      </c>
      <c r="B1357" s="1" t="n">
        <v>43817</v>
      </c>
      <c r="C1357" s="1" t="n">
        <v>45351</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68188-2019</t>
        </is>
      </c>
      <c r="B1358" s="1" t="n">
        <v>43817</v>
      </c>
      <c r="C1358" s="1" t="n">
        <v>45351</v>
      </c>
      <c r="D1358" t="inlineStr">
        <is>
          <t>UPPSALA LÄN</t>
        </is>
      </c>
      <c r="E1358" t="inlineStr">
        <is>
          <t>ENKÖPING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68264-2019</t>
        </is>
      </c>
      <c r="B1359" s="1" t="n">
        <v>43817</v>
      </c>
      <c r="C1359" s="1" t="n">
        <v>45351</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68265-2019</t>
        </is>
      </c>
      <c r="B1360" s="1" t="n">
        <v>43817</v>
      </c>
      <c r="C1360" s="1" t="n">
        <v>45351</v>
      </c>
      <c r="D1360" t="inlineStr">
        <is>
          <t>UPPSALA LÄN</t>
        </is>
      </c>
      <c r="E1360" t="inlineStr">
        <is>
          <t>UPPSALA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68317-2019</t>
        </is>
      </c>
      <c r="B1361" s="1" t="n">
        <v>43818</v>
      </c>
      <c r="C1361" s="1" t="n">
        <v>45351</v>
      </c>
      <c r="D1361" t="inlineStr">
        <is>
          <t>UPPSALA LÄN</t>
        </is>
      </c>
      <c r="E1361" t="inlineStr">
        <is>
          <t>UPPSALA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68412-2019</t>
        </is>
      </c>
      <c r="B1362" s="1" t="n">
        <v>43818</v>
      </c>
      <c r="C1362" s="1" t="n">
        <v>45351</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68316-2019</t>
        </is>
      </c>
      <c r="B1363" s="1" t="n">
        <v>43818</v>
      </c>
      <c r="C1363" s="1" t="n">
        <v>45351</v>
      </c>
      <c r="D1363" t="inlineStr">
        <is>
          <t>UPPSALA LÄN</t>
        </is>
      </c>
      <c r="E1363" t="inlineStr">
        <is>
          <t>UPPSALA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68870-2019</t>
        </is>
      </c>
      <c r="B1364" s="1" t="n">
        <v>43821</v>
      </c>
      <c r="C1364" s="1" t="n">
        <v>45351</v>
      </c>
      <c r="D1364" t="inlineStr">
        <is>
          <t>UPPSALA LÄN</t>
        </is>
      </c>
      <c r="E1364" t="inlineStr">
        <is>
          <t>ÖSTHAMMAR</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68871-2019</t>
        </is>
      </c>
      <c r="B1365" s="1" t="n">
        <v>43821</v>
      </c>
      <c r="C1365" s="1" t="n">
        <v>45351</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68868-2019</t>
        </is>
      </c>
      <c r="B1366" s="1" t="n">
        <v>43821</v>
      </c>
      <c r="C1366" s="1" t="n">
        <v>45351</v>
      </c>
      <c r="D1366" t="inlineStr">
        <is>
          <t>UPPSALA LÄN</t>
        </is>
      </c>
      <c r="E1366" t="inlineStr">
        <is>
          <t>ÖSTHAMMAR</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68908-2019</t>
        </is>
      </c>
      <c r="B1367" s="1" t="n">
        <v>43822</v>
      </c>
      <c r="C1367" s="1" t="n">
        <v>45351</v>
      </c>
      <c r="D1367" t="inlineStr">
        <is>
          <t>UPPSALA LÄN</t>
        </is>
      </c>
      <c r="E1367" t="inlineStr">
        <is>
          <t>UPPSALA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69015-2019</t>
        </is>
      </c>
      <c r="B1368" s="1" t="n">
        <v>43826</v>
      </c>
      <c r="C1368" s="1" t="n">
        <v>45351</v>
      </c>
      <c r="D1368" t="inlineStr">
        <is>
          <t>UPPSALA LÄN</t>
        </is>
      </c>
      <c r="E1368" t="inlineStr">
        <is>
          <t>ENKÖPING</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69029-2019</t>
        </is>
      </c>
      <c r="B1369" s="1" t="n">
        <v>43826</v>
      </c>
      <c r="C1369" s="1" t="n">
        <v>45351</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69016-2019</t>
        </is>
      </c>
      <c r="B1370" s="1" t="n">
        <v>43826</v>
      </c>
      <c r="C1370" s="1" t="n">
        <v>45351</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69020-2019</t>
        </is>
      </c>
      <c r="B1371" s="1" t="n">
        <v>43826</v>
      </c>
      <c r="C1371" s="1" t="n">
        <v>45351</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69141-2019</t>
        </is>
      </c>
      <c r="B1372" s="1" t="n">
        <v>43829</v>
      </c>
      <c r="C1372" s="1" t="n">
        <v>45351</v>
      </c>
      <c r="D1372" t="inlineStr">
        <is>
          <t>UPPSALA LÄN</t>
        </is>
      </c>
      <c r="E1372" t="inlineStr">
        <is>
          <t>TIERP</t>
        </is>
      </c>
      <c r="F1372" t="inlineStr">
        <is>
          <t>Bergvik skog väst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38-2020</t>
        </is>
      </c>
      <c r="B1373" s="1" t="n">
        <v>43832</v>
      </c>
      <c r="C1373" s="1" t="n">
        <v>45351</v>
      </c>
      <c r="D1373" t="inlineStr">
        <is>
          <t>UPPSALA LÄN</t>
        </is>
      </c>
      <c r="E1373" t="inlineStr">
        <is>
          <t>ENKÖPING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529-2020</t>
        </is>
      </c>
      <c r="B1374" s="1" t="n">
        <v>43837</v>
      </c>
      <c r="C1374" s="1" t="n">
        <v>45351</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499-2020</t>
        </is>
      </c>
      <c r="B1375" s="1" t="n">
        <v>43837</v>
      </c>
      <c r="C1375" s="1" t="n">
        <v>45351</v>
      </c>
      <c r="D1375" t="inlineStr">
        <is>
          <t>UPPSALA LÄN</t>
        </is>
      </c>
      <c r="E1375" t="inlineStr">
        <is>
          <t>ENKÖPING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1891-2020</t>
        </is>
      </c>
      <c r="B1376" s="1" t="n">
        <v>43837</v>
      </c>
      <c r="C1376" s="1" t="n">
        <v>45351</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701-2020</t>
        </is>
      </c>
      <c r="B1377" s="1" t="n">
        <v>43838</v>
      </c>
      <c r="C1377" s="1" t="n">
        <v>45351</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685-2020</t>
        </is>
      </c>
      <c r="B1378" s="1" t="n">
        <v>43838</v>
      </c>
      <c r="C1378" s="1" t="n">
        <v>45351</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724-2020</t>
        </is>
      </c>
      <c r="B1379" s="1" t="n">
        <v>43838</v>
      </c>
      <c r="C1379" s="1" t="n">
        <v>45351</v>
      </c>
      <c r="D1379" t="inlineStr">
        <is>
          <t>UPPSALA LÄN</t>
        </is>
      </c>
      <c r="E1379" t="inlineStr">
        <is>
          <t>ENKÖPING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962-2020</t>
        </is>
      </c>
      <c r="B1380" s="1" t="n">
        <v>43839</v>
      </c>
      <c r="C1380" s="1" t="n">
        <v>45351</v>
      </c>
      <c r="D1380" t="inlineStr">
        <is>
          <t>UPPSALA LÄN</t>
        </is>
      </c>
      <c r="E1380" t="inlineStr">
        <is>
          <t>TIERP</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892-2020</t>
        </is>
      </c>
      <c r="B1381" s="1" t="n">
        <v>43839</v>
      </c>
      <c r="C1381" s="1" t="n">
        <v>45351</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1171-2020</t>
        </is>
      </c>
      <c r="B1382" s="1" t="n">
        <v>43840</v>
      </c>
      <c r="C1382" s="1" t="n">
        <v>45351</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1348-2020</t>
        </is>
      </c>
      <c r="B1383" s="1" t="n">
        <v>43843</v>
      </c>
      <c r="C1383" s="1" t="n">
        <v>45351</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1387-2020</t>
        </is>
      </c>
      <c r="B1384" s="1" t="n">
        <v>43843</v>
      </c>
      <c r="C1384" s="1" t="n">
        <v>45351</v>
      </c>
      <c r="D1384" t="inlineStr">
        <is>
          <t>UPPSALA LÄN</t>
        </is>
      </c>
      <c r="E1384" t="inlineStr">
        <is>
          <t>HEBY</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1432-2020</t>
        </is>
      </c>
      <c r="B1385" s="1" t="n">
        <v>43843</v>
      </c>
      <c r="C1385" s="1" t="n">
        <v>45351</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1685-2020</t>
        </is>
      </c>
      <c r="B1386" s="1" t="n">
        <v>43844</v>
      </c>
      <c r="C1386" s="1" t="n">
        <v>45351</v>
      </c>
      <c r="D1386" t="inlineStr">
        <is>
          <t>UPPSALA LÄN</t>
        </is>
      </c>
      <c r="E1386" t="inlineStr">
        <is>
          <t>ÖSTHAMMAR</t>
        </is>
      </c>
      <c r="F1386" t="inlineStr">
        <is>
          <t>Övriga Aktiebolag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1681-2020</t>
        </is>
      </c>
      <c r="B1387" s="1" t="n">
        <v>43844</v>
      </c>
      <c r="C1387" s="1" t="n">
        <v>45351</v>
      </c>
      <c r="D1387" t="inlineStr">
        <is>
          <t>UPPSALA LÄN</t>
        </is>
      </c>
      <c r="E1387" t="inlineStr">
        <is>
          <t>ÖSTHAMMAR</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1717-2020</t>
        </is>
      </c>
      <c r="B1388" s="1" t="n">
        <v>43844</v>
      </c>
      <c r="C1388" s="1" t="n">
        <v>45351</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1688-2020</t>
        </is>
      </c>
      <c r="B1389" s="1" t="n">
        <v>43844</v>
      </c>
      <c r="C1389" s="1" t="n">
        <v>45351</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1929-2020</t>
        </is>
      </c>
      <c r="B1390" s="1" t="n">
        <v>43845</v>
      </c>
      <c r="C1390" s="1" t="n">
        <v>45351</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2182-2020</t>
        </is>
      </c>
      <c r="B1391" s="1" t="n">
        <v>43846</v>
      </c>
      <c r="C1391" s="1" t="n">
        <v>45351</v>
      </c>
      <c r="D1391" t="inlineStr">
        <is>
          <t>UPPSALA LÄN</t>
        </is>
      </c>
      <c r="E1391" t="inlineStr">
        <is>
          <t>ENKÖPING</t>
        </is>
      </c>
      <c r="F1391" t="inlineStr">
        <is>
          <t>Övriga statliga verk och myndigheter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2205-2020</t>
        </is>
      </c>
      <c r="B1392" s="1" t="n">
        <v>43846</v>
      </c>
      <c r="C1392" s="1" t="n">
        <v>45351</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2162-2020</t>
        </is>
      </c>
      <c r="B1393" s="1" t="n">
        <v>43846</v>
      </c>
      <c r="C1393" s="1" t="n">
        <v>45351</v>
      </c>
      <c r="D1393" t="inlineStr">
        <is>
          <t>UPPSALA LÄN</t>
        </is>
      </c>
      <c r="E1393" t="inlineStr">
        <is>
          <t>UPPSALA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2177-2020</t>
        </is>
      </c>
      <c r="B1394" s="1" t="n">
        <v>43846</v>
      </c>
      <c r="C1394" s="1" t="n">
        <v>45351</v>
      </c>
      <c r="D1394" t="inlineStr">
        <is>
          <t>UPPSALA LÄN</t>
        </is>
      </c>
      <c r="E1394" t="inlineStr">
        <is>
          <t>ENKÖPING</t>
        </is>
      </c>
      <c r="F1394" t="inlineStr">
        <is>
          <t>Övriga statliga verk och myndigheter</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2220-2020</t>
        </is>
      </c>
      <c r="B1395" s="1" t="n">
        <v>43846</v>
      </c>
      <c r="C1395" s="1" t="n">
        <v>45351</v>
      </c>
      <c r="D1395" t="inlineStr">
        <is>
          <t>UPPSALA LÄN</t>
        </is>
      </c>
      <c r="E1395" t="inlineStr">
        <is>
          <t>ENKÖPING</t>
        </is>
      </c>
      <c r="F1395" t="inlineStr">
        <is>
          <t>Övriga statliga verk och myndigheter</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2186-2020</t>
        </is>
      </c>
      <c r="B1396" s="1" t="n">
        <v>43846</v>
      </c>
      <c r="C1396" s="1" t="n">
        <v>45351</v>
      </c>
      <c r="D1396" t="inlineStr">
        <is>
          <t>UPPSALA LÄN</t>
        </is>
      </c>
      <c r="E1396" t="inlineStr">
        <is>
          <t>ENKÖPING</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2225-2020</t>
        </is>
      </c>
      <c r="B1397" s="1" t="n">
        <v>43846</v>
      </c>
      <c r="C1397" s="1" t="n">
        <v>45351</v>
      </c>
      <c r="D1397" t="inlineStr">
        <is>
          <t>UPPSALA LÄN</t>
        </is>
      </c>
      <c r="E1397" t="inlineStr">
        <is>
          <t>ENKÖPING</t>
        </is>
      </c>
      <c r="F1397" t="inlineStr">
        <is>
          <t>Övriga statliga verk och myndigheter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2306-2020</t>
        </is>
      </c>
      <c r="B1398" s="1" t="n">
        <v>43846</v>
      </c>
      <c r="C1398" s="1" t="n">
        <v>45351</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2315-2020</t>
        </is>
      </c>
      <c r="B1399" s="1" t="n">
        <v>43846</v>
      </c>
      <c r="C1399" s="1" t="n">
        <v>45351</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2217-2020</t>
        </is>
      </c>
      <c r="B1400" s="1" t="n">
        <v>43846</v>
      </c>
      <c r="C1400" s="1" t="n">
        <v>45351</v>
      </c>
      <c r="D1400" t="inlineStr">
        <is>
          <t>UPPSALA LÄN</t>
        </is>
      </c>
      <c r="E1400" t="inlineStr">
        <is>
          <t>ENKÖPING</t>
        </is>
      </c>
      <c r="F1400" t="inlineStr">
        <is>
          <t>Övriga statliga verk och myndigheter</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2222-2020</t>
        </is>
      </c>
      <c r="B1401" s="1" t="n">
        <v>43846</v>
      </c>
      <c r="C1401" s="1" t="n">
        <v>45351</v>
      </c>
      <c r="D1401" t="inlineStr">
        <is>
          <t>UPPSALA LÄN</t>
        </is>
      </c>
      <c r="E1401" t="inlineStr">
        <is>
          <t>ENKÖPING</t>
        </is>
      </c>
      <c r="F1401" t="inlineStr">
        <is>
          <t>Övriga statliga verk och myndigheter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2499-2020</t>
        </is>
      </c>
      <c r="B1402" s="1" t="n">
        <v>43847</v>
      </c>
      <c r="C1402" s="1" t="n">
        <v>45351</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4265-2020</t>
        </is>
      </c>
      <c r="B1403" s="1" t="n">
        <v>43847</v>
      </c>
      <c r="C1403" s="1" t="n">
        <v>45351</v>
      </c>
      <c r="D1403" t="inlineStr">
        <is>
          <t>UPPSALA LÄN</t>
        </is>
      </c>
      <c r="E1403" t="inlineStr">
        <is>
          <t>HÅBO</t>
        </is>
      </c>
      <c r="F1403" t="inlineStr">
        <is>
          <t>Övriga statliga verk och myndigheter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2663-2020</t>
        </is>
      </c>
      <c r="B1404" s="1" t="n">
        <v>43849</v>
      </c>
      <c r="C1404" s="1" t="n">
        <v>45351</v>
      </c>
      <c r="D1404" t="inlineStr">
        <is>
          <t>UPPSALA LÄN</t>
        </is>
      </c>
      <c r="E1404" t="inlineStr">
        <is>
          <t>KNIVSTA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2895-2020</t>
        </is>
      </c>
      <c r="B1405" s="1" t="n">
        <v>43850</v>
      </c>
      <c r="C1405" s="1" t="n">
        <v>45351</v>
      </c>
      <c r="D1405" t="inlineStr">
        <is>
          <t>UPPSALA LÄN</t>
        </is>
      </c>
      <c r="E1405" t="inlineStr">
        <is>
          <t>UPPSALA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4473-2020</t>
        </is>
      </c>
      <c r="B1406" s="1" t="n">
        <v>43850</v>
      </c>
      <c r="C1406" s="1" t="n">
        <v>45351</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3276-2020</t>
        </is>
      </c>
      <c r="B1407" s="1" t="n">
        <v>43852</v>
      </c>
      <c r="C1407" s="1" t="n">
        <v>45351</v>
      </c>
      <c r="D1407" t="inlineStr">
        <is>
          <t>UPPSALA LÄN</t>
        </is>
      </c>
      <c r="E1407" t="inlineStr">
        <is>
          <t>HEBY</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3242-2020</t>
        </is>
      </c>
      <c r="B1408" s="1" t="n">
        <v>43852</v>
      </c>
      <c r="C1408" s="1" t="n">
        <v>45351</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3334-2020</t>
        </is>
      </c>
      <c r="B1409" s="1" t="n">
        <v>43852</v>
      </c>
      <c r="C1409" s="1" t="n">
        <v>45351</v>
      </c>
      <c r="D1409" t="inlineStr">
        <is>
          <t>UPPSALA LÄN</t>
        </is>
      </c>
      <c r="E1409" t="inlineStr">
        <is>
          <t>ÖSTHAMMAR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3522-2020</t>
        </is>
      </c>
      <c r="B1410" s="1" t="n">
        <v>43853</v>
      </c>
      <c r="C1410" s="1" t="n">
        <v>45351</v>
      </c>
      <c r="D1410" t="inlineStr">
        <is>
          <t>UPPSALA LÄN</t>
        </is>
      </c>
      <c r="E1410" t="inlineStr">
        <is>
          <t>TIERP</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3693-2020</t>
        </is>
      </c>
      <c r="B1411" s="1" t="n">
        <v>43853</v>
      </c>
      <c r="C1411" s="1" t="n">
        <v>45351</v>
      </c>
      <c r="D1411" t="inlineStr">
        <is>
          <t>UPPSALA LÄN</t>
        </is>
      </c>
      <c r="E1411" t="inlineStr">
        <is>
          <t>UPPSALA</t>
        </is>
      </c>
      <c r="F1411" t="inlineStr">
        <is>
          <t>Bergvik skog öst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3734-2020</t>
        </is>
      </c>
      <c r="B1412" s="1" t="n">
        <v>43853</v>
      </c>
      <c r="C1412" s="1" t="n">
        <v>45351</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3516-2020</t>
        </is>
      </c>
      <c r="B1413" s="1" t="n">
        <v>43853</v>
      </c>
      <c r="C1413" s="1" t="n">
        <v>45351</v>
      </c>
      <c r="D1413" t="inlineStr">
        <is>
          <t>UPPSALA LÄN</t>
        </is>
      </c>
      <c r="E1413" t="inlineStr">
        <is>
          <t>UPPSALA</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3984-2020</t>
        </is>
      </c>
      <c r="B1414" s="1" t="n">
        <v>43855</v>
      </c>
      <c r="C1414" s="1" t="n">
        <v>45351</v>
      </c>
      <c r="D1414" t="inlineStr">
        <is>
          <t>UPPSALA LÄN</t>
        </is>
      </c>
      <c r="E1414" t="inlineStr">
        <is>
          <t>ÖSTHAMMAR</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4073-2020</t>
        </is>
      </c>
      <c r="B1415" s="1" t="n">
        <v>43857</v>
      </c>
      <c r="C1415" s="1" t="n">
        <v>45351</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4549-2020</t>
        </is>
      </c>
      <c r="B1416" s="1" t="n">
        <v>43858</v>
      </c>
      <c r="C1416" s="1" t="n">
        <v>45351</v>
      </c>
      <c r="D1416" t="inlineStr">
        <is>
          <t>UPPSALA LÄN</t>
        </is>
      </c>
      <c r="E1416" t="inlineStr">
        <is>
          <t>HEBY</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4567-2020</t>
        </is>
      </c>
      <c r="B1417" s="1" t="n">
        <v>43858</v>
      </c>
      <c r="C1417" s="1" t="n">
        <v>45351</v>
      </c>
      <c r="D1417" t="inlineStr">
        <is>
          <t>UPPSALA LÄN</t>
        </is>
      </c>
      <c r="E1417" t="inlineStr">
        <is>
          <t>KNIVSTA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4899-2020</t>
        </is>
      </c>
      <c r="B1418" s="1" t="n">
        <v>43859</v>
      </c>
      <c r="C1418" s="1" t="n">
        <v>45351</v>
      </c>
      <c r="D1418" t="inlineStr">
        <is>
          <t>UPPSALA LÄN</t>
        </is>
      </c>
      <c r="E1418" t="inlineStr">
        <is>
          <t>TIERP</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5032-2020</t>
        </is>
      </c>
      <c r="B1419" s="1" t="n">
        <v>43859</v>
      </c>
      <c r="C1419" s="1" t="n">
        <v>45351</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5048-2020</t>
        </is>
      </c>
      <c r="B1420" s="1" t="n">
        <v>43859</v>
      </c>
      <c r="C1420" s="1" t="n">
        <v>45351</v>
      </c>
      <c r="D1420" t="inlineStr">
        <is>
          <t>UPPSALA LÄN</t>
        </is>
      </c>
      <c r="E1420" t="inlineStr">
        <is>
          <t>TIERP</t>
        </is>
      </c>
      <c r="F1420" t="inlineStr">
        <is>
          <t>Bergvik skog öst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5395-2020</t>
        </is>
      </c>
      <c r="B1421" s="1" t="n">
        <v>43860</v>
      </c>
      <c r="C1421" s="1" t="n">
        <v>45351</v>
      </c>
      <c r="D1421" t="inlineStr">
        <is>
          <t>UPPSALA LÄN</t>
        </is>
      </c>
      <c r="E1421" t="inlineStr">
        <is>
          <t>HEBY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5345-2020</t>
        </is>
      </c>
      <c r="B1422" s="1" t="n">
        <v>43860</v>
      </c>
      <c r="C1422" s="1" t="n">
        <v>45351</v>
      </c>
      <c r="D1422" t="inlineStr">
        <is>
          <t>UPPSALA LÄN</t>
        </is>
      </c>
      <c r="E1422" t="inlineStr">
        <is>
          <t>ENKÖPING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5178-2020</t>
        </is>
      </c>
      <c r="B1423" s="1" t="n">
        <v>43860</v>
      </c>
      <c r="C1423" s="1" t="n">
        <v>45351</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5511-2020</t>
        </is>
      </c>
      <c r="B1424" s="1" t="n">
        <v>43861</v>
      </c>
      <c r="C1424" s="1" t="n">
        <v>45351</v>
      </c>
      <c r="D1424" t="inlineStr">
        <is>
          <t>UPPSALA LÄN</t>
        </is>
      </c>
      <c r="E1424" t="inlineStr">
        <is>
          <t>ÄLVKARLEBY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5539-2020</t>
        </is>
      </c>
      <c r="B1425" s="1" t="n">
        <v>43861</v>
      </c>
      <c r="C1425" s="1" t="n">
        <v>45351</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5740-2020</t>
        </is>
      </c>
      <c r="B1426" s="1" t="n">
        <v>43863</v>
      </c>
      <c r="C1426" s="1" t="n">
        <v>45351</v>
      </c>
      <c r="D1426" t="inlineStr">
        <is>
          <t>UPPSALA LÄN</t>
        </is>
      </c>
      <c r="E1426" t="inlineStr">
        <is>
          <t>HEBY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5774-2020</t>
        </is>
      </c>
      <c r="B1427" s="1" t="n">
        <v>43864</v>
      </c>
      <c r="C1427" s="1" t="n">
        <v>45351</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6052-2020</t>
        </is>
      </c>
      <c r="B1428" s="1" t="n">
        <v>43864</v>
      </c>
      <c r="C1428" s="1" t="n">
        <v>45351</v>
      </c>
      <c r="D1428" t="inlineStr">
        <is>
          <t>UPPSALA LÄN</t>
        </is>
      </c>
      <c r="E1428" t="inlineStr">
        <is>
          <t>ÖSTHAMMAR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5759-2020</t>
        </is>
      </c>
      <c r="B1429" s="1" t="n">
        <v>43864</v>
      </c>
      <c r="C1429" s="1" t="n">
        <v>45351</v>
      </c>
      <c r="D1429" t="inlineStr">
        <is>
          <t>UPPSALA LÄN</t>
        </is>
      </c>
      <c r="E1429" t="inlineStr">
        <is>
          <t>HEBY</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6026-2020</t>
        </is>
      </c>
      <c r="B1430" s="1" t="n">
        <v>43865</v>
      </c>
      <c r="C1430" s="1" t="n">
        <v>45351</v>
      </c>
      <c r="D1430" t="inlineStr">
        <is>
          <t>UPPSALA LÄN</t>
        </is>
      </c>
      <c r="E1430" t="inlineStr">
        <is>
          <t>ÖSTHAMMAR</t>
        </is>
      </c>
      <c r="F1430" t="inlineStr">
        <is>
          <t>Övriga Aktiebolag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6045-2020</t>
        </is>
      </c>
      <c r="B1431" s="1" t="n">
        <v>43865</v>
      </c>
      <c r="C1431" s="1" t="n">
        <v>45351</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6195-2020</t>
        </is>
      </c>
      <c r="B1432" s="1" t="n">
        <v>43865</v>
      </c>
      <c r="C1432" s="1" t="n">
        <v>45351</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6075-2020</t>
        </is>
      </c>
      <c r="B1433" s="1" t="n">
        <v>43865</v>
      </c>
      <c r="C1433" s="1" t="n">
        <v>45351</v>
      </c>
      <c r="D1433" t="inlineStr">
        <is>
          <t>UPPSALA LÄN</t>
        </is>
      </c>
      <c r="E1433" t="inlineStr">
        <is>
          <t>ENKÖPING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6313-2020</t>
        </is>
      </c>
      <c r="B1434" s="1" t="n">
        <v>43866</v>
      </c>
      <c r="C1434" s="1" t="n">
        <v>45351</v>
      </c>
      <c r="D1434" t="inlineStr">
        <is>
          <t>UPPSALA LÄN</t>
        </is>
      </c>
      <c r="E1434" t="inlineStr">
        <is>
          <t>UPPSALA</t>
        </is>
      </c>
      <c r="F1434" t="inlineStr">
        <is>
          <t>Övriga statliga verk och myndigheter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6315-2020</t>
        </is>
      </c>
      <c r="B1435" s="1" t="n">
        <v>43866</v>
      </c>
      <c r="C1435" s="1" t="n">
        <v>45351</v>
      </c>
      <c r="D1435" t="inlineStr">
        <is>
          <t>UPPSALA LÄN</t>
        </is>
      </c>
      <c r="E1435" t="inlineStr">
        <is>
          <t>UPPSALA</t>
        </is>
      </c>
      <c r="F1435" t="inlineStr">
        <is>
          <t>Övriga statliga verk och myndigheter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6320-2020</t>
        </is>
      </c>
      <c r="B1436" s="1" t="n">
        <v>43866</v>
      </c>
      <c r="C1436" s="1" t="n">
        <v>45351</v>
      </c>
      <c r="D1436" t="inlineStr">
        <is>
          <t>UPPSALA LÄN</t>
        </is>
      </c>
      <c r="E1436" t="inlineStr">
        <is>
          <t>ENKÖPING</t>
        </is>
      </c>
      <c r="F1436" t="inlineStr">
        <is>
          <t>Övriga statliga verk och myndigheter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6345-2020</t>
        </is>
      </c>
      <c r="B1437" s="1" t="n">
        <v>43866</v>
      </c>
      <c r="C1437" s="1" t="n">
        <v>45351</v>
      </c>
      <c r="D1437" t="inlineStr">
        <is>
          <t>UPPSALA LÄN</t>
        </is>
      </c>
      <c r="E1437" t="inlineStr">
        <is>
          <t>ENKÖPING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6754-2020</t>
        </is>
      </c>
      <c r="B1438" s="1" t="n">
        <v>43866</v>
      </c>
      <c r="C1438" s="1" t="n">
        <v>45351</v>
      </c>
      <c r="D1438" t="inlineStr">
        <is>
          <t>UPPSALA LÄN</t>
        </is>
      </c>
      <c r="E1438" t="inlineStr">
        <is>
          <t>HEBY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6700-2020</t>
        </is>
      </c>
      <c r="B1439" s="1" t="n">
        <v>43866</v>
      </c>
      <c r="C1439" s="1" t="n">
        <v>45351</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6434-2020</t>
        </is>
      </c>
      <c r="B1440" s="1" t="n">
        <v>43866</v>
      </c>
      <c r="C1440" s="1" t="n">
        <v>45351</v>
      </c>
      <c r="D1440" t="inlineStr">
        <is>
          <t>UPPSALA LÄN</t>
        </is>
      </c>
      <c r="E1440" t="inlineStr">
        <is>
          <t>ENKÖPING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6536-2020</t>
        </is>
      </c>
      <c r="B1441" s="1" t="n">
        <v>43867</v>
      </c>
      <c r="C1441" s="1" t="n">
        <v>45351</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6676-2020</t>
        </is>
      </c>
      <c r="B1442" s="1" t="n">
        <v>43867</v>
      </c>
      <c r="C1442" s="1" t="n">
        <v>45351</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6791-2020</t>
        </is>
      </c>
      <c r="B1443" s="1" t="n">
        <v>43867</v>
      </c>
      <c r="C1443" s="1" t="n">
        <v>45351</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6655-2020</t>
        </is>
      </c>
      <c r="B1444" s="1" t="n">
        <v>43867</v>
      </c>
      <c r="C1444" s="1" t="n">
        <v>45351</v>
      </c>
      <c r="D1444" t="inlineStr">
        <is>
          <t>UPPSALA LÄN</t>
        </is>
      </c>
      <c r="E1444" t="inlineStr">
        <is>
          <t>UPPSALA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6990-2020</t>
        </is>
      </c>
      <c r="B1445" s="1" t="n">
        <v>43868</v>
      </c>
      <c r="C1445" s="1" t="n">
        <v>45351</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7329-2020</t>
        </is>
      </c>
      <c r="B1446" s="1" t="n">
        <v>43871</v>
      </c>
      <c r="C1446" s="1" t="n">
        <v>45351</v>
      </c>
      <c r="D1446" t="inlineStr">
        <is>
          <t>UPPSALA LÄN</t>
        </is>
      </c>
      <c r="E1446" t="inlineStr">
        <is>
          <t>HEBY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7397-2020</t>
        </is>
      </c>
      <c r="B1447" s="1" t="n">
        <v>43871</v>
      </c>
      <c r="C1447" s="1" t="n">
        <v>45351</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7847-2020</t>
        </is>
      </c>
      <c r="B1448" s="1" t="n">
        <v>43873</v>
      </c>
      <c r="C1448" s="1" t="n">
        <v>45351</v>
      </c>
      <c r="D1448" t="inlineStr">
        <is>
          <t>UPPSALA LÄN</t>
        </is>
      </c>
      <c r="E1448" t="inlineStr">
        <is>
          <t>ÖSTHAMMAR</t>
        </is>
      </c>
      <c r="F1448" t="inlineStr">
        <is>
          <t>Övriga Aktiebolag</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8185-2020</t>
        </is>
      </c>
      <c r="B1449" s="1" t="n">
        <v>43874</v>
      </c>
      <c r="C1449" s="1" t="n">
        <v>45351</v>
      </c>
      <c r="D1449" t="inlineStr">
        <is>
          <t>UPPSALA LÄN</t>
        </is>
      </c>
      <c r="E1449" t="inlineStr">
        <is>
          <t>ENKÖPING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8214-2020</t>
        </is>
      </c>
      <c r="B1450" s="1" t="n">
        <v>43874</v>
      </c>
      <c r="C1450" s="1" t="n">
        <v>45351</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8261-2020</t>
        </is>
      </c>
      <c r="B1451" s="1" t="n">
        <v>43874</v>
      </c>
      <c r="C1451" s="1" t="n">
        <v>45351</v>
      </c>
      <c r="D1451" t="inlineStr">
        <is>
          <t>UPPSALA LÄN</t>
        </is>
      </c>
      <c r="E1451" t="inlineStr">
        <is>
          <t>UPPSALA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8320-2020</t>
        </is>
      </c>
      <c r="B1452" s="1" t="n">
        <v>43875</v>
      </c>
      <c r="C1452" s="1" t="n">
        <v>45351</v>
      </c>
      <c r="D1452" t="inlineStr">
        <is>
          <t>UPPSALA LÄN</t>
        </is>
      </c>
      <c r="E1452" t="inlineStr">
        <is>
          <t>ENKÖPING</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8344-2020</t>
        </is>
      </c>
      <c r="B1453" s="1" t="n">
        <v>43875</v>
      </c>
      <c r="C1453" s="1" t="n">
        <v>45351</v>
      </c>
      <c r="D1453" t="inlineStr">
        <is>
          <t>UPPSALA LÄN</t>
        </is>
      </c>
      <c r="E1453" t="inlineStr">
        <is>
          <t>ENKÖPING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8703-2020</t>
        </is>
      </c>
      <c r="B1454" s="1" t="n">
        <v>43875</v>
      </c>
      <c r="C1454" s="1" t="n">
        <v>45351</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8692-2020</t>
        </is>
      </c>
      <c r="B1455" s="1" t="n">
        <v>43878</v>
      </c>
      <c r="C1455" s="1" t="n">
        <v>45351</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8646-2020</t>
        </is>
      </c>
      <c r="B1456" s="1" t="n">
        <v>43878</v>
      </c>
      <c r="C1456" s="1" t="n">
        <v>45351</v>
      </c>
      <c r="D1456" t="inlineStr">
        <is>
          <t>UPPSALA LÄN</t>
        </is>
      </c>
      <c r="E1456" t="inlineStr">
        <is>
          <t>UPPSALA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8678-2020</t>
        </is>
      </c>
      <c r="B1457" s="1" t="n">
        <v>43878</v>
      </c>
      <c r="C1457" s="1" t="n">
        <v>45351</v>
      </c>
      <c r="D1457" t="inlineStr">
        <is>
          <t>UPPSALA LÄN</t>
        </is>
      </c>
      <c r="E1457" t="inlineStr">
        <is>
          <t>UPPSALA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8700-2020</t>
        </is>
      </c>
      <c r="B1458" s="1" t="n">
        <v>43878</v>
      </c>
      <c r="C1458" s="1" t="n">
        <v>45351</v>
      </c>
      <c r="D1458" t="inlineStr">
        <is>
          <t>UPPSALA LÄN</t>
        </is>
      </c>
      <c r="E1458" t="inlineStr">
        <is>
          <t>ENKÖPING</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8757-2020</t>
        </is>
      </c>
      <c r="B1459" s="1" t="n">
        <v>43878</v>
      </c>
      <c r="C1459" s="1" t="n">
        <v>45351</v>
      </c>
      <c r="D1459" t="inlineStr">
        <is>
          <t>UPPSALA LÄN</t>
        </is>
      </c>
      <c r="E1459" t="inlineStr">
        <is>
          <t>TIERP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8902-2020</t>
        </is>
      </c>
      <c r="B1460" s="1" t="n">
        <v>43878</v>
      </c>
      <c r="C1460" s="1" t="n">
        <v>45351</v>
      </c>
      <c r="D1460" t="inlineStr">
        <is>
          <t>UPPSALA LÄN</t>
        </is>
      </c>
      <c r="E1460" t="inlineStr">
        <is>
          <t>UPPSALA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9011-2020</t>
        </is>
      </c>
      <c r="B1461" s="1" t="n">
        <v>43879</v>
      </c>
      <c r="C1461" s="1" t="n">
        <v>45351</v>
      </c>
      <c r="D1461" t="inlineStr">
        <is>
          <t>UPPSALA LÄN</t>
        </is>
      </c>
      <c r="E1461" t="inlineStr">
        <is>
          <t>UPPSALA</t>
        </is>
      </c>
      <c r="F1461" t="inlineStr">
        <is>
          <t>Övriga statliga verk och myndigheter</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9084-2020</t>
        </is>
      </c>
      <c r="B1462" s="1" t="n">
        <v>43879</v>
      </c>
      <c r="C1462" s="1" t="n">
        <v>45351</v>
      </c>
      <c r="D1462" t="inlineStr">
        <is>
          <t>UPPSALA LÄN</t>
        </is>
      </c>
      <c r="E1462" t="inlineStr">
        <is>
          <t>UPPSALA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9122-2020</t>
        </is>
      </c>
      <c r="B1463" s="1" t="n">
        <v>43879</v>
      </c>
      <c r="C1463" s="1" t="n">
        <v>45351</v>
      </c>
      <c r="D1463" t="inlineStr">
        <is>
          <t>UPPSALA LÄN</t>
        </is>
      </c>
      <c r="E1463" t="inlineStr">
        <is>
          <t>ENKÖPING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9257-2020</t>
        </is>
      </c>
      <c r="B1464" s="1" t="n">
        <v>43879</v>
      </c>
      <c r="C1464" s="1" t="n">
        <v>45351</v>
      </c>
      <c r="D1464" t="inlineStr">
        <is>
          <t>UPPSALA LÄN</t>
        </is>
      </c>
      <c r="E1464" t="inlineStr">
        <is>
          <t>UPPSALA</t>
        </is>
      </c>
      <c r="F1464" t="inlineStr">
        <is>
          <t>Bergvik skog öst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9351-2020</t>
        </is>
      </c>
      <c r="B1465" s="1" t="n">
        <v>43880</v>
      </c>
      <c r="C1465" s="1" t="n">
        <v>45351</v>
      </c>
      <c r="D1465" t="inlineStr">
        <is>
          <t>UPPSALA LÄN</t>
        </is>
      </c>
      <c r="E1465" t="inlineStr">
        <is>
          <t>ENKÖPING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9380-2020</t>
        </is>
      </c>
      <c r="B1466" s="1" t="n">
        <v>43880</v>
      </c>
      <c r="C1466" s="1" t="n">
        <v>45351</v>
      </c>
      <c r="D1466" t="inlineStr">
        <is>
          <t>UPPSALA LÄN</t>
        </is>
      </c>
      <c r="E1466" t="inlineStr">
        <is>
          <t>ENKÖPING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9334-2020</t>
        </is>
      </c>
      <c r="B1467" s="1" t="n">
        <v>43880</v>
      </c>
      <c r="C1467" s="1" t="n">
        <v>45351</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9658-2020</t>
        </is>
      </c>
      <c r="B1468" s="1" t="n">
        <v>43881</v>
      </c>
      <c r="C1468" s="1" t="n">
        <v>45351</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9927-2020</t>
        </is>
      </c>
      <c r="B1469" s="1" t="n">
        <v>43882</v>
      </c>
      <c r="C1469" s="1" t="n">
        <v>45351</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10003-2020</t>
        </is>
      </c>
      <c r="B1470" s="1" t="n">
        <v>43882</v>
      </c>
      <c r="C1470" s="1" t="n">
        <v>45351</v>
      </c>
      <c r="D1470" t="inlineStr">
        <is>
          <t>UPPSALA LÄN</t>
        </is>
      </c>
      <c r="E1470" t="inlineStr">
        <is>
          <t>UPPSALA</t>
        </is>
      </c>
      <c r="F1470" t="inlineStr">
        <is>
          <t>Kyrkan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10039-2020</t>
        </is>
      </c>
      <c r="B1471" s="1" t="n">
        <v>43882</v>
      </c>
      <c r="C1471" s="1" t="n">
        <v>45351</v>
      </c>
      <c r="D1471" t="inlineStr">
        <is>
          <t>UPPSALA LÄN</t>
        </is>
      </c>
      <c r="E1471" t="inlineStr">
        <is>
          <t>TIERP</t>
        </is>
      </c>
      <c r="F1471" t="inlineStr">
        <is>
          <t>Bergvik skog väst AB</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9914-2020</t>
        </is>
      </c>
      <c r="B1472" s="1" t="n">
        <v>43882</v>
      </c>
      <c r="C1472" s="1" t="n">
        <v>45351</v>
      </c>
      <c r="D1472" t="inlineStr">
        <is>
          <t>UPPSALA LÄN</t>
        </is>
      </c>
      <c r="E1472" t="inlineStr">
        <is>
          <t>HEBY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9949-2020</t>
        </is>
      </c>
      <c r="B1473" s="1" t="n">
        <v>43882</v>
      </c>
      <c r="C1473" s="1" t="n">
        <v>45351</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10033-2020</t>
        </is>
      </c>
      <c r="B1474" s="1" t="n">
        <v>43882</v>
      </c>
      <c r="C1474" s="1" t="n">
        <v>45351</v>
      </c>
      <c r="D1474" t="inlineStr">
        <is>
          <t>UPPSALA LÄN</t>
        </is>
      </c>
      <c r="E1474" t="inlineStr">
        <is>
          <t>UPPSALA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10008-2020</t>
        </is>
      </c>
      <c r="B1475" s="1" t="n">
        <v>43882</v>
      </c>
      <c r="C1475" s="1" t="n">
        <v>45351</v>
      </c>
      <c r="D1475" t="inlineStr">
        <is>
          <t>UPPSALA LÄN</t>
        </is>
      </c>
      <c r="E1475" t="inlineStr">
        <is>
          <t>ÖSTHAMMAR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10345-2020</t>
        </is>
      </c>
      <c r="B1476" s="1" t="n">
        <v>43885</v>
      </c>
      <c r="C1476" s="1" t="n">
        <v>45351</v>
      </c>
      <c r="D1476" t="inlineStr">
        <is>
          <t>UPPSALA LÄN</t>
        </is>
      </c>
      <c r="E1476" t="inlineStr">
        <is>
          <t>ÖSTHAMMAR</t>
        </is>
      </c>
      <c r="F1476" t="inlineStr">
        <is>
          <t>Allmännings- och besparingsskogar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10347-2020</t>
        </is>
      </c>
      <c r="B1477" s="1" t="n">
        <v>43885</v>
      </c>
      <c r="C1477" s="1" t="n">
        <v>45351</v>
      </c>
      <c r="D1477" t="inlineStr">
        <is>
          <t>UPPSALA LÄN</t>
        </is>
      </c>
      <c r="E1477" t="inlineStr">
        <is>
          <t>ÖSTHAMMAR</t>
        </is>
      </c>
      <c r="F1477" t="inlineStr">
        <is>
          <t>Allmännings- och besparingsskogar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10478-2020</t>
        </is>
      </c>
      <c r="B1478" s="1" t="n">
        <v>43886</v>
      </c>
      <c r="C1478" s="1" t="n">
        <v>45351</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11540-2020</t>
        </is>
      </c>
      <c r="B1479" s="1" t="n">
        <v>43887</v>
      </c>
      <c r="C1479" s="1" t="n">
        <v>45351</v>
      </c>
      <c r="D1479" t="inlineStr">
        <is>
          <t>UPPSALA LÄN</t>
        </is>
      </c>
      <c r="E1479" t="inlineStr">
        <is>
          <t>UPPSALA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10795-2020</t>
        </is>
      </c>
      <c r="B1480" s="1" t="n">
        <v>43888</v>
      </c>
      <c r="C1480" s="1" t="n">
        <v>45351</v>
      </c>
      <c r="D1480" t="inlineStr">
        <is>
          <t>UPPSALA LÄN</t>
        </is>
      </c>
      <c r="E1480" t="inlineStr">
        <is>
          <t>ENKÖPING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11060-2020</t>
        </is>
      </c>
      <c r="B1481" s="1" t="n">
        <v>43889</v>
      </c>
      <c r="C1481" s="1" t="n">
        <v>45351</v>
      </c>
      <c r="D1481" t="inlineStr">
        <is>
          <t>UPPSALA LÄN</t>
        </is>
      </c>
      <c r="E1481" t="inlineStr">
        <is>
          <t>ENKÖPING</t>
        </is>
      </c>
      <c r="G1481" t="n">
        <v>22.7</v>
      </c>
      <c r="H1481" t="n">
        <v>0</v>
      </c>
      <c r="I1481" t="n">
        <v>0</v>
      </c>
      <c r="J1481" t="n">
        <v>0</v>
      </c>
      <c r="K1481" t="n">
        <v>0</v>
      </c>
      <c r="L1481" t="n">
        <v>0</v>
      </c>
      <c r="M1481" t="n">
        <v>0</v>
      </c>
      <c r="N1481" t="n">
        <v>0</v>
      </c>
      <c r="O1481" t="n">
        <v>0</v>
      </c>
      <c r="P1481" t="n">
        <v>0</v>
      </c>
      <c r="Q1481" t="n">
        <v>0</v>
      </c>
      <c r="R1481" s="2" t="inlineStr"/>
    </row>
    <row r="1482" ht="15" customHeight="1">
      <c r="A1482" t="inlineStr">
        <is>
          <t>A 11152-2020</t>
        </is>
      </c>
      <c r="B1482" s="1" t="n">
        <v>43891</v>
      </c>
      <c r="C1482" s="1" t="n">
        <v>45351</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11151-2020</t>
        </is>
      </c>
      <c r="B1483" s="1" t="n">
        <v>43891</v>
      </c>
      <c r="C1483" s="1" t="n">
        <v>45351</v>
      </c>
      <c r="D1483" t="inlineStr">
        <is>
          <t>UPPSALA LÄN</t>
        </is>
      </c>
      <c r="E1483" t="inlineStr">
        <is>
          <t>HEBY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11174-2020</t>
        </is>
      </c>
      <c r="B1484" s="1" t="n">
        <v>43891</v>
      </c>
      <c r="C1484" s="1" t="n">
        <v>45351</v>
      </c>
      <c r="D1484" t="inlineStr">
        <is>
          <t>UPPSALA LÄN</t>
        </is>
      </c>
      <c r="E1484" t="inlineStr">
        <is>
          <t>UPPSALA</t>
        </is>
      </c>
      <c r="F1484" t="inlineStr">
        <is>
          <t>Övriga statliga verk och myndigheter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11166-2020</t>
        </is>
      </c>
      <c r="B1485" s="1" t="n">
        <v>43891</v>
      </c>
      <c r="C1485" s="1" t="n">
        <v>45351</v>
      </c>
      <c r="D1485" t="inlineStr">
        <is>
          <t>UPPSALA LÄN</t>
        </is>
      </c>
      <c r="E1485" t="inlineStr">
        <is>
          <t>HEBY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11165-2020</t>
        </is>
      </c>
      <c r="B1486" s="1" t="n">
        <v>43891</v>
      </c>
      <c r="C1486" s="1" t="n">
        <v>45351</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11281-2020</t>
        </is>
      </c>
      <c r="B1487" s="1" t="n">
        <v>43892</v>
      </c>
      <c r="C1487" s="1" t="n">
        <v>45351</v>
      </c>
      <c r="D1487" t="inlineStr">
        <is>
          <t>UPPSALA LÄN</t>
        </is>
      </c>
      <c r="E1487" t="inlineStr">
        <is>
          <t>HÅBO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12626-2020</t>
        </is>
      </c>
      <c r="B1488" s="1" t="n">
        <v>43892</v>
      </c>
      <c r="C1488" s="1" t="n">
        <v>45351</v>
      </c>
      <c r="D1488" t="inlineStr">
        <is>
          <t>UPPSALA LÄN</t>
        </is>
      </c>
      <c r="E1488" t="inlineStr">
        <is>
          <t>UPPSALA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11336-2020</t>
        </is>
      </c>
      <c r="B1489" s="1" t="n">
        <v>43892</v>
      </c>
      <c r="C1489" s="1" t="n">
        <v>45351</v>
      </c>
      <c r="D1489" t="inlineStr">
        <is>
          <t>UPPSALA LÄN</t>
        </is>
      </c>
      <c r="E1489" t="inlineStr">
        <is>
          <t>UPPSALA</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11320-2020</t>
        </is>
      </c>
      <c r="B1490" s="1" t="n">
        <v>43892</v>
      </c>
      <c r="C1490" s="1" t="n">
        <v>45351</v>
      </c>
      <c r="D1490" t="inlineStr">
        <is>
          <t>UPPSALA LÄN</t>
        </is>
      </c>
      <c r="E1490" t="inlineStr">
        <is>
          <t>UPPSALA</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11228-2020</t>
        </is>
      </c>
      <c r="B1491" s="1" t="n">
        <v>43892</v>
      </c>
      <c r="C1491" s="1" t="n">
        <v>45351</v>
      </c>
      <c r="D1491" t="inlineStr">
        <is>
          <t>UPPSALA LÄN</t>
        </is>
      </c>
      <c r="E1491" t="inlineStr">
        <is>
          <t>ENKÖPING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11433-2020</t>
        </is>
      </c>
      <c r="B1492" s="1" t="n">
        <v>43893</v>
      </c>
      <c r="C1492" s="1" t="n">
        <v>45351</v>
      </c>
      <c r="D1492" t="inlineStr">
        <is>
          <t>UPPSALA LÄN</t>
        </is>
      </c>
      <c r="E1492" t="inlineStr">
        <is>
          <t>TIERP</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12028-2020</t>
        </is>
      </c>
      <c r="B1493" s="1" t="n">
        <v>43894</v>
      </c>
      <c r="C1493" s="1" t="n">
        <v>45351</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12055-2020</t>
        </is>
      </c>
      <c r="B1494" s="1" t="n">
        <v>43894</v>
      </c>
      <c r="C1494" s="1" t="n">
        <v>45351</v>
      </c>
      <c r="D1494" t="inlineStr">
        <is>
          <t>UPPSALA LÄN</t>
        </is>
      </c>
      <c r="E1494" t="inlineStr">
        <is>
          <t>UPPSALA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12080-2020</t>
        </is>
      </c>
      <c r="B1495" s="1" t="n">
        <v>43895</v>
      </c>
      <c r="C1495" s="1" t="n">
        <v>45351</v>
      </c>
      <c r="D1495" t="inlineStr">
        <is>
          <t>UPPSALA LÄN</t>
        </is>
      </c>
      <c r="E1495" t="inlineStr">
        <is>
          <t>ÖSTHAMMAR</t>
        </is>
      </c>
      <c r="F1495" t="inlineStr">
        <is>
          <t>Övriga Aktiebolag</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12272-2020</t>
        </is>
      </c>
      <c r="B1496" s="1" t="n">
        <v>43895</v>
      </c>
      <c r="C1496" s="1" t="n">
        <v>45351</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12427-2020</t>
        </is>
      </c>
      <c r="B1497" s="1" t="n">
        <v>43896</v>
      </c>
      <c r="C1497" s="1" t="n">
        <v>45351</v>
      </c>
      <c r="D1497" t="inlineStr">
        <is>
          <t>UPPSALA LÄN</t>
        </is>
      </c>
      <c r="E1497" t="inlineStr">
        <is>
          <t>TIERP</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12848-2020</t>
        </is>
      </c>
      <c r="B1498" s="1" t="n">
        <v>43899</v>
      </c>
      <c r="C1498" s="1" t="n">
        <v>45351</v>
      </c>
      <c r="D1498" t="inlineStr">
        <is>
          <t>UPPSALA LÄN</t>
        </is>
      </c>
      <c r="E1498" t="inlineStr">
        <is>
          <t>UPPSALA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12781-2020</t>
        </is>
      </c>
      <c r="B1499" s="1" t="n">
        <v>43899</v>
      </c>
      <c r="C1499" s="1" t="n">
        <v>45351</v>
      </c>
      <c r="D1499" t="inlineStr">
        <is>
          <t>UPPSALA LÄN</t>
        </is>
      </c>
      <c r="E1499" t="inlineStr">
        <is>
          <t>UPPSALA</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13447-2020</t>
        </is>
      </c>
      <c r="B1500" s="1" t="n">
        <v>43900</v>
      </c>
      <c r="C1500" s="1" t="n">
        <v>45351</v>
      </c>
      <c r="D1500" t="inlineStr">
        <is>
          <t>UPPSALA LÄN</t>
        </is>
      </c>
      <c r="E1500" t="inlineStr">
        <is>
          <t>HÅBO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12912-2020</t>
        </is>
      </c>
      <c r="B1501" s="1" t="n">
        <v>43900</v>
      </c>
      <c r="C1501" s="1" t="n">
        <v>45351</v>
      </c>
      <c r="D1501" t="inlineStr">
        <is>
          <t>UPPSALA LÄN</t>
        </is>
      </c>
      <c r="E1501" t="inlineStr">
        <is>
          <t>TIERP</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13140-2020</t>
        </is>
      </c>
      <c r="B1502" s="1" t="n">
        <v>43901</v>
      </c>
      <c r="C1502" s="1" t="n">
        <v>45351</v>
      </c>
      <c r="D1502" t="inlineStr">
        <is>
          <t>UPPSALA LÄN</t>
        </is>
      </c>
      <c r="E1502" t="inlineStr">
        <is>
          <t>HEBY</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13175-2020</t>
        </is>
      </c>
      <c r="B1503" s="1" t="n">
        <v>43901</v>
      </c>
      <c r="C1503" s="1" t="n">
        <v>45351</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13141-2020</t>
        </is>
      </c>
      <c r="B1504" s="1" t="n">
        <v>43901</v>
      </c>
      <c r="C1504" s="1" t="n">
        <v>45351</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13180-2020</t>
        </is>
      </c>
      <c r="B1505" s="1" t="n">
        <v>43901</v>
      </c>
      <c r="C1505" s="1" t="n">
        <v>45351</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13112-2020</t>
        </is>
      </c>
      <c r="B1506" s="1" t="n">
        <v>43901</v>
      </c>
      <c r="C1506" s="1" t="n">
        <v>45351</v>
      </c>
      <c r="D1506" t="inlineStr">
        <is>
          <t>UPPSALA LÄN</t>
        </is>
      </c>
      <c r="E1506" t="inlineStr">
        <is>
          <t>ÖSTHAMMAR</t>
        </is>
      </c>
      <c r="F1506" t="inlineStr">
        <is>
          <t>Övriga Aktiebolag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13582-2020</t>
        </is>
      </c>
      <c r="B1507" s="1" t="n">
        <v>43901</v>
      </c>
      <c r="C1507" s="1" t="n">
        <v>45351</v>
      </c>
      <c r="D1507" t="inlineStr">
        <is>
          <t>UPPSALA LÄN</t>
        </is>
      </c>
      <c r="E1507" t="inlineStr">
        <is>
          <t>HÅBO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14627-2020</t>
        </is>
      </c>
      <c r="B1508" s="1" t="n">
        <v>43901</v>
      </c>
      <c r="C1508" s="1" t="n">
        <v>45351</v>
      </c>
      <c r="D1508" t="inlineStr">
        <is>
          <t>UPPSALA LÄN</t>
        </is>
      </c>
      <c r="E1508" t="inlineStr">
        <is>
          <t>TIERP</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13310-2020</t>
        </is>
      </c>
      <c r="B1509" s="1" t="n">
        <v>43902</v>
      </c>
      <c r="C1509" s="1" t="n">
        <v>45351</v>
      </c>
      <c r="D1509" t="inlineStr">
        <is>
          <t>UPPSALA LÄN</t>
        </is>
      </c>
      <c r="E1509" t="inlineStr">
        <is>
          <t>ÖSTHAMMAR</t>
        </is>
      </c>
      <c r="F1509" t="inlineStr">
        <is>
          <t>Bergvik skog öst AB</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13547-2020</t>
        </is>
      </c>
      <c r="B1510" s="1" t="n">
        <v>43902</v>
      </c>
      <c r="C1510" s="1" t="n">
        <v>45351</v>
      </c>
      <c r="D1510" t="inlineStr">
        <is>
          <t>UPPSALA LÄN</t>
        </is>
      </c>
      <c r="E1510" t="inlineStr">
        <is>
          <t>KNIVSTA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13636-2020</t>
        </is>
      </c>
      <c r="B1511" s="1" t="n">
        <v>43903</v>
      </c>
      <c r="C1511" s="1" t="n">
        <v>45351</v>
      </c>
      <c r="D1511" t="inlineStr">
        <is>
          <t>UPPSALA LÄN</t>
        </is>
      </c>
      <c r="E1511" t="inlineStr">
        <is>
          <t>UPPSALA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13595-2020</t>
        </is>
      </c>
      <c r="B1512" s="1" t="n">
        <v>43903</v>
      </c>
      <c r="C1512" s="1" t="n">
        <v>45351</v>
      </c>
      <c r="D1512" t="inlineStr">
        <is>
          <t>UPPSALA LÄN</t>
        </is>
      </c>
      <c r="E1512" t="inlineStr">
        <is>
          <t>ÖSTHAMMAR</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13996-2020</t>
        </is>
      </c>
      <c r="B1513" s="1" t="n">
        <v>43906</v>
      </c>
      <c r="C1513" s="1" t="n">
        <v>45351</v>
      </c>
      <c r="D1513" t="inlineStr">
        <is>
          <t>UPPSALA LÄN</t>
        </is>
      </c>
      <c r="E1513" t="inlineStr">
        <is>
          <t>KNIVSTA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13865-2020</t>
        </is>
      </c>
      <c r="B1514" s="1" t="n">
        <v>43906</v>
      </c>
      <c r="C1514" s="1" t="n">
        <v>45351</v>
      </c>
      <c r="D1514" t="inlineStr">
        <is>
          <t>UPPSALA LÄN</t>
        </is>
      </c>
      <c r="E1514" t="inlineStr">
        <is>
          <t>HEBY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14005-2020</t>
        </is>
      </c>
      <c r="B1515" s="1" t="n">
        <v>43906</v>
      </c>
      <c r="C1515" s="1" t="n">
        <v>45351</v>
      </c>
      <c r="D1515" t="inlineStr">
        <is>
          <t>UPPSALA LÄN</t>
        </is>
      </c>
      <c r="E1515" t="inlineStr">
        <is>
          <t>KNIVSTA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13945-2020</t>
        </is>
      </c>
      <c r="B1516" s="1" t="n">
        <v>43906</v>
      </c>
      <c r="C1516" s="1" t="n">
        <v>45351</v>
      </c>
      <c r="D1516" t="inlineStr">
        <is>
          <t>UPPSALA LÄN</t>
        </is>
      </c>
      <c r="E1516" t="inlineStr">
        <is>
          <t>ÖSTHAMMAR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14017-2020</t>
        </is>
      </c>
      <c r="B1517" s="1" t="n">
        <v>43906</v>
      </c>
      <c r="C1517" s="1" t="n">
        <v>45351</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14469-2020</t>
        </is>
      </c>
      <c r="B1518" s="1" t="n">
        <v>43908</v>
      </c>
      <c r="C1518" s="1" t="n">
        <v>45351</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14423-2020</t>
        </is>
      </c>
      <c r="B1519" s="1" t="n">
        <v>43908</v>
      </c>
      <c r="C1519" s="1" t="n">
        <v>45351</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14472-2020</t>
        </is>
      </c>
      <c r="B1520" s="1" t="n">
        <v>43908</v>
      </c>
      <c r="C1520" s="1" t="n">
        <v>45351</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14427-2020</t>
        </is>
      </c>
      <c r="B1521" s="1" t="n">
        <v>43908</v>
      </c>
      <c r="C1521" s="1" t="n">
        <v>45351</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14783-2020</t>
        </is>
      </c>
      <c r="B1522" s="1" t="n">
        <v>43909</v>
      </c>
      <c r="C1522" s="1" t="n">
        <v>45351</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14802-2020</t>
        </is>
      </c>
      <c r="B1523" s="1" t="n">
        <v>43909</v>
      </c>
      <c r="C1523" s="1" t="n">
        <v>45351</v>
      </c>
      <c r="D1523" t="inlineStr">
        <is>
          <t>UPPSALA LÄN</t>
        </is>
      </c>
      <c r="E1523" t="inlineStr">
        <is>
          <t>ÖSTHAMMAR</t>
        </is>
      </c>
      <c r="F1523" t="inlineStr">
        <is>
          <t>Allmännings- och besparingsskogar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14817-2020</t>
        </is>
      </c>
      <c r="B1524" s="1" t="n">
        <v>43909</v>
      </c>
      <c r="C1524" s="1" t="n">
        <v>45351</v>
      </c>
      <c r="D1524" t="inlineStr">
        <is>
          <t>UPPSALA LÄN</t>
        </is>
      </c>
      <c r="E1524" t="inlineStr">
        <is>
          <t>ÖSTHAMMAR</t>
        </is>
      </c>
      <c r="F1524" t="inlineStr">
        <is>
          <t>Bergvik skog öst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14823-2020</t>
        </is>
      </c>
      <c r="B1525" s="1" t="n">
        <v>43909</v>
      </c>
      <c r="C1525" s="1" t="n">
        <v>45351</v>
      </c>
      <c r="D1525" t="inlineStr">
        <is>
          <t>UPPSALA LÄN</t>
        </is>
      </c>
      <c r="E1525" t="inlineStr">
        <is>
          <t>HEBY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14777-2020</t>
        </is>
      </c>
      <c r="B1526" s="1" t="n">
        <v>43909</v>
      </c>
      <c r="C1526" s="1" t="n">
        <v>45351</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14814-2020</t>
        </is>
      </c>
      <c r="B1527" s="1" t="n">
        <v>43909</v>
      </c>
      <c r="C1527" s="1" t="n">
        <v>45351</v>
      </c>
      <c r="D1527" t="inlineStr">
        <is>
          <t>UPPSALA LÄN</t>
        </is>
      </c>
      <c r="E1527" t="inlineStr">
        <is>
          <t>HEBY</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15067-2020</t>
        </is>
      </c>
      <c r="B1528" s="1" t="n">
        <v>43910</v>
      </c>
      <c r="C1528" s="1" t="n">
        <v>45351</v>
      </c>
      <c r="D1528" t="inlineStr">
        <is>
          <t>UPPSALA LÄN</t>
        </is>
      </c>
      <c r="E1528" t="inlineStr">
        <is>
          <t>ÖSTHAMMAR</t>
        </is>
      </c>
      <c r="F1528" t="inlineStr">
        <is>
          <t>Bergvik skog öst AB</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15213-2020</t>
        </is>
      </c>
      <c r="B1529" s="1" t="n">
        <v>43913</v>
      </c>
      <c r="C1529" s="1" t="n">
        <v>45351</v>
      </c>
      <c r="D1529" t="inlineStr">
        <is>
          <t>UPPSALA LÄN</t>
        </is>
      </c>
      <c r="E1529" t="inlineStr">
        <is>
          <t>ÄLVKARLEBY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15326-2020</t>
        </is>
      </c>
      <c r="B1530" s="1" t="n">
        <v>43913</v>
      </c>
      <c r="C1530" s="1" t="n">
        <v>45351</v>
      </c>
      <c r="D1530" t="inlineStr">
        <is>
          <t>UPPSALA LÄN</t>
        </is>
      </c>
      <c r="E1530" t="inlineStr">
        <is>
          <t>TIERP</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15344-2020</t>
        </is>
      </c>
      <c r="B1531" s="1" t="n">
        <v>43913</v>
      </c>
      <c r="C1531" s="1" t="n">
        <v>45351</v>
      </c>
      <c r="D1531" t="inlineStr">
        <is>
          <t>UPPSALA LÄN</t>
        </is>
      </c>
      <c r="E1531" t="inlineStr">
        <is>
          <t>UPPSALA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15233-2020</t>
        </is>
      </c>
      <c r="B1532" s="1" t="n">
        <v>43913</v>
      </c>
      <c r="C1532" s="1" t="n">
        <v>45351</v>
      </c>
      <c r="D1532" t="inlineStr">
        <is>
          <t>UPPSALA LÄN</t>
        </is>
      </c>
      <c r="E1532" t="inlineStr">
        <is>
          <t>TIERP</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15389-2020</t>
        </is>
      </c>
      <c r="B1533" s="1" t="n">
        <v>43913</v>
      </c>
      <c r="C1533" s="1" t="n">
        <v>45351</v>
      </c>
      <c r="D1533" t="inlineStr">
        <is>
          <t>UPPSALA LÄN</t>
        </is>
      </c>
      <c r="E1533" t="inlineStr">
        <is>
          <t>HEBY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15805-2020</t>
        </is>
      </c>
      <c r="B1534" s="1" t="n">
        <v>43915</v>
      </c>
      <c r="C1534" s="1" t="n">
        <v>45351</v>
      </c>
      <c r="D1534" t="inlineStr">
        <is>
          <t>UPPSALA LÄN</t>
        </is>
      </c>
      <c r="E1534" t="inlineStr">
        <is>
          <t>HEBY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16071-2020</t>
        </is>
      </c>
      <c r="B1535" s="1" t="n">
        <v>43916</v>
      </c>
      <c r="C1535" s="1" t="n">
        <v>45351</v>
      </c>
      <c r="D1535" t="inlineStr">
        <is>
          <t>UPPSALA LÄN</t>
        </is>
      </c>
      <c r="E1535" t="inlineStr">
        <is>
          <t>HEBY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16320-2020</t>
        </is>
      </c>
      <c r="B1536" s="1" t="n">
        <v>43917</v>
      </c>
      <c r="C1536" s="1" t="n">
        <v>45351</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16758-2020</t>
        </is>
      </c>
      <c r="B1537" s="1" t="n">
        <v>43920</v>
      </c>
      <c r="C1537" s="1" t="n">
        <v>45351</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17549-2020</t>
        </is>
      </c>
      <c r="B1538" s="1" t="n">
        <v>43920</v>
      </c>
      <c r="C1538" s="1" t="n">
        <v>45351</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17468-2020</t>
        </is>
      </c>
      <c r="B1539" s="1" t="n">
        <v>43920</v>
      </c>
      <c r="C1539" s="1" t="n">
        <v>45351</v>
      </c>
      <c r="D1539" t="inlineStr">
        <is>
          <t>UPPSALA LÄN</t>
        </is>
      </c>
      <c r="E1539" t="inlineStr">
        <is>
          <t>HEBY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17888-2020</t>
        </is>
      </c>
      <c r="B1540" s="1" t="n">
        <v>43924</v>
      </c>
      <c r="C1540" s="1" t="n">
        <v>45351</v>
      </c>
      <c r="D1540" t="inlineStr">
        <is>
          <t>UPPSALA LÄN</t>
        </is>
      </c>
      <c r="E1540" t="inlineStr">
        <is>
          <t>ENKÖPING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18106-2020</t>
        </is>
      </c>
      <c r="B1541" s="1" t="n">
        <v>43927</v>
      </c>
      <c r="C1541" s="1" t="n">
        <v>45351</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18101-2020</t>
        </is>
      </c>
      <c r="B1542" s="1" t="n">
        <v>43927</v>
      </c>
      <c r="C1542" s="1" t="n">
        <v>45351</v>
      </c>
      <c r="D1542" t="inlineStr">
        <is>
          <t>UPPSALA LÄN</t>
        </is>
      </c>
      <c r="E1542" t="inlineStr">
        <is>
          <t>ENKÖPING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18114-2020</t>
        </is>
      </c>
      <c r="B1543" s="1" t="n">
        <v>43927</v>
      </c>
      <c r="C1543" s="1" t="n">
        <v>45351</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18097-2020</t>
        </is>
      </c>
      <c r="B1544" s="1" t="n">
        <v>43927</v>
      </c>
      <c r="C1544" s="1" t="n">
        <v>45351</v>
      </c>
      <c r="D1544" t="inlineStr">
        <is>
          <t>UPPSALA LÄN</t>
        </is>
      </c>
      <c r="E1544" t="inlineStr">
        <is>
          <t>ENKÖPING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18489-2020</t>
        </is>
      </c>
      <c r="B1545" s="1" t="n">
        <v>43929</v>
      </c>
      <c r="C1545" s="1" t="n">
        <v>45351</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18486-2020</t>
        </is>
      </c>
      <c r="B1546" s="1" t="n">
        <v>43929</v>
      </c>
      <c r="C1546" s="1" t="n">
        <v>45351</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18469-2020</t>
        </is>
      </c>
      <c r="B1547" s="1" t="n">
        <v>43929</v>
      </c>
      <c r="C1547" s="1" t="n">
        <v>45351</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18774-2020</t>
        </is>
      </c>
      <c r="B1548" s="1" t="n">
        <v>43930</v>
      </c>
      <c r="C1548" s="1" t="n">
        <v>45351</v>
      </c>
      <c r="D1548" t="inlineStr">
        <is>
          <t>UPPSALA LÄN</t>
        </is>
      </c>
      <c r="E1548" t="inlineStr">
        <is>
          <t>TIERP</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19556-2020</t>
        </is>
      </c>
      <c r="B1549" s="1" t="n">
        <v>43936</v>
      </c>
      <c r="C1549" s="1" t="n">
        <v>45351</v>
      </c>
      <c r="D1549" t="inlineStr">
        <is>
          <t>UPPSALA LÄN</t>
        </is>
      </c>
      <c r="E1549" t="inlineStr">
        <is>
          <t>ÖSTHAMMAR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19136-2020</t>
        </is>
      </c>
      <c r="B1550" s="1" t="n">
        <v>43936</v>
      </c>
      <c r="C1550" s="1" t="n">
        <v>45351</v>
      </c>
      <c r="D1550" t="inlineStr">
        <is>
          <t>UPPSALA LÄN</t>
        </is>
      </c>
      <c r="E1550" t="inlineStr">
        <is>
          <t>TIERP</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19210-2020</t>
        </is>
      </c>
      <c r="B1551" s="1" t="n">
        <v>43937</v>
      </c>
      <c r="C1551" s="1" t="n">
        <v>45351</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19332-2020</t>
        </is>
      </c>
      <c r="B1552" s="1" t="n">
        <v>43938</v>
      </c>
      <c r="C1552" s="1" t="n">
        <v>45351</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19499-2020</t>
        </is>
      </c>
      <c r="B1553" s="1" t="n">
        <v>43938</v>
      </c>
      <c r="C1553" s="1" t="n">
        <v>45351</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19463-2020</t>
        </is>
      </c>
      <c r="B1554" s="1" t="n">
        <v>43938</v>
      </c>
      <c r="C1554" s="1" t="n">
        <v>45351</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19914-2020</t>
        </is>
      </c>
      <c r="B1555" s="1" t="n">
        <v>43943</v>
      </c>
      <c r="C1555" s="1" t="n">
        <v>45351</v>
      </c>
      <c r="D1555" t="inlineStr">
        <is>
          <t>UPPSALA LÄN</t>
        </is>
      </c>
      <c r="E1555" t="inlineStr">
        <is>
          <t>HEBY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20175-2020</t>
        </is>
      </c>
      <c r="B1556" s="1" t="n">
        <v>43944</v>
      </c>
      <c r="C1556" s="1" t="n">
        <v>45351</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20218-2020</t>
        </is>
      </c>
      <c r="B1557" s="1" t="n">
        <v>43944</v>
      </c>
      <c r="C1557" s="1" t="n">
        <v>45351</v>
      </c>
      <c r="D1557" t="inlineStr">
        <is>
          <t>UPPSALA LÄN</t>
        </is>
      </c>
      <c r="E1557" t="inlineStr">
        <is>
          <t>UPPSALA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20395-2020</t>
        </is>
      </c>
      <c r="B1558" s="1" t="n">
        <v>43945</v>
      </c>
      <c r="C1558" s="1" t="n">
        <v>45351</v>
      </c>
      <c r="D1558" t="inlineStr">
        <is>
          <t>UPPSALA LÄN</t>
        </is>
      </c>
      <c r="E1558" t="inlineStr">
        <is>
          <t>KNIVSTA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20286-2020</t>
        </is>
      </c>
      <c r="B1559" s="1" t="n">
        <v>43945</v>
      </c>
      <c r="C1559" s="1" t="n">
        <v>45351</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20552-2020</t>
        </is>
      </c>
      <c r="B1560" s="1" t="n">
        <v>43948</v>
      </c>
      <c r="C1560" s="1" t="n">
        <v>45351</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20506-2020</t>
        </is>
      </c>
      <c r="B1561" s="1" t="n">
        <v>43948</v>
      </c>
      <c r="C1561" s="1" t="n">
        <v>45351</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20490-2020</t>
        </is>
      </c>
      <c r="B1562" s="1" t="n">
        <v>43948</v>
      </c>
      <c r="C1562" s="1" t="n">
        <v>45351</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20877-2020</t>
        </is>
      </c>
      <c r="B1563" s="1" t="n">
        <v>43950</v>
      </c>
      <c r="C1563" s="1" t="n">
        <v>45351</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20928-2020</t>
        </is>
      </c>
      <c r="B1564" s="1" t="n">
        <v>43950</v>
      </c>
      <c r="C1564" s="1" t="n">
        <v>45351</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20960-2020</t>
        </is>
      </c>
      <c r="B1565" s="1" t="n">
        <v>43950</v>
      </c>
      <c r="C1565" s="1" t="n">
        <v>45351</v>
      </c>
      <c r="D1565" t="inlineStr">
        <is>
          <t>UPPSALA LÄN</t>
        </is>
      </c>
      <c r="E1565" t="inlineStr">
        <is>
          <t>UPPSALA</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21573-2020</t>
        </is>
      </c>
      <c r="B1566" s="1" t="n">
        <v>43956</v>
      </c>
      <c r="C1566" s="1" t="n">
        <v>45351</v>
      </c>
      <c r="D1566" t="inlineStr">
        <is>
          <t>UPPSALA LÄN</t>
        </is>
      </c>
      <c r="E1566" t="inlineStr">
        <is>
          <t>ENKÖPING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21466-2020</t>
        </is>
      </c>
      <c r="B1567" s="1" t="n">
        <v>43956</v>
      </c>
      <c r="C1567" s="1" t="n">
        <v>45351</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21651-2020</t>
        </is>
      </c>
      <c r="B1568" s="1" t="n">
        <v>43957</v>
      </c>
      <c r="C1568" s="1" t="n">
        <v>45351</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21730-2020</t>
        </is>
      </c>
      <c r="B1569" s="1" t="n">
        <v>43957</v>
      </c>
      <c r="C1569" s="1" t="n">
        <v>45351</v>
      </c>
      <c r="D1569" t="inlineStr">
        <is>
          <t>UPPSALA LÄN</t>
        </is>
      </c>
      <c r="E1569" t="inlineStr">
        <is>
          <t>TIERP</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21666-2020</t>
        </is>
      </c>
      <c r="B1570" s="1" t="n">
        <v>43957</v>
      </c>
      <c r="C1570" s="1" t="n">
        <v>45351</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21708-2020</t>
        </is>
      </c>
      <c r="B1571" s="1" t="n">
        <v>43957</v>
      </c>
      <c r="C1571" s="1" t="n">
        <v>45351</v>
      </c>
      <c r="D1571" t="inlineStr">
        <is>
          <t>UPPSALA LÄN</t>
        </is>
      </c>
      <c r="E1571" t="inlineStr">
        <is>
          <t>HÅBO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21896-2020</t>
        </is>
      </c>
      <c r="B1572" s="1" t="n">
        <v>43958</v>
      </c>
      <c r="C1572" s="1" t="n">
        <v>45351</v>
      </c>
      <c r="D1572" t="inlineStr">
        <is>
          <t>UPPSALA LÄN</t>
        </is>
      </c>
      <c r="E1572" t="inlineStr">
        <is>
          <t>ENKÖPING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21916-2020</t>
        </is>
      </c>
      <c r="B1573" s="1" t="n">
        <v>43958</v>
      </c>
      <c r="C1573" s="1" t="n">
        <v>45351</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21814-2020</t>
        </is>
      </c>
      <c r="B1574" s="1" t="n">
        <v>43958</v>
      </c>
      <c r="C1574" s="1" t="n">
        <v>45351</v>
      </c>
      <c r="D1574" t="inlineStr">
        <is>
          <t>UPPSALA LÄN</t>
        </is>
      </c>
      <c r="E1574" t="inlineStr">
        <is>
          <t>TIERP</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21973-2020</t>
        </is>
      </c>
      <c r="B1575" s="1" t="n">
        <v>43959</v>
      </c>
      <c r="C1575" s="1" t="n">
        <v>45351</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22056-2020</t>
        </is>
      </c>
      <c r="B1576" s="1" t="n">
        <v>43959</v>
      </c>
      <c r="C1576" s="1" t="n">
        <v>45351</v>
      </c>
      <c r="D1576" t="inlineStr">
        <is>
          <t>UPPSALA LÄN</t>
        </is>
      </c>
      <c r="E1576" t="inlineStr">
        <is>
          <t>HEBY</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22152-2020</t>
        </is>
      </c>
      <c r="B1577" s="1" t="n">
        <v>43962</v>
      </c>
      <c r="C1577" s="1" t="n">
        <v>45351</v>
      </c>
      <c r="D1577" t="inlineStr">
        <is>
          <t>UPPSALA LÄN</t>
        </is>
      </c>
      <c r="E1577" t="inlineStr">
        <is>
          <t>HEBY</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22763-2020</t>
        </is>
      </c>
      <c r="B1578" s="1" t="n">
        <v>43963</v>
      </c>
      <c r="C1578" s="1" t="n">
        <v>45351</v>
      </c>
      <c r="D1578" t="inlineStr">
        <is>
          <t>UPPSALA LÄN</t>
        </is>
      </c>
      <c r="E1578" t="inlineStr">
        <is>
          <t>TIERP</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22737-2020</t>
        </is>
      </c>
      <c r="B1579" s="1" t="n">
        <v>43963</v>
      </c>
      <c r="C1579" s="1" t="n">
        <v>45351</v>
      </c>
      <c r="D1579" t="inlineStr">
        <is>
          <t>UPPSALA LÄN</t>
        </is>
      </c>
      <c r="E1579" t="inlineStr">
        <is>
          <t>HEBY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22772-2020</t>
        </is>
      </c>
      <c r="B1580" s="1" t="n">
        <v>43964</v>
      </c>
      <c r="C1580" s="1" t="n">
        <v>45351</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22802-2020</t>
        </is>
      </c>
      <c r="B1581" s="1" t="n">
        <v>43964</v>
      </c>
      <c r="C1581" s="1" t="n">
        <v>45351</v>
      </c>
      <c r="D1581" t="inlineStr">
        <is>
          <t>UPPSALA LÄN</t>
        </is>
      </c>
      <c r="E1581" t="inlineStr">
        <is>
          <t>TIERP</t>
        </is>
      </c>
      <c r="F1581" t="inlineStr">
        <is>
          <t>Bergvik skog öst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22816-2020</t>
        </is>
      </c>
      <c r="B1582" s="1" t="n">
        <v>43964</v>
      </c>
      <c r="C1582" s="1" t="n">
        <v>45351</v>
      </c>
      <c r="D1582" t="inlineStr">
        <is>
          <t>UPPSALA LÄN</t>
        </is>
      </c>
      <c r="E1582" t="inlineStr">
        <is>
          <t>ENKÖPING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22970-2020</t>
        </is>
      </c>
      <c r="B1583" s="1" t="n">
        <v>43965</v>
      </c>
      <c r="C1583" s="1" t="n">
        <v>45351</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22961-2020</t>
        </is>
      </c>
      <c r="B1584" s="1" t="n">
        <v>43965</v>
      </c>
      <c r="C1584" s="1" t="n">
        <v>45351</v>
      </c>
      <c r="D1584" t="inlineStr">
        <is>
          <t>UPPSALA LÄN</t>
        </is>
      </c>
      <c r="E1584" t="inlineStr">
        <is>
          <t>TIERP</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23621-2020</t>
        </is>
      </c>
      <c r="B1585" s="1" t="n">
        <v>43969</v>
      </c>
      <c r="C1585" s="1" t="n">
        <v>45351</v>
      </c>
      <c r="D1585" t="inlineStr">
        <is>
          <t>UPPSALA LÄN</t>
        </is>
      </c>
      <c r="E1585" t="inlineStr">
        <is>
          <t>ÖSTHAMMAR</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23782-2020</t>
        </is>
      </c>
      <c r="B1586" s="1" t="n">
        <v>43970</v>
      </c>
      <c r="C1586" s="1" t="n">
        <v>45351</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23809-2020</t>
        </is>
      </c>
      <c r="B1587" s="1" t="n">
        <v>43970</v>
      </c>
      <c r="C1587" s="1" t="n">
        <v>45351</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23808-2020</t>
        </is>
      </c>
      <c r="B1588" s="1" t="n">
        <v>43970</v>
      </c>
      <c r="C1588" s="1" t="n">
        <v>45351</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23906-2020</t>
        </is>
      </c>
      <c r="B1589" s="1" t="n">
        <v>43971</v>
      </c>
      <c r="C1589" s="1" t="n">
        <v>45351</v>
      </c>
      <c r="D1589" t="inlineStr">
        <is>
          <t>UPPSALA LÄN</t>
        </is>
      </c>
      <c r="E1589" t="inlineStr">
        <is>
          <t>HÅBO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24300-2020</t>
        </is>
      </c>
      <c r="B1590" s="1" t="n">
        <v>43973</v>
      </c>
      <c r="C1590" s="1" t="n">
        <v>45351</v>
      </c>
      <c r="D1590" t="inlineStr">
        <is>
          <t>UPPSALA LÄN</t>
        </is>
      </c>
      <c r="E1590" t="inlineStr">
        <is>
          <t>UPPSALA</t>
        </is>
      </c>
      <c r="F1590" t="inlineStr">
        <is>
          <t>Övriga Aktiebolag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24287-2020</t>
        </is>
      </c>
      <c r="B1591" s="1" t="n">
        <v>43976</v>
      </c>
      <c r="C1591" s="1" t="n">
        <v>45351</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24476-2020</t>
        </is>
      </c>
      <c r="B1592" s="1" t="n">
        <v>43977</v>
      </c>
      <c r="C1592" s="1" t="n">
        <v>45351</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24496-2020</t>
        </is>
      </c>
      <c r="B1593" s="1" t="n">
        <v>43977</v>
      </c>
      <c r="C1593" s="1" t="n">
        <v>45351</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25081-2020</t>
        </is>
      </c>
      <c r="B1594" s="1" t="n">
        <v>43979</v>
      </c>
      <c r="C1594" s="1" t="n">
        <v>45351</v>
      </c>
      <c r="D1594" t="inlineStr">
        <is>
          <t>UPPSALA LÄN</t>
        </is>
      </c>
      <c r="E1594" t="inlineStr">
        <is>
          <t>ENKÖPING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25588-2020</t>
        </is>
      </c>
      <c r="B1595" s="1" t="n">
        <v>43983</v>
      </c>
      <c r="C1595" s="1" t="n">
        <v>45351</v>
      </c>
      <c r="D1595" t="inlineStr">
        <is>
          <t>UPPSALA LÄN</t>
        </is>
      </c>
      <c r="E1595" t="inlineStr">
        <is>
          <t>HEBY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25544-2020</t>
        </is>
      </c>
      <c r="B1596" s="1" t="n">
        <v>43983</v>
      </c>
      <c r="C1596" s="1" t="n">
        <v>45351</v>
      </c>
      <c r="D1596" t="inlineStr">
        <is>
          <t>UPPSALA LÄN</t>
        </is>
      </c>
      <c r="E1596" t="inlineStr">
        <is>
          <t>HEBY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25641-2020</t>
        </is>
      </c>
      <c r="B1597" s="1" t="n">
        <v>43983</v>
      </c>
      <c r="C1597" s="1" t="n">
        <v>45351</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25658-2020</t>
        </is>
      </c>
      <c r="B1598" s="1" t="n">
        <v>43983</v>
      </c>
      <c r="C1598" s="1" t="n">
        <v>45351</v>
      </c>
      <c r="D1598" t="inlineStr">
        <is>
          <t>UPPSALA LÄN</t>
        </is>
      </c>
      <c r="E1598" t="inlineStr">
        <is>
          <t>KNIVSTA</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25687-2020</t>
        </is>
      </c>
      <c r="B1599" s="1" t="n">
        <v>43984</v>
      </c>
      <c r="C1599" s="1" t="n">
        <v>45351</v>
      </c>
      <c r="D1599" t="inlineStr">
        <is>
          <t>UPPSALA LÄN</t>
        </is>
      </c>
      <c r="E1599" t="inlineStr">
        <is>
          <t>HEBY</t>
        </is>
      </c>
      <c r="F1599" t="inlineStr">
        <is>
          <t>Bergvik skog väst AB</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25798-2020</t>
        </is>
      </c>
      <c r="B1600" s="1" t="n">
        <v>43984</v>
      </c>
      <c r="C1600" s="1" t="n">
        <v>45351</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25895-2020</t>
        </is>
      </c>
      <c r="B1601" s="1" t="n">
        <v>43984</v>
      </c>
      <c r="C1601" s="1" t="n">
        <v>45351</v>
      </c>
      <c r="D1601" t="inlineStr">
        <is>
          <t>UPPSALA LÄN</t>
        </is>
      </c>
      <c r="E1601" t="inlineStr">
        <is>
          <t>ENKÖPING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26090-2020</t>
        </is>
      </c>
      <c r="B1602" s="1" t="n">
        <v>43985</v>
      </c>
      <c r="C1602" s="1" t="n">
        <v>45351</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26101-2020</t>
        </is>
      </c>
      <c r="B1603" s="1" t="n">
        <v>43985</v>
      </c>
      <c r="C1603" s="1" t="n">
        <v>45351</v>
      </c>
      <c r="D1603" t="inlineStr">
        <is>
          <t>UPPSALA LÄN</t>
        </is>
      </c>
      <c r="E1603" t="inlineStr">
        <is>
          <t>TIERP</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26032-2020</t>
        </is>
      </c>
      <c r="B1604" s="1" t="n">
        <v>43985</v>
      </c>
      <c r="C1604" s="1" t="n">
        <v>45351</v>
      </c>
      <c r="D1604" t="inlineStr">
        <is>
          <t>UPPSALA LÄN</t>
        </is>
      </c>
      <c r="E1604" t="inlineStr">
        <is>
          <t>ENKÖPING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26095-2020</t>
        </is>
      </c>
      <c r="B1605" s="1" t="n">
        <v>43985</v>
      </c>
      <c r="C1605" s="1" t="n">
        <v>45351</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26151-2020</t>
        </is>
      </c>
      <c r="B1606" s="1" t="n">
        <v>43985</v>
      </c>
      <c r="C1606" s="1" t="n">
        <v>45351</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26198-2020</t>
        </is>
      </c>
      <c r="B1607" s="1" t="n">
        <v>43986</v>
      </c>
      <c r="C1607" s="1" t="n">
        <v>45351</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26389-2020</t>
        </is>
      </c>
      <c r="B1608" s="1" t="n">
        <v>43987</v>
      </c>
      <c r="C1608" s="1" t="n">
        <v>45351</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26488-2020</t>
        </is>
      </c>
      <c r="B1609" s="1" t="n">
        <v>43987</v>
      </c>
      <c r="C1609" s="1" t="n">
        <v>45351</v>
      </c>
      <c r="D1609" t="inlineStr">
        <is>
          <t>UPPSALA LÄN</t>
        </is>
      </c>
      <c r="E1609" t="inlineStr">
        <is>
          <t>UPPSALA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26492-2020</t>
        </is>
      </c>
      <c r="B1610" s="1" t="n">
        <v>43987</v>
      </c>
      <c r="C1610" s="1" t="n">
        <v>45351</v>
      </c>
      <c r="D1610" t="inlineStr">
        <is>
          <t>UPPSALA LÄN</t>
        </is>
      </c>
      <c r="E1610" t="inlineStr">
        <is>
          <t>UPPSALA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26856-2020</t>
        </is>
      </c>
      <c r="B1611" s="1" t="n">
        <v>43990</v>
      </c>
      <c r="C1611" s="1" t="n">
        <v>45351</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26860-2020</t>
        </is>
      </c>
      <c r="B1612" s="1" t="n">
        <v>43990</v>
      </c>
      <c r="C1612" s="1" t="n">
        <v>45351</v>
      </c>
      <c r="D1612" t="inlineStr">
        <is>
          <t>UPPSALA LÄN</t>
        </is>
      </c>
      <c r="E1612" t="inlineStr">
        <is>
          <t>ENKÖPING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27462-2020</t>
        </is>
      </c>
      <c r="B1613" s="1" t="n">
        <v>43993</v>
      </c>
      <c r="C1613" s="1" t="n">
        <v>45351</v>
      </c>
      <c r="D1613" t="inlineStr">
        <is>
          <t>UPPSALA LÄN</t>
        </is>
      </c>
      <c r="E1613" t="inlineStr">
        <is>
          <t>TIERP</t>
        </is>
      </c>
      <c r="F1613" t="inlineStr">
        <is>
          <t>Bergvik skog öst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28565-2020</t>
        </is>
      </c>
      <c r="B1614" s="1" t="n">
        <v>43999</v>
      </c>
      <c r="C1614" s="1" t="n">
        <v>45351</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28514-2020</t>
        </is>
      </c>
      <c r="B1615" s="1" t="n">
        <v>43999</v>
      </c>
      <c r="C1615" s="1" t="n">
        <v>45351</v>
      </c>
      <c r="D1615" t="inlineStr">
        <is>
          <t>UPPSALA LÄN</t>
        </is>
      </c>
      <c r="E1615" t="inlineStr">
        <is>
          <t>UPPSALA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28799-2020</t>
        </is>
      </c>
      <c r="B1616" s="1" t="n">
        <v>44000</v>
      </c>
      <c r="C1616" s="1" t="n">
        <v>45351</v>
      </c>
      <c r="D1616" t="inlineStr">
        <is>
          <t>UPPSALA LÄN</t>
        </is>
      </c>
      <c r="E1616" t="inlineStr">
        <is>
          <t>ENKÖPING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28993-2020</t>
        </is>
      </c>
      <c r="B1617" s="1" t="n">
        <v>44000</v>
      </c>
      <c r="C1617" s="1" t="n">
        <v>45351</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29034-2020</t>
        </is>
      </c>
      <c r="B1618" s="1" t="n">
        <v>44000</v>
      </c>
      <c r="C1618" s="1" t="n">
        <v>45351</v>
      </c>
      <c r="D1618" t="inlineStr">
        <is>
          <t>UPPSALA LÄN</t>
        </is>
      </c>
      <c r="E1618" t="inlineStr">
        <is>
          <t>UPPSALA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28801-2020</t>
        </is>
      </c>
      <c r="B1619" s="1" t="n">
        <v>44000</v>
      </c>
      <c r="C1619" s="1" t="n">
        <v>45351</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29934-2020</t>
        </is>
      </c>
      <c r="B1620" s="1" t="n">
        <v>44006</v>
      </c>
      <c r="C1620" s="1" t="n">
        <v>45351</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29948-2020</t>
        </is>
      </c>
      <c r="B1621" s="1" t="n">
        <v>44006</v>
      </c>
      <c r="C1621" s="1" t="n">
        <v>45351</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29989-2020</t>
        </is>
      </c>
      <c r="B1622" s="1" t="n">
        <v>44006</v>
      </c>
      <c r="C1622" s="1" t="n">
        <v>45351</v>
      </c>
      <c r="D1622" t="inlineStr">
        <is>
          <t>UPPSALA LÄN</t>
        </is>
      </c>
      <c r="E1622" t="inlineStr">
        <is>
          <t>TIERP</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30196-2020</t>
        </is>
      </c>
      <c r="B1623" s="1" t="n">
        <v>44007</v>
      </c>
      <c r="C1623" s="1" t="n">
        <v>45351</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30208-2020</t>
        </is>
      </c>
      <c r="B1624" s="1" t="n">
        <v>44007</v>
      </c>
      <c r="C1624" s="1" t="n">
        <v>45351</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30245-2020</t>
        </is>
      </c>
      <c r="B1625" s="1" t="n">
        <v>44007</v>
      </c>
      <c r="C1625" s="1" t="n">
        <v>45351</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30338-2020</t>
        </is>
      </c>
      <c r="B1626" s="1" t="n">
        <v>44007</v>
      </c>
      <c r="C1626" s="1" t="n">
        <v>45351</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30280-2020</t>
        </is>
      </c>
      <c r="B1627" s="1" t="n">
        <v>44007</v>
      </c>
      <c r="C1627" s="1" t="n">
        <v>45351</v>
      </c>
      <c r="D1627" t="inlineStr">
        <is>
          <t>UPPSALA LÄN</t>
        </is>
      </c>
      <c r="E1627" t="inlineStr">
        <is>
          <t>ENKÖPING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30419-2020</t>
        </is>
      </c>
      <c r="B1628" s="1" t="n">
        <v>44007</v>
      </c>
      <c r="C1628" s="1" t="n">
        <v>45351</v>
      </c>
      <c r="D1628" t="inlineStr">
        <is>
          <t>UPPSALA LÄN</t>
        </is>
      </c>
      <c r="E1628" t="inlineStr">
        <is>
          <t>ÖSTHAMMAR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30176-2020</t>
        </is>
      </c>
      <c r="B1629" s="1" t="n">
        <v>44007</v>
      </c>
      <c r="C1629" s="1" t="n">
        <v>45351</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30544-2020</t>
        </is>
      </c>
      <c r="B1630" s="1" t="n">
        <v>44008</v>
      </c>
      <c r="C1630" s="1" t="n">
        <v>45351</v>
      </c>
      <c r="D1630" t="inlineStr">
        <is>
          <t>UPPSALA LÄN</t>
        </is>
      </c>
      <c r="E1630" t="inlineStr">
        <is>
          <t>TIERP</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30571-2020</t>
        </is>
      </c>
      <c r="B1631" s="1" t="n">
        <v>44008</v>
      </c>
      <c r="C1631" s="1" t="n">
        <v>45351</v>
      </c>
      <c r="D1631" t="inlineStr">
        <is>
          <t>UPPSALA LÄN</t>
        </is>
      </c>
      <c r="E1631" t="inlineStr">
        <is>
          <t>ENKÖPING</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31219-2020</t>
        </is>
      </c>
      <c r="B1632" s="1" t="n">
        <v>44012</v>
      </c>
      <c r="C1632" s="1" t="n">
        <v>45351</v>
      </c>
      <c r="D1632" t="inlineStr">
        <is>
          <t>UPPSALA LÄN</t>
        </is>
      </c>
      <c r="E1632" t="inlineStr">
        <is>
          <t>UPPSALA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31472-2020</t>
        </is>
      </c>
      <c r="B1633" s="1" t="n">
        <v>44013</v>
      </c>
      <c r="C1633" s="1" t="n">
        <v>45351</v>
      </c>
      <c r="D1633" t="inlineStr">
        <is>
          <t>UPPSALA LÄN</t>
        </is>
      </c>
      <c r="E1633" t="inlineStr">
        <is>
          <t>ENKÖPING</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31430-2020</t>
        </is>
      </c>
      <c r="B1634" s="1" t="n">
        <v>44013</v>
      </c>
      <c r="C1634" s="1" t="n">
        <v>45351</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31473-2020</t>
        </is>
      </c>
      <c r="B1635" s="1" t="n">
        <v>44013</v>
      </c>
      <c r="C1635" s="1" t="n">
        <v>45351</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31539-2020</t>
        </is>
      </c>
      <c r="B1636" s="1" t="n">
        <v>44013</v>
      </c>
      <c r="C1636" s="1" t="n">
        <v>45351</v>
      </c>
      <c r="D1636" t="inlineStr">
        <is>
          <t>UPPSALA LÄN</t>
        </is>
      </c>
      <c r="E1636" t="inlineStr">
        <is>
          <t>HEBY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31685-2020</t>
        </is>
      </c>
      <c r="B1637" s="1" t="n">
        <v>44013</v>
      </c>
      <c r="C1637" s="1" t="n">
        <v>45351</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31932-2020</t>
        </is>
      </c>
      <c r="B1638" s="1" t="n">
        <v>44014</v>
      </c>
      <c r="C1638" s="1" t="n">
        <v>45351</v>
      </c>
      <c r="D1638" t="inlineStr">
        <is>
          <t>UPPSALA LÄN</t>
        </is>
      </c>
      <c r="E1638" t="inlineStr">
        <is>
          <t>UPPSALA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32192-2020</t>
        </is>
      </c>
      <c r="B1639" s="1" t="n">
        <v>44015</v>
      </c>
      <c r="C1639" s="1" t="n">
        <v>45351</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32209-2020</t>
        </is>
      </c>
      <c r="B1640" s="1" t="n">
        <v>44015</v>
      </c>
      <c r="C1640" s="1" t="n">
        <v>45351</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32047-2020</t>
        </is>
      </c>
      <c r="B1641" s="1" t="n">
        <v>44015</v>
      </c>
      <c r="C1641" s="1" t="n">
        <v>45351</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32235-2020</t>
        </is>
      </c>
      <c r="B1642" s="1" t="n">
        <v>44015</v>
      </c>
      <c r="C1642" s="1" t="n">
        <v>45351</v>
      </c>
      <c r="D1642" t="inlineStr">
        <is>
          <t>UPPSALA LÄN</t>
        </is>
      </c>
      <c r="E1642" t="inlineStr">
        <is>
          <t>UPPSALA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32340-2020</t>
        </is>
      </c>
      <c r="B1643" s="1" t="n">
        <v>44016</v>
      </c>
      <c r="C1643" s="1" t="n">
        <v>45351</v>
      </c>
      <c r="D1643" t="inlineStr">
        <is>
          <t>UPPSALA LÄN</t>
        </is>
      </c>
      <c r="E1643" t="inlineStr">
        <is>
          <t>UPPSALA</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32416-2020</t>
        </is>
      </c>
      <c r="B1644" s="1" t="n">
        <v>44018</v>
      </c>
      <c r="C1644" s="1" t="n">
        <v>45351</v>
      </c>
      <c r="D1644" t="inlineStr">
        <is>
          <t>UPPSALA LÄN</t>
        </is>
      </c>
      <c r="E1644" t="inlineStr">
        <is>
          <t>ÄLVKARLEBY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32454-2020</t>
        </is>
      </c>
      <c r="B1645" s="1" t="n">
        <v>44018</v>
      </c>
      <c r="C1645" s="1" t="n">
        <v>45351</v>
      </c>
      <c r="D1645" t="inlineStr">
        <is>
          <t>UPPSALA LÄN</t>
        </is>
      </c>
      <c r="E1645" t="inlineStr">
        <is>
          <t>ENKÖPING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32497-2020</t>
        </is>
      </c>
      <c r="B1646" s="1" t="n">
        <v>44018</v>
      </c>
      <c r="C1646" s="1" t="n">
        <v>45351</v>
      </c>
      <c r="D1646" t="inlineStr">
        <is>
          <t>UPPSALA LÄN</t>
        </is>
      </c>
      <c r="E1646" t="inlineStr">
        <is>
          <t>ENKÖPING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32608-2020</t>
        </is>
      </c>
      <c r="B1647" s="1" t="n">
        <v>44019</v>
      </c>
      <c r="C1647" s="1" t="n">
        <v>45351</v>
      </c>
      <c r="D1647" t="inlineStr">
        <is>
          <t>UPPSALA LÄN</t>
        </is>
      </c>
      <c r="E1647" t="inlineStr">
        <is>
          <t>UPPSALA</t>
        </is>
      </c>
      <c r="F1647" t="inlineStr">
        <is>
          <t>Bergvik skog öst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32953-2020</t>
        </is>
      </c>
      <c r="B1648" s="1" t="n">
        <v>44020</v>
      </c>
      <c r="C1648" s="1" t="n">
        <v>45351</v>
      </c>
      <c r="D1648" t="inlineStr">
        <is>
          <t>UPPSALA LÄN</t>
        </is>
      </c>
      <c r="E1648" t="inlineStr">
        <is>
          <t>KNIVSTA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33076-2020</t>
        </is>
      </c>
      <c r="B1649" s="1" t="n">
        <v>44021</v>
      </c>
      <c r="C1649" s="1" t="n">
        <v>45351</v>
      </c>
      <c r="D1649" t="inlineStr">
        <is>
          <t>UPPSALA LÄN</t>
        </is>
      </c>
      <c r="E1649" t="inlineStr">
        <is>
          <t>TIERP</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33098-2020</t>
        </is>
      </c>
      <c r="B1650" s="1" t="n">
        <v>44021</v>
      </c>
      <c r="C1650" s="1" t="n">
        <v>45351</v>
      </c>
      <c r="D1650" t="inlineStr">
        <is>
          <t>UPPSALA LÄN</t>
        </is>
      </c>
      <c r="E1650" t="inlineStr">
        <is>
          <t>ÖSTHAMMAR</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33026-2020</t>
        </is>
      </c>
      <c r="B1651" s="1" t="n">
        <v>44021</v>
      </c>
      <c r="C1651" s="1" t="n">
        <v>45351</v>
      </c>
      <c r="D1651" t="inlineStr">
        <is>
          <t>UPPSALA LÄN</t>
        </is>
      </c>
      <c r="E1651" t="inlineStr">
        <is>
          <t>HEBY</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33585-2020</t>
        </is>
      </c>
      <c r="B1652" s="1" t="n">
        <v>44022</v>
      </c>
      <c r="C1652" s="1" t="n">
        <v>45351</v>
      </c>
      <c r="D1652" t="inlineStr">
        <is>
          <t>UPPSALA LÄN</t>
        </is>
      </c>
      <c r="E1652" t="inlineStr">
        <is>
          <t>ENKÖPING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33378-2020</t>
        </is>
      </c>
      <c r="B1653" s="1" t="n">
        <v>44022</v>
      </c>
      <c r="C1653" s="1" t="n">
        <v>45351</v>
      </c>
      <c r="D1653" t="inlineStr">
        <is>
          <t>UPPSALA LÄN</t>
        </is>
      </c>
      <c r="E1653" t="inlineStr">
        <is>
          <t>TIERP</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33545-2020</t>
        </is>
      </c>
      <c r="B1654" s="1" t="n">
        <v>44025</v>
      </c>
      <c r="C1654" s="1" t="n">
        <v>45351</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33873-2020</t>
        </is>
      </c>
      <c r="B1655" s="1" t="n">
        <v>44025</v>
      </c>
      <c r="C1655" s="1" t="n">
        <v>45351</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33671-2020</t>
        </is>
      </c>
      <c r="B1656" s="1" t="n">
        <v>44026</v>
      </c>
      <c r="C1656" s="1" t="n">
        <v>45351</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33658-2020</t>
        </is>
      </c>
      <c r="B1657" s="1" t="n">
        <v>44026</v>
      </c>
      <c r="C1657" s="1" t="n">
        <v>45351</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34205-2020</t>
        </is>
      </c>
      <c r="B1658" s="1" t="n">
        <v>44029</v>
      </c>
      <c r="C1658" s="1" t="n">
        <v>45351</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34490-2020</t>
        </is>
      </c>
      <c r="B1659" s="1" t="n">
        <v>44029</v>
      </c>
      <c r="C1659" s="1" t="n">
        <v>45351</v>
      </c>
      <c r="D1659" t="inlineStr">
        <is>
          <t>UPPSALA LÄN</t>
        </is>
      </c>
      <c r="E1659" t="inlineStr">
        <is>
          <t>HÅBO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34494-2020</t>
        </is>
      </c>
      <c r="B1660" s="1" t="n">
        <v>44029</v>
      </c>
      <c r="C1660" s="1" t="n">
        <v>45351</v>
      </c>
      <c r="D1660" t="inlineStr">
        <is>
          <t>UPPSALA LÄN</t>
        </is>
      </c>
      <c r="E1660" t="inlineStr">
        <is>
          <t>TIERP</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34497-2020</t>
        </is>
      </c>
      <c r="B1661" s="1" t="n">
        <v>44033</v>
      </c>
      <c r="C1661" s="1" t="n">
        <v>45351</v>
      </c>
      <c r="D1661" t="inlineStr">
        <is>
          <t>UPPSALA LÄN</t>
        </is>
      </c>
      <c r="E1661" t="inlineStr">
        <is>
          <t>HÅBO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34565-2020</t>
        </is>
      </c>
      <c r="B1662" s="1" t="n">
        <v>44033</v>
      </c>
      <c r="C1662" s="1" t="n">
        <v>45351</v>
      </c>
      <c r="D1662" t="inlineStr">
        <is>
          <t>UPPSALA LÄN</t>
        </is>
      </c>
      <c r="E1662" t="inlineStr">
        <is>
          <t>UPPSALA</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34700-2020</t>
        </is>
      </c>
      <c r="B1663" s="1" t="n">
        <v>44035</v>
      </c>
      <c r="C1663" s="1" t="n">
        <v>45351</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34729-2020</t>
        </is>
      </c>
      <c r="B1664" s="1" t="n">
        <v>44035</v>
      </c>
      <c r="C1664" s="1" t="n">
        <v>45351</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34753-2020</t>
        </is>
      </c>
      <c r="B1665" s="1" t="n">
        <v>44035</v>
      </c>
      <c r="C1665" s="1" t="n">
        <v>45351</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34697-2020</t>
        </is>
      </c>
      <c r="B1666" s="1" t="n">
        <v>44035</v>
      </c>
      <c r="C1666" s="1" t="n">
        <v>45351</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34749-2020</t>
        </is>
      </c>
      <c r="B1667" s="1" t="n">
        <v>44035</v>
      </c>
      <c r="C1667" s="1" t="n">
        <v>45351</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34943-2020</t>
        </is>
      </c>
      <c r="B1668" s="1" t="n">
        <v>44038</v>
      </c>
      <c r="C1668" s="1" t="n">
        <v>45351</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34941-2020</t>
        </is>
      </c>
      <c r="B1669" s="1" t="n">
        <v>44038</v>
      </c>
      <c r="C1669" s="1" t="n">
        <v>45351</v>
      </c>
      <c r="D1669" t="inlineStr">
        <is>
          <t>UPPSALA LÄN</t>
        </is>
      </c>
      <c r="E1669" t="inlineStr">
        <is>
          <t>ÖSTHAMMAR</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34940-2020</t>
        </is>
      </c>
      <c r="B1670" s="1" t="n">
        <v>44038</v>
      </c>
      <c r="C1670" s="1" t="n">
        <v>45351</v>
      </c>
      <c r="D1670" t="inlineStr">
        <is>
          <t>UPPSALA LÄN</t>
        </is>
      </c>
      <c r="E1670" t="inlineStr">
        <is>
          <t>ÖSTHAMMAR</t>
        </is>
      </c>
      <c r="F1670" t="inlineStr">
        <is>
          <t>Bergvik skog öst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35094-2020</t>
        </is>
      </c>
      <c r="B1671" s="1" t="n">
        <v>44040</v>
      </c>
      <c r="C1671" s="1" t="n">
        <v>45351</v>
      </c>
      <c r="D1671" t="inlineStr">
        <is>
          <t>UPPSALA LÄN</t>
        </is>
      </c>
      <c r="E1671" t="inlineStr">
        <is>
          <t>ÖSTHAMMAR</t>
        </is>
      </c>
      <c r="F1671" t="inlineStr">
        <is>
          <t>Bergvik skog öst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35096-2020</t>
        </is>
      </c>
      <c r="B1672" s="1" t="n">
        <v>44040</v>
      </c>
      <c r="C1672" s="1" t="n">
        <v>45351</v>
      </c>
      <c r="D1672" t="inlineStr">
        <is>
          <t>UPPSALA LÄN</t>
        </is>
      </c>
      <c r="E1672" t="inlineStr">
        <is>
          <t>ÖSTHAMMAR</t>
        </is>
      </c>
      <c r="F1672" t="inlineStr">
        <is>
          <t>Bergvik skog öst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35281-2020</t>
        </is>
      </c>
      <c r="B1673" s="1" t="n">
        <v>44041</v>
      </c>
      <c r="C1673" s="1" t="n">
        <v>45351</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35573-2020</t>
        </is>
      </c>
      <c r="B1674" s="1" t="n">
        <v>44043</v>
      </c>
      <c r="C1674" s="1" t="n">
        <v>45351</v>
      </c>
      <c r="D1674" t="inlineStr">
        <is>
          <t>UPPSALA LÄN</t>
        </is>
      </c>
      <c r="E1674" t="inlineStr">
        <is>
          <t>TIERP</t>
        </is>
      </c>
      <c r="F1674" t="inlineStr">
        <is>
          <t>Bergvik skog öst AB</t>
        </is>
      </c>
      <c r="G1674" t="n">
        <v>30.2</v>
      </c>
      <c r="H1674" t="n">
        <v>0</v>
      </c>
      <c r="I1674" t="n">
        <v>0</v>
      </c>
      <c r="J1674" t="n">
        <v>0</v>
      </c>
      <c r="K1674" t="n">
        <v>0</v>
      </c>
      <c r="L1674" t="n">
        <v>0</v>
      </c>
      <c r="M1674" t="n">
        <v>0</v>
      </c>
      <c r="N1674" t="n">
        <v>0</v>
      </c>
      <c r="O1674" t="n">
        <v>0</v>
      </c>
      <c r="P1674" t="n">
        <v>0</v>
      </c>
      <c r="Q1674" t="n">
        <v>0</v>
      </c>
      <c r="R1674" s="2" t="inlineStr"/>
    </row>
    <row r="1675" ht="15" customHeight="1">
      <c r="A1675" t="inlineStr">
        <is>
          <t>A 36035-2020</t>
        </is>
      </c>
      <c r="B1675" s="1" t="n">
        <v>44048</v>
      </c>
      <c r="C1675" s="1" t="n">
        <v>45351</v>
      </c>
      <c r="D1675" t="inlineStr">
        <is>
          <t>UPPSALA LÄN</t>
        </is>
      </c>
      <c r="E1675" t="inlineStr">
        <is>
          <t>UPPSALA</t>
        </is>
      </c>
      <c r="F1675" t="inlineStr">
        <is>
          <t>Bergvik skog öst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36061-2020</t>
        </is>
      </c>
      <c r="B1676" s="1" t="n">
        <v>44048</v>
      </c>
      <c r="C1676" s="1" t="n">
        <v>45351</v>
      </c>
      <c r="D1676" t="inlineStr">
        <is>
          <t>UPPSALA LÄN</t>
        </is>
      </c>
      <c r="E1676" t="inlineStr">
        <is>
          <t>HEBY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36202-2020</t>
        </is>
      </c>
      <c r="B1677" s="1" t="n">
        <v>44048</v>
      </c>
      <c r="C1677" s="1" t="n">
        <v>45351</v>
      </c>
      <c r="D1677" t="inlineStr">
        <is>
          <t>UPPSALA LÄN</t>
        </is>
      </c>
      <c r="E1677" t="inlineStr">
        <is>
          <t>UPPSALA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36075-2020</t>
        </is>
      </c>
      <c r="B1678" s="1" t="n">
        <v>44048</v>
      </c>
      <c r="C1678" s="1" t="n">
        <v>45351</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36198-2020</t>
        </is>
      </c>
      <c r="B1679" s="1" t="n">
        <v>44048</v>
      </c>
      <c r="C1679" s="1" t="n">
        <v>45351</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36350-2020</t>
        </is>
      </c>
      <c r="B1680" s="1" t="n">
        <v>44049</v>
      </c>
      <c r="C1680" s="1" t="n">
        <v>45351</v>
      </c>
      <c r="D1680" t="inlineStr">
        <is>
          <t>UPPSALA LÄN</t>
        </is>
      </c>
      <c r="E1680" t="inlineStr">
        <is>
          <t>UPPSALA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36412-2020</t>
        </is>
      </c>
      <c r="B1681" s="1" t="n">
        <v>44049</v>
      </c>
      <c r="C1681" s="1" t="n">
        <v>45351</v>
      </c>
      <c r="D1681" t="inlineStr">
        <is>
          <t>UPPSALA LÄN</t>
        </is>
      </c>
      <c r="E1681" t="inlineStr">
        <is>
          <t>TIERP</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36512-2020</t>
        </is>
      </c>
      <c r="B1682" s="1" t="n">
        <v>44050</v>
      </c>
      <c r="C1682" s="1" t="n">
        <v>45351</v>
      </c>
      <c r="D1682" t="inlineStr">
        <is>
          <t>UPPSALA LÄN</t>
        </is>
      </c>
      <c r="E1682" t="inlineStr">
        <is>
          <t>UPPSALA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36939-2020</t>
        </is>
      </c>
      <c r="B1683" s="1" t="n">
        <v>44053</v>
      </c>
      <c r="C1683" s="1" t="n">
        <v>45351</v>
      </c>
      <c r="D1683" t="inlineStr">
        <is>
          <t>UPPSALA LÄN</t>
        </is>
      </c>
      <c r="E1683" t="inlineStr">
        <is>
          <t>HEBY</t>
        </is>
      </c>
      <c r="F1683" t="inlineStr">
        <is>
          <t>Bergvik skog väst AB</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37193-2020</t>
        </is>
      </c>
      <c r="B1684" s="1" t="n">
        <v>44054</v>
      </c>
      <c r="C1684" s="1" t="n">
        <v>45351</v>
      </c>
      <c r="D1684" t="inlineStr">
        <is>
          <t>UPPSALA LÄN</t>
        </is>
      </c>
      <c r="E1684" t="inlineStr">
        <is>
          <t>ÄLVKARLEBY</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37276-2020</t>
        </is>
      </c>
      <c r="B1685" s="1" t="n">
        <v>44055</v>
      </c>
      <c r="C1685" s="1" t="n">
        <v>45351</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37596-2020</t>
        </is>
      </c>
      <c r="B1686" s="1" t="n">
        <v>44056</v>
      </c>
      <c r="C1686" s="1" t="n">
        <v>45351</v>
      </c>
      <c r="D1686" t="inlineStr">
        <is>
          <t>UPPSALA LÄN</t>
        </is>
      </c>
      <c r="E1686" t="inlineStr">
        <is>
          <t>TIERP</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37669-2020</t>
        </is>
      </c>
      <c r="B1687" s="1" t="n">
        <v>44056</v>
      </c>
      <c r="C1687" s="1" t="n">
        <v>45351</v>
      </c>
      <c r="D1687" t="inlineStr">
        <is>
          <t>UPPSALA LÄN</t>
        </is>
      </c>
      <c r="E1687" t="inlineStr">
        <is>
          <t>UPPSALA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37680-2020</t>
        </is>
      </c>
      <c r="B1688" s="1" t="n">
        <v>44056</v>
      </c>
      <c r="C1688" s="1" t="n">
        <v>45351</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37738-2020</t>
        </is>
      </c>
      <c r="B1689" s="1" t="n">
        <v>44056</v>
      </c>
      <c r="C1689" s="1" t="n">
        <v>45351</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37691-2020</t>
        </is>
      </c>
      <c r="B1690" s="1" t="n">
        <v>44056</v>
      </c>
      <c r="C1690" s="1" t="n">
        <v>45351</v>
      </c>
      <c r="D1690" t="inlineStr">
        <is>
          <t>UPPSALA LÄN</t>
        </is>
      </c>
      <c r="E1690" t="inlineStr">
        <is>
          <t>TIERP</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38285-2020</t>
        </is>
      </c>
      <c r="B1691" s="1" t="n">
        <v>44060</v>
      </c>
      <c r="C1691" s="1" t="n">
        <v>45351</v>
      </c>
      <c r="D1691" t="inlineStr">
        <is>
          <t>UPPSALA LÄN</t>
        </is>
      </c>
      <c r="E1691" t="inlineStr">
        <is>
          <t>ÖSTHAMMAR</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38630-2020</t>
        </is>
      </c>
      <c r="B1692" s="1" t="n">
        <v>44061</v>
      </c>
      <c r="C1692" s="1" t="n">
        <v>45351</v>
      </c>
      <c r="D1692" t="inlineStr">
        <is>
          <t>UPPSALA LÄN</t>
        </is>
      </c>
      <c r="E1692" t="inlineStr">
        <is>
          <t>ÖSTHAMMAR</t>
        </is>
      </c>
      <c r="F1692" t="inlineStr">
        <is>
          <t>Bergvik skog öst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39233-2020</t>
        </is>
      </c>
      <c r="B1693" s="1" t="n">
        <v>44063</v>
      </c>
      <c r="C1693" s="1" t="n">
        <v>45351</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39178-2020</t>
        </is>
      </c>
      <c r="B1694" s="1" t="n">
        <v>44063</v>
      </c>
      <c r="C1694" s="1" t="n">
        <v>45351</v>
      </c>
      <c r="D1694" t="inlineStr">
        <is>
          <t>UPPSALA LÄN</t>
        </is>
      </c>
      <c r="E1694" t="inlineStr">
        <is>
          <t>UPPSALA</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39236-2020</t>
        </is>
      </c>
      <c r="B1695" s="1" t="n">
        <v>44063</v>
      </c>
      <c r="C1695" s="1" t="n">
        <v>45351</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39272-2020</t>
        </is>
      </c>
      <c r="B1696" s="1" t="n">
        <v>44063</v>
      </c>
      <c r="C1696" s="1" t="n">
        <v>45351</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39640-2020</t>
        </is>
      </c>
      <c r="B1697" s="1" t="n">
        <v>44064</v>
      </c>
      <c r="C1697" s="1" t="n">
        <v>45351</v>
      </c>
      <c r="D1697" t="inlineStr">
        <is>
          <t>UPPSALA LÄN</t>
        </is>
      </c>
      <c r="E1697" t="inlineStr">
        <is>
          <t>ÖSTHAMMAR</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39935-2020</t>
        </is>
      </c>
      <c r="B1698" s="1" t="n">
        <v>44067</v>
      </c>
      <c r="C1698" s="1" t="n">
        <v>45351</v>
      </c>
      <c r="D1698" t="inlineStr">
        <is>
          <t>UPPSALA LÄN</t>
        </is>
      </c>
      <c r="E1698" t="inlineStr">
        <is>
          <t>ENKÖPING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40667-2020</t>
        </is>
      </c>
      <c r="B1699" s="1" t="n">
        <v>44069</v>
      </c>
      <c r="C1699" s="1" t="n">
        <v>45351</v>
      </c>
      <c r="D1699" t="inlineStr">
        <is>
          <t>UPPSALA LÄN</t>
        </is>
      </c>
      <c r="E1699" t="inlineStr">
        <is>
          <t>ÄLVKARLEBY</t>
        </is>
      </c>
      <c r="F1699" t="inlineStr">
        <is>
          <t>Bergvik skog väst AB</t>
        </is>
      </c>
      <c r="G1699" t="n">
        <v>20.7</v>
      </c>
      <c r="H1699" t="n">
        <v>0</v>
      </c>
      <c r="I1699" t="n">
        <v>0</v>
      </c>
      <c r="J1699" t="n">
        <v>0</v>
      </c>
      <c r="K1699" t="n">
        <v>0</v>
      </c>
      <c r="L1699" t="n">
        <v>0</v>
      </c>
      <c r="M1699" t="n">
        <v>0</v>
      </c>
      <c r="N1699" t="n">
        <v>0</v>
      </c>
      <c r="O1699" t="n">
        <v>0</v>
      </c>
      <c r="P1699" t="n">
        <v>0</v>
      </c>
      <c r="Q1699" t="n">
        <v>0</v>
      </c>
      <c r="R1699" s="2" t="inlineStr"/>
    </row>
    <row r="1700" ht="15" customHeight="1">
      <c r="A1700" t="inlineStr">
        <is>
          <t>A 40803-2020</t>
        </is>
      </c>
      <c r="B1700" s="1" t="n">
        <v>44070</v>
      </c>
      <c r="C1700" s="1" t="n">
        <v>45351</v>
      </c>
      <c r="D1700" t="inlineStr">
        <is>
          <t>UPPSALA LÄN</t>
        </is>
      </c>
      <c r="E1700" t="inlineStr">
        <is>
          <t>HEBY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40894-2020</t>
        </is>
      </c>
      <c r="B1701" s="1" t="n">
        <v>44070</v>
      </c>
      <c r="C1701" s="1" t="n">
        <v>45351</v>
      </c>
      <c r="D1701" t="inlineStr">
        <is>
          <t>UPPSALA LÄN</t>
        </is>
      </c>
      <c r="E1701" t="inlineStr">
        <is>
          <t>UPPSALA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41849-2020</t>
        </is>
      </c>
      <c r="B1702" s="1" t="n">
        <v>44074</v>
      </c>
      <c r="C1702" s="1" t="n">
        <v>45351</v>
      </c>
      <c r="D1702" t="inlineStr">
        <is>
          <t>UPPSALA LÄN</t>
        </is>
      </c>
      <c r="E1702" t="inlineStr">
        <is>
          <t>ÖSTHAMMAR</t>
        </is>
      </c>
      <c r="F1702" t="inlineStr">
        <is>
          <t>Bergvik skog öst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42341-2020</t>
        </is>
      </c>
      <c r="B1703" s="1" t="n">
        <v>44076</v>
      </c>
      <c r="C1703" s="1" t="n">
        <v>45351</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42549-2020</t>
        </is>
      </c>
      <c r="B1704" s="1" t="n">
        <v>44077</v>
      </c>
      <c r="C1704" s="1" t="n">
        <v>45351</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43192-2020</t>
        </is>
      </c>
      <c r="B1705" s="1" t="n">
        <v>44081</v>
      </c>
      <c r="C1705" s="1" t="n">
        <v>45351</v>
      </c>
      <c r="D1705" t="inlineStr">
        <is>
          <t>UPPSALA LÄN</t>
        </is>
      </c>
      <c r="E1705" t="inlineStr">
        <is>
          <t>UPPSALA</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45351</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45351</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45351</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45351</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45351</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45351</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45351</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45351</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45351</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45351</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45351</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45351</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45351</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45351</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45351</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45351</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45351</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45351</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45351</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45351</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45351</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45351</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45351</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45351</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45351</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45351</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45351</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45351</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45351</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45351</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45351</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45351</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45351</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45351</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45351</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45351</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45351</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45351</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45351</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45351</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45351</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45351</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45351</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45351</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45351</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45351</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45351</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45351</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45351</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45351</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45351</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45351</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45351</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45351</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45351</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45351</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45351</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45351</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45351</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45351</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45351</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45351</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45351</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45351</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45351</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45351</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45351</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45351</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45351</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45351</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45351</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45351</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45351</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45351</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45351</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45351</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45351</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45351</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45351</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45351</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45351</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45351</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45351</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45351</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45351</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45351</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45351</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45351</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45351</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45351</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45351</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45351</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45351</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45351</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45351</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45351</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45351</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45351</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45351</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45351</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45351</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45351</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45351</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45351</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45351</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45351</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45351</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45351</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45351</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45351</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45351</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45351</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45351</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45351</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45351</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45351</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45351</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45351</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45351</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45351</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45351</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45351</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45351</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45351</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45351</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45351</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45351</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45351</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45351</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45351</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45351</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45351</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45351</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45351</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45351</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45351</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45351</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45351</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45351</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45351</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45351</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45351</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45351</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45351</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45351</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45351</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45351</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45351</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45351</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45351</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45351</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45351</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45351</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45351</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45351</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45351</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45351</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45351</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45351</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45351</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45351</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45351</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45351</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45351</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45351</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45351</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45351</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45351</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45351</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45351</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45351</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45351</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45351</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45351</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45351</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45351</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45351</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45351</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45351</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45351</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45351</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45351</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45351</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45351</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45351</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45351</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45351</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45351</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45351</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45351</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45351</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45351</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45351</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45351</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45351</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45351</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45351</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45351</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45351</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45351</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45351</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45351</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45351</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45351</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45351</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45351</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45351</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45351</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45351</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45351</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45351</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45351</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45351</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45351</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45351</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45351</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45351</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45351</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45351</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45351</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45351</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45351</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45351</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45351</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45351</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45351</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45351</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45351</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45351</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45351</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45351</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45351</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45351</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45351</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45351</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45351</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45351</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45351</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45351</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45351</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45351</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45351</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45351</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45351</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45351</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45351</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45351</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45351</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45351</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45351</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45351</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45351</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45351</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45351</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45351</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45351</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45351</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45351</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45351</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45351</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45351</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45351</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45351</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45351</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45351</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45351</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45351</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45351</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45351</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45351</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45351</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45351</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45351</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45351</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45351</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45351</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45351</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45351</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45351</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45351</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45351</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45351</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45351</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45351</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45351</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45351</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45351</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45351</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45351</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45351</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45351</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45351</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45351</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45351</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45351</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45351</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45351</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45351</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45351</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45351</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45351</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45351</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45351</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45351</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45351</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45351</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45351</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45351</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45351</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45351</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45351</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45351</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45351</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45351</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45351</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45351</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45351</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45351</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45351</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45351</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45351</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45351</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45351</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45351</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45351</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45351</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45351</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45351</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45351</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45351</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45351</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45351</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45351</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45351</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45351</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45351</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45351</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45351</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45351</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45351</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45351</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45351</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45351</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45351</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45351</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45351</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45351</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45351</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45351</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45351</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45351</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45351</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45351</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45351</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45351</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45351</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45351</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45351</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45351</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45351</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45351</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45351</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45351</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45351</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45351</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45351</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45351</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45351</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45351</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45351</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45351</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45351</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45351</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45351</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45351</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45351</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45351</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45351</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45351</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45351</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45351</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45351</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45351</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45351</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45351</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45351</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45351</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45351</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45351</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45351</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45351</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45351</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45351</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45351</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45351</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45351</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45351</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45351</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45351</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45351</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45351</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45351</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45351</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45351</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45351</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45351</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45351</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45351</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45351</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45351</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45351</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45351</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45351</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45351</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45351</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45351</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45351</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45351</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45351</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45351</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45351</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45351</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45351</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45351</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45351</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45351</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45351</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45351</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45351</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45351</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45351</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45351</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45351</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45351</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45351</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45351</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45351</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45351</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45351</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45351</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45351</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45351</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45351</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45351</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45351</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45351</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45351</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45351</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45351</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45351</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45351</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45351</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45351</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45351</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45351</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45351</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45351</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45351</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45351</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45351</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45351</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45351</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45351</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45351</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45351</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45351</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45351</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45351</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45351</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45351</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45351</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45351</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45351</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45351</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45351</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45351</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45351</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45351</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45351</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45351</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45351</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45351</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45351</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45351</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45351</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45351</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45351</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45351</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45351</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45351</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45351</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45351</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45351</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45351</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45351</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45351</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45351</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45351</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45351</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45351</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45351</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45351</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45351</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45351</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45351</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45351</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45351</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45351</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45351</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45351</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45351</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45351</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45351</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45351</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45351</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45351</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45351</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45351</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45351</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45351</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45351</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45351</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45351</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45351</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45351</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45351</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45351</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45351</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45351</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45351</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45351</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45351</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45351</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45351</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45351</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45351</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45351</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45351</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45351</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45351</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45351</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45351</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45351</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45351</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45351</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45351</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45351</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45351</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45351</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45351</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45351</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45351</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45351</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45351</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45351</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45351</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45351</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45351</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45351</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45351</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45351</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45351</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45351</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45351</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45351</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45351</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45351</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45351</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45351</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45351</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45351</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45351</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45351</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45351</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45351</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45351</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45351</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45351</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45351</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45351</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45351</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45351</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45351</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45351</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45351</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45351</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45351</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45351</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45351</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45351</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45351</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45351</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45351</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45351</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45351</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45351</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45351</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45351</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45351</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45351</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45351</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45351</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45351</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45351</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45351</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45351</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45351</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45351</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45351</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45351</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45351</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45351</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45351</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45351</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45351</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45351</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45351</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45351</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45351</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45351</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45351</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45351</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45351</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45351</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45351</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45351</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45351</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45351</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45351</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45351</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45351</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45351</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45351</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45351</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45351</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45351</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45351</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45351</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45351</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45351</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45351</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45351</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45351</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45351</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45351</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45351</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45351</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45351</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45351</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45351</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45351</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45351</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45351</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45351</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45351</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45351</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45351</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45351</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45351</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45351</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45351</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45351</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45351</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45351</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45351</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45351</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45351</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45351</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45351</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45351</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45351</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45351</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45351</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45351</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45351</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45351</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45351</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45351</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45351</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45351</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45351</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45351</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45351</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45351</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45351</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45351</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45351</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45351</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45351</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45351</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45351</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45351</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45351</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45351</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45351</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45351</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45351</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45351</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45351</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45351</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45351</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45351</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45351</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45351</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45351</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45351</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45351</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45351</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45351</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45351</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45351</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45351</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45351</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45351</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45351</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45351</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45351</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45351</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45351</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45351</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45351</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45351</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45351</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45351</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45351</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45351</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45351</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45351</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45351</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45351</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45351</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45351</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45351</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45351</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45351</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45351</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45351</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45351</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45351</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45351</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45351</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45351</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45351</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45351</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45351</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45351</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45351</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45351</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45351</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45351</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45351</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45351</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45351</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45351</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45351</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45351</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45351</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45351</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45351</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45351</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45351</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45351</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45351</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45351</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45351</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45351</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45351</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45351</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45351</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45351</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45351</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45351</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45351</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45351</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45351</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45351</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45351</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45351</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45351</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45351</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45351</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45351</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45351</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45351</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45351</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45351</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45351</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45351</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45351</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45351</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45351</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45351</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45351</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45351</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45351</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45351</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45351</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45351</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45351</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45351</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45351</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45351</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45351</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45351</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45351</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45351</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45351</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45351</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45351</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45351</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45351</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45351</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45351</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45351</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45351</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45351</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45351</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45351</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45351</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45351</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45351</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45351</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45351</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45351</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45351</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45351</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45351</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45351</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45351</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45351</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45351</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45351</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45351</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45351</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45351</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45351</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45351</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45351</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45351</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45351</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45351</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45351</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45351</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45351</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45351</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45351</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45351</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45351</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45351</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45351</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45351</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45351</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45351</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45351</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45351</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45351</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45351</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45351</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45351</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45351</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45351</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45351</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45351</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45351</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45351</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45351</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45351</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45351</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45351</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45351</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45351</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45351</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45351</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45351</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45351</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45351</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45351</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45351</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45351</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45351</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45351</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45351</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45351</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45351</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45351</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45351</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45351</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45351</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45351</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45351</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45351</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45351</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45351</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45351</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45351</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45351</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45351</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45351</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45351</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45351</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45351</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45351</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45351</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45351</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45351</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45351</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45351</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45351</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45351</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45351</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45351</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45351</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45351</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45351</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45351</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45351</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45351</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45351</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45351</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45351</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45351</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45351</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45351</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45351</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45351</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45351</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45351</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45351</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45351</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45351</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45351</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45351</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45351</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45351</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45351</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45351</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45351</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45351</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45351</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45351</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45351</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45351</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45351</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45351</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45351</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45351</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45351</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45351</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45351</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45351</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45351</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45351</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45351</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45351</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45351</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45351</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45351</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45351</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45351</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45351</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45351</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45351</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45351</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45351</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45351</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45351</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45351</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45351</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45351</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45351</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45351</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45351</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45351</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45351</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45351</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45351</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45351</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45351</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45351</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45351</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45351</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45351</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45351</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45351</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45351</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45351</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45351</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45351</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45351</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45351</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45351</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45351</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45351</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45351</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45351</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45351</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45351</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45351</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45351</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45351</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45351</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45351</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45351</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45351</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45351</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45351</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45351</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45351</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45351</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45351</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45351</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45351</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45351</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45351</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45351</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45351</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45351</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45351</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45351</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45351</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45351</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45351</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45351</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45351</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45351</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45351</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45351</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45351</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45351</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45351</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45351</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45351</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45351</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45351</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45351</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45351</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45351</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45351</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45351</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45351</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45351</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45351</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45351</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45351</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45351</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45351</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45351</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45351</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45351</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45351</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45351</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45351</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45351</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45351</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45351</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45351</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45351</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45351</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45351</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45351</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45351</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45351</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45351</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45351</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45351</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45351</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45351</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45351</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45351</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45351</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45351</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45351</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45351</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45351</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45351</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45351</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45351</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45351</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45351</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45351</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45351</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45351</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45351</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45351</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45351</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45351</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45351</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45351</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45351</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45351</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45351</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45351</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45351</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45351</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45351</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45351</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45351</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45351</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45351</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45351</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45351</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45351</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45351</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45351</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45351</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45351</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45351</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45351</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45351</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45351</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45351</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45351</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45351</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45351</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45351</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45351</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45351</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45351</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45351</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45351</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45351</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45351</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45351</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45351</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45351</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45351</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45351</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45351</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45351</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45351</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45351</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45351</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45351</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45351</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45351</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45351</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45351</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45351</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45351</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45351</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45351</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45351</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45351</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45351</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45351</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45351</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45351</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45351</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45351</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45351</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45351</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45351</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45351</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45351</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45351</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45351</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45351</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45351</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45351</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45351</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45351</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45351</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45351</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45351</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45351</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45351</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45351</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45351</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45351</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45351</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45351</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45351</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45351</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45351</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45351</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45351</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45351</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45351</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45351</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45351</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45351</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45351</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45351</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45351</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45351</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45351</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45351</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45351</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45351</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45351</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45351</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45351</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45351</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45351</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45351</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45351</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45351</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45351</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45351</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45351</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45351</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45351</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45351</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45351</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45351</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45351</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45351</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45351</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45351</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45351</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45351</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45351</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45351</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45351</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45351</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45351</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45351</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45351</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45351</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45351</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45351</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45351</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45351</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45351</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45351</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45351</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45351</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45351</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45351</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45351</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45351</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45351</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45351</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45351</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45351</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45351</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45351</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45351</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45351</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45351</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45351</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45351</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45351</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45351</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45351</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45351</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45351</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45351</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45351</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45351</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45351</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45351</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45351</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45351</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45351</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45351</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45351</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45351</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45351</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45351</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45351</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45351</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45351</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45351</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45351</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45351</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45351</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45351</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45351</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45351</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45351</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45351</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45351</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45351</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45351</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45351</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45351</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45351</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45351</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45351</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45351</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45351</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45351</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45351</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45351</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45351</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45351</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45351</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45351</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45351</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45351</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45351</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45351</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45351</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45351</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45351</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45351</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45351</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45351</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45351</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45351</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45351</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45351</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45351</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45351</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45351</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45351</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45351</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45351</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45351</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45351</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45351</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45351</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45351</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45351</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45351</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45351</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45351</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45351</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45351</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45351</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45351</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45351</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45351</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45351</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45351</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45351</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45351</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45351</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45351</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45351</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45351</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45351</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45351</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45351</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45351</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45351</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45351</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45351</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45351</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45351</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45351</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45351</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45351</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45351</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45351</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45351</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45351</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45351</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45351</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45351</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45351</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45351</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45351</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45351</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45351</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45351</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45351</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45351</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45351</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45351</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45351</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45351</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45351</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45351</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45351</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45351</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45351</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45351</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45351</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45351</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45351</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45351</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45351</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45351</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45351</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45351</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45351</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45351</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45351</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45351</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45351</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45351</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45351</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45351</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45351</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45351</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45351</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45351</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45351</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45351</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45351</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45351</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45351</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45351</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45351</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45351</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45351</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45351</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45351</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45351</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45351</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45351</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45351</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45351</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45351</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45351</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45351</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45351</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45351</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45351</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45351</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45351</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45351</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45351</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45351</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45351</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45351</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45351</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45351</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45351</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45351</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45351</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45351</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45351</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45351</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45351</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45351</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45351</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45351</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45351</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45351</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45351</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45351</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45351</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45351</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45351</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45351</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45351</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45351</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45351</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45351</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45351</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45351</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45351</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45351</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45351</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45351</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45351</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45351</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45351</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45351</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45351</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45351</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45351</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45351</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45351</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45351</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45351</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45351</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45351</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45351</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45351</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45351</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45351</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45351</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45351</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45351</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45351</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45351</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45351</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45351</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45351</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45351</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45351</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45351</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45351</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45351</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45351</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45351</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45351</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45351</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45351</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45351</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45351</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45351</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45351</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45351</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45351</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45351</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45351</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45351</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45351</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45351</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45351</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45351</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45351</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45351</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45351</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45351</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45351</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45351</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45351</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45351</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45351</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45351</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45351</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45351</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45351</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45351</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45351</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45351</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45351</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45351</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45351</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45351</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45351</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45351</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45351</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45351</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45351</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45351</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45351</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45351</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45351</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45351</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45351</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45351</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45351</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45351</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45351</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45351</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45351</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45351</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45351</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45351</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45351</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45351</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45351</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45351</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45351</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45351</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45351</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45351</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45351</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45351</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45351</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45351</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45351</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45351</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45351</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45351</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45351</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45351</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45351</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45351</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45351</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45351</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45351</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45351</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45351</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45351</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45351</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45351</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45351</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45351</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45351</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45351</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45351</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45351</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45351</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45351</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45351</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45351</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45351</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45351</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45351</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45351</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45351</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45351</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45351</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45351</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45351</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45351</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45351</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45351</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45351</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45351</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45351</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45351</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45351</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45351</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45351</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45351</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45351</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45351</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45351</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45351</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45351</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45351</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45351</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45351</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45351</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45351</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45351</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45351</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45351</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45351</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45351</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45351</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45351</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45351</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45351</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45351</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45351</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45351</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45351</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45351</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45351</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45351</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45351</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45351</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45351</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45351</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45351</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45351</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45351</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45351</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45351</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45351</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45351</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45351</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45351</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45351</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45351</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45351</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45351</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45351</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45351</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45351</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45351</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45351</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45351</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45351</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45351</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45351</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45351</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45351</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45351</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45351</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45351</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45351</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45351</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45351</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45351</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45351</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45351</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45351</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45351</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45351</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45351</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45351</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45351</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45351</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45351</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45351</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45351</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45351</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45351</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45351</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45351</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45351</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45351</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45351</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45351</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45351</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45351</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45351</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45351</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45351</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45351</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45351</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45351</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45351</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45351</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45351</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45351</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45351</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45351</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45351</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45351</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45351</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45351</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45351</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45351</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45351</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45351</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45351</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45351</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45351</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45351</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45351</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45351</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45351</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45351</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45351</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45351</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45351</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45351</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45351</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45351</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45351</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45351</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45351</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45351</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45351</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45351</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45351</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45351</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45351</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45351</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45351</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45351</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45351</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45351</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45351</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45351</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45351</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45351</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45351</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45351</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45351</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45351</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45351</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45351</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45351</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45351</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45351</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45351</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45351</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45351</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45351</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45351</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45351</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45351</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45351</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45351</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45351</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45351</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45351</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45351</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45351</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45351</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45351</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45351</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45351</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45351</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45351</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45351</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45351</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45351</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45351</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45351</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45351</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45351</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45351</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45351</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45351</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45351</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45351</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45351</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45351</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45351</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45351</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45351</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45351</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45351</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45351</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45351</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45351</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45351</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45351</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45351</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45351</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45351</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45351</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45351</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45351</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45351</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45351</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45351</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45351</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45351</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45351</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45351</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45351</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45351</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45351</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45351</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45351</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45351</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45351</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45351</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45351</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45351</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45351</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45351</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45351</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45351</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45351</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45351</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45351</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45351</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45351</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45351</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45351</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45351</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45351</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45351</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45351</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45351</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45351</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45351</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45351</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45351</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45351</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45351</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45351</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45351</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45351</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45351</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45351</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45351</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45351</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45351</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45351</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45351</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45351</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45351</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45351</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45351</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45351</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45351</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45351</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45351</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45351</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45351</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45351</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45351</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45351</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45351</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45351</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45351</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45351</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45351</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45351</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45351</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45351</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45351</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45351</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45351</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45351</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45351</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45351</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45351</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45351</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45351</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45351</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45351</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45351</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45351</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45351</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45351</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45351</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45351</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45351</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45351</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45351</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45351</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45351</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45351</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45351</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45351</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45351</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45351</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45351</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45351</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45351</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45351</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45351</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45351</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45351</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45351</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45351</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45351</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45351</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45351</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45351</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45351</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45351</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45351</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45351</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45351</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45351</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45351</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45351</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45351</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45351</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45351</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45351</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45351</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45351</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45351</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45351</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45351</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45351</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45351</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45351</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45351</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45351</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45351</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45351</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45351</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45351</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45351</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45351</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45351</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45351</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45351</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45351</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45351</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45351</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45351</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45351</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45351</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45351</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45351</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45351</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45351</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45351</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45351</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45351</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45351</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45351</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45351</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45351</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45351</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45351</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45351</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45351</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45351</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45351</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45351</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45351</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45351</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45351</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45351</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45351</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45351</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45351</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45351</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45351</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45351</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45351</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45351</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45351</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45351</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45351</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45351</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45351</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45351</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45351</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45351</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45351</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45351</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45351</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45351</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45351</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45351</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45351</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45351</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45351</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45351</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45351</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45351</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45351</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45351</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45351</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45351</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45351</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45351</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45351</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45351</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45351</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45351</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45351</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45351</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45351</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45351</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45351</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45351</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45351</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45351</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45351</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45351</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45351</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45351</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45351</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45351</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45351</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45351</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45351</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45351</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45351</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45351</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45351</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45351</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45351</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45351</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45351</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45351</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45351</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45351</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45351</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45351</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45351</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45351</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45351</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45351</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45351</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45351</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45351</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45351</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45351</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45351</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45351</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45351</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45351</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45351</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45351</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45351</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45351</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45351</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45351</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45351</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45351</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45351</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45351</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45351</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45351</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45351</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45351</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45351</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45351</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45351</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45351</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45351</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45351</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45351</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45351</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45351</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45351</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45351</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45351</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45351</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45351</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45351</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45351</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45351</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45351</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45351</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45351</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45351</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45351</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45351</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45351</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45351</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45351</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45351</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45351</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45351</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45351</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45351</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45351</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45351</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45351</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45351</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45351</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45351</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45351</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45351</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45351</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45351</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45351</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45351</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45351</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45351</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45351</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45351</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45351</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45351</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45351</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45351</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45351</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45351</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45351</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45351</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45351</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45351</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45351</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45351</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45351</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45351</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45351</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45351</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45351</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45351</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45351</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45351</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45351</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45351</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45351</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45351</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45351</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45351</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45351</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45351</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45351</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45351</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45351</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45351</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45351</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45351</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45351</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45351</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45351</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45351</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45351</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45351</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45351</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45351</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45351</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45351</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45351</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45351</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45351</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45351</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45351</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45351</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45351</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45351</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45351</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45351</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45351</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45351</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45351</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45351</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45351</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45351</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45351</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45351</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45351</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45351</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45351</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45351</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45351</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45351</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45351</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45351</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45351</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45351</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45351</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45351</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45351</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45351</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45351</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45351</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45351</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45351</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45351</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45351</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45351</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45351</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45351</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45351</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45351</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45351</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45351</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45351</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45351</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45351</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45351</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45351</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45351</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45351</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45351</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45351</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45351</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45351</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45351</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45351</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45351</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45351</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45351</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45351</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45351</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45351</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45351</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45351</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45351</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45351</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45351</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45351</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45351</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45351</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45351</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45351</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45351</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45351</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45351</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45351</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45351</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45351</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45351</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45351</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45351</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45351</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45351</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45351</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45351</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45351</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45351</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45351</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45351</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45351</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45351</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45351</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45351</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45351</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45351</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45351</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45351</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45351</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45351</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45351</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45351</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45351</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45351</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45351</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45351</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45351</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45351</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45351</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45351</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45351</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45351</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45351</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45351</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45351</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45351</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45351</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45351</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45351</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45351</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45351</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45351</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45351</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45351</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45351</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45351</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45351</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45351</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45351</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45351</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45351</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45351</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45351</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45351</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45351</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45351</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45351</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45351</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45351</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45351</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45351</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45351</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45351</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45351</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45351</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45351</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45351</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45351</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45351</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45351</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45351</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45351</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45351</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45351</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45351</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45351</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45351</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45351</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45351</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45351</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45351</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45351</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45351</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45351</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45351</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45351</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45351</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45351</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45351</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45351</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45351</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45351</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45351</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45351</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45351</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45351</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45351</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45351</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45351</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45351</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45351</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45351</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45351</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45351</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45351</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45351</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45351</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45351</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45351</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45351</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45351</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45351</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45351</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45351</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45351</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45351</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45351</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45351</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45351</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45351</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45351</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45351</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45351</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45351</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45351</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45351</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45351</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45351</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45351</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45351</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45351</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45351</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45351</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45351</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45351</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45351</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45351</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45351</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45351</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45351</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45351</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45351</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45351</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45351</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45351</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45351</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45351</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45351</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45351</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45351</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45351</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45351</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45351</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45351</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45351</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45351</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45351</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45351</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45351</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45351</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45351</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45351</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45351</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45351</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45351</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45351</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45351</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45351</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45351</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45351</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45351</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45351</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45351</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45351</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45351</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45351</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45351</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45351</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45351</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45351</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45351</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45351</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45351</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45351</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45351</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45351</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45351</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45351</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45351</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45351</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45351</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45351</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45351</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45351</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45351</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45351</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45351</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45351</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45351</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45351</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45351</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45351</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45351</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45351</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45351</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45351</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45351</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45351</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45351</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45351</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45351</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45351</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45351</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45351</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45351</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45351</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45351</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45351</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45351</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45351</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45351</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45351</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45351</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45351</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45351</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45351</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45351</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45351</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45351</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45351</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45351</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45351</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45351</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45351</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45351</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45351</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45351</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45351</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45351</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45351</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45351</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45351</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45351</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45351</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45351</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45351</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45351</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45351</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45351</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45351</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45351</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45351</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45351</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45351</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45351</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45351</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45351</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45351</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45351</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45351</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45351</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45351</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45351</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45351</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45351</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45351</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45351</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45351</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45351</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45351</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45351</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45351</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45351</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45351</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45351</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45351</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45351</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45351</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45351</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45351</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45351</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45351</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45351</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45351</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45351</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45351</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45351</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45351</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45351</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45351</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45351</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45351</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45351</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45351</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45351</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45351</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45351</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45351</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45351</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45351</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45351</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45351</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45351</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45351</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45351</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45351</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45351</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45351</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45351</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45351</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45351</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45351</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45351</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45351</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45351</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45351</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45351</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45351</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45351</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45351</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45351</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45351</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45351</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45351</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45351</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45351</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45351</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45351</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45351</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45351</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45351</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45351</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45351</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45351</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45351</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45351</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45351</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45351</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45351</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45351</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45351</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45351</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45351</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45351</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45351</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45351</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45351</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45351</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45351</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45351</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45351</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45351</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45351</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45351</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45351</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45351</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45351</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45351</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45351</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45351</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45351</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45351</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45351</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45351</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45351</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45351</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45351</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45351</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45351</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45351</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45351</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45351</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45351</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45351</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45351</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45351</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45351</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45351</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45351</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45351</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45351</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45351</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45351</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45351</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45351</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45351</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45351</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45351</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45351</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45351</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45351</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45351</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45351</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45351</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45351</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45351</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45351</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45351</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45351</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45351</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45351</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45351</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45351</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45351</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45351</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45351</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45351</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45351</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45351</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45351</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45351</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45351</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45351</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45351</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45351</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45351</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45351</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45351</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45351</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45351</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45351</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45351</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45351</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45351</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45351</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45351</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45351</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45351</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45351</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45351</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45351</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45351</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45351</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45351</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45351</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45351</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45351</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45351</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45351</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45351</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45351</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45351</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45351</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45351</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45351</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45351</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45351</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45351</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45351</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45351</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45351</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45351</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45351</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45351</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45351</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45351</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45351</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45351</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45351</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45351</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45351</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45351</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45351</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45351</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45351</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45351</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45351</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45351</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45351</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45351</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45351</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45351</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45351</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45351</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45351</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45351</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45351</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45351</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45351</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45351</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45351</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45351</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45351</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45351</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45351</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45351</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45351</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45351</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45351</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45351</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45351</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45351</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45351</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45351</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45351</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45351</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45351</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45351</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45351</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45351</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45351</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45351</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45351</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45351</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45351</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45351</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45351</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45351</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45351</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45351</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45351</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45351</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45351</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45351</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45351</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45351</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45351</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45351</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45351</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45351</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45351</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45351</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45351</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45351</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45351</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45351</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45351</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45351</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45351</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45351</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45351</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45351</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45351</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45351</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45351</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45351</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45351</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45351</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45351</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45351</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45351</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45351</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45351</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45351</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45351</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45351</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45351</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45351</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45351</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45351</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45351</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45351</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45351</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45351</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45351</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45351</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45351</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45351</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45351</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45351</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45351</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45351</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45351</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45351</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45351</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45351</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45351</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45351</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45351</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45351</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45351</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45351</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45351</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45351</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45351</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45351</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45351</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45351</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45351</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45351</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45351</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45351</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45351</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45351</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45351</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45351</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45351</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45351</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45351</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45351</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45351</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45351</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45351</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45351</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45351</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45351</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45351</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45351</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45351</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45351</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45351</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45351</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45351</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45351</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45351</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45351</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45351</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45351</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45351</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45351</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45351</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45351</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45351</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45351</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45351</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45351</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45351</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45351</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45351</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45351</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45351</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45351</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45351</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45351</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45351</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45351</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45351</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45351</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45351</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45351</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45351</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45351</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45351</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45351</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45351</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45351</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45351</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45351</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45351</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45351</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45351</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45351</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45351</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45351</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45351</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45351</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45351</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45351</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45351</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45351</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45351</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45351</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45351</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45351</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45351</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45351</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45351</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45351</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45351</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45351</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45351</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45351</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45351</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45351</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45351</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45351</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45351</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45351</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45351</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45351</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45351</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45351</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45351</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45351</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45351</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45351</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45351</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45351</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45351</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45351</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45351</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45351</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45351</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45351</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45351</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45351</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45351</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45351</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45351</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45351</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45351</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45351</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45351</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45351</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45351</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45351</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45351</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45351</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45351</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45351</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45351</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45351</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45351</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45351</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45351</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45351</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45351</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45351</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45351</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45351</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45351</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45351</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45351</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45351</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45351</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45351</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45351</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45351</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45351</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45351</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45351</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45351</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45351</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45351</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45351</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45351</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45351</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45351</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45351</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45351</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45351</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45351</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45351</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45351</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45351</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45351</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45351</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45351</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45351</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45351</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45351</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45351</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45351</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45351</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45351</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45351</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45351</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45351</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45351</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45351</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45351</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45351</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45351</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45351</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45351</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45351</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45351</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45351</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45351</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45351</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45351</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45351</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45351</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45351</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45351</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45351</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45351</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45351</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45351</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45351</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45351</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45351</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45351</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45351</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45351</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45351</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45351</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45351</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45351</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45351</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45351</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45351</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45351</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45351</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45351</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45351</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45351</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45351</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45351</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45351</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45351</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45351</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45351</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45351</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45351</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45351</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45351</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45351</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45351</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45351</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45351</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45351</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45351</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45351</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45351</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45351</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45351</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45351</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45351</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45351</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45351</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45351</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45351</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45351</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45351</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45351</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45351</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45351</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45351</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45351</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45351</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45351</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45351</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45351</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45351</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45351</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45351</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45351</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45351</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45351</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45351</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45351</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45351</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45351</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45351</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45351</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45351</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45351</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45351</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45351</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45351</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45351</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45351</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45351</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45351</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45351</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45351</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45351</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45351</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45351</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45351</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45351</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45351</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45351</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45351</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45351</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45351</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45351</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45351</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45351</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45351</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45351</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45351</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45351</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45351</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45351</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45351</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45351</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45351</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45351</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45351</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45351</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45351</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45351</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45351</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45351</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45351</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45351</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45351</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45351</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45351</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45351</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45351</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45351</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45351</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45351</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45351</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45351</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45351</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45351</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45351</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45351</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45351</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45351</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45351</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45351</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45351</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45351</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45351</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45351</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45351</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45351</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45351</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45351</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45351</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45351</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45351</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45351</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45351</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45351</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45351</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45351</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45351</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45351</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45351</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45351</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45351</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45351</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45351</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45351</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45351</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45351</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45351</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45351</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45351</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45351</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45351</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45351</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45351</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45351</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45351</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45351</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45351</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45351</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45351</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45351</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45351</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45351</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45351</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45351</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45351</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45351</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45351</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45351</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45351</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45351</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45351</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45351</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45351</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45351</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45351</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45351</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45351</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45351</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45351</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45351</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45351</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45351</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45351</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45351</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45351</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45351</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45351</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45351</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45351</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45351</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45351</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45351</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45351</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45351</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45351</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45351</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45351</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45351</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45351</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45351</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45351</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45351</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45351</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45351</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45351</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45351</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45351</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45351</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45351</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45351</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45351</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45351</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45351</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45351</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45351</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45351</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45351</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45351</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45351</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45351</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45351</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45351</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45351</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45351</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45351</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45351</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45351</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45351</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45351</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45351</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45351</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45351</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45351</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45351</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45351</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45351</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45351</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45351</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45351</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45351</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45351</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45351</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45351</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45351</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45351</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45351</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45351</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45351</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45351</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45351</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45351</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45351</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45351</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45351</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45351</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45351</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45351</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45351</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45351</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45351</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45351</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45351</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45351</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45351</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45351</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45351</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45351</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45351</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45351</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45351</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45351</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45351</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45351</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45351</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45351</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45351</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45351</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45351</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45351</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45351</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45351</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45351</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45351</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45351</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45351</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45351</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45351</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45351</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45351</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45351</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45351</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45351</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45351</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45351</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45351</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45351</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45351</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45351</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45351</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45351</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45351</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45351</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45351</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45351</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45351</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45351</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45351</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45351</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45351</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45351</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45351</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45351</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45351</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45351</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45351</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45351</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45351</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45351</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45351</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45351</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45351</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45351</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45351</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45351</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45351</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45351</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45351</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45351</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45351</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45351</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45351</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45351</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45351</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45351</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45351</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45351</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45351</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45351</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45351</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45351</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45351</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45351</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45351</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45351</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45351</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45351</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45351</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45351</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45351</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45351</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45351</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45351</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45351</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45351</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45351</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45351</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45351</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45351</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45351</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45351</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45351</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45351</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45351</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45351</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45351</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45351</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45351</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45351</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45351</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45351</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45351</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45351</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45351</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45351</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45351</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45351</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45351</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45351</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45351</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45351</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45351</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45351</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45351</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45351</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45351</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45351</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45351</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45351</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45351</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45351</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45351</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45351</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45351</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45351</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45351</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45351</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45351</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45351</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45351</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45351</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45351</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45351</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45351</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45351</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45351</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45351</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45351</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45351</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45351</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45351</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45351</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45351</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45351</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45351</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45351</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45351</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45351</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45351</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45351</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45351</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45351</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45351</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45351</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45351</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45351</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45351</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45351</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45351</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45351</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45351</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45351</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45351</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45351</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45351</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45351</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45351</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45351</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45351</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45351</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45351</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45351</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45351</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45351</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45351</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45351</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45351</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45351</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45351</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45351</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45351</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45351</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45351</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45351</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45351</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45351</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45351</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45351</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45351</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45351</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45351</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45351</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45351</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45351</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45351</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45351</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45351</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45351</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45351</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45351</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45351</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45351</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45351</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45351</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45351</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45351</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45351</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45351</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45351</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45351</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45351</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45351</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45351</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45351</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45351</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45351</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45351</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45351</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45351</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45351</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45351</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45351</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45351</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45351</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45351</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45351</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45351</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45351</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45351</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45351</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45351</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45351</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45351</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45351</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45351</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45351</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45351</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45351</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45351</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45351</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45351</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45351</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45351</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45351</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45351</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45351</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45351</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45351</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45351</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45351</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45351</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45351</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45351</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3355-2024</t>
        </is>
      </c>
      <c r="B5228" s="1" t="n">
        <v>45317</v>
      </c>
      <c r="C5228" s="1" t="n">
        <v>45351</v>
      </c>
      <c r="D5228" t="inlineStr">
        <is>
          <t>UPPSALA LÄN</t>
        </is>
      </c>
      <c r="E5228" t="inlineStr">
        <is>
          <t>HEBY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3371-2024</t>
        </is>
      </c>
      <c r="B5229" s="1" t="n">
        <v>45317</v>
      </c>
      <c r="C5229" s="1" t="n">
        <v>45351</v>
      </c>
      <c r="D5229" t="inlineStr">
        <is>
          <t>UPPSALA LÄN</t>
        </is>
      </c>
      <c r="E5229" t="inlineStr">
        <is>
          <t>HEBY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45351</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3376-2024</t>
        </is>
      </c>
      <c r="B5231" s="1" t="n">
        <v>45317</v>
      </c>
      <c r="C5231" s="1" t="n">
        <v>45351</v>
      </c>
      <c r="D5231" t="inlineStr">
        <is>
          <t>UPPSALA LÄN</t>
        </is>
      </c>
      <c r="E5231" t="inlineStr">
        <is>
          <t>HEBY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3261-2024</t>
        </is>
      </c>
      <c r="B5232" s="1" t="n">
        <v>45317</v>
      </c>
      <c r="C5232" s="1" t="n">
        <v>45351</v>
      </c>
      <c r="D5232" t="inlineStr">
        <is>
          <t>UPPSALA LÄN</t>
        </is>
      </c>
      <c r="E5232" t="inlineStr">
        <is>
          <t>UPPSALA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3260-2024</t>
        </is>
      </c>
      <c r="B5233" s="1" t="n">
        <v>45317</v>
      </c>
      <c r="C5233" s="1" t="n">
        <v>45351</v>
      </c>
      <c r="D5233" t="inlineStr">
        <is>
          <t>UPPSALA LÄN</t>
        </is>
      </c>
      <c r="E5233" t="inlineStr">
        <is>
          <t>UPPSALA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45351</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3503-2024</t>
        </is>
      </c>
      <c r="B5235" s="1" t="n">
        <v>45320</v>
      </c>
      <c r="C5235" s="1" t="n">
        <v>45351</v>
      </c>
      <c r="D5235" t="inlineStr">
        <is>
          <t>UPPSALA LÄN</t>
        </is>
      </c>
      <c r="E5235" t="inlineStr">
        <is>
          <t>TIERP</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3468-2024</t>
        </is>
      </c>
      <c r="B5236" s="1" t="n">
        <v>45320</v>
      </c>
      <c r="C5236" s="1" t="n">
        <v>45351</v>
      </c>
      <c r="D5236" t="inlineStr">
        <is>
          <t>UPPSALA LÄN</t>
        </is>
      </c>
      <c r="E5236" t="inlineStr">
        <is>
          <t>HEBY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3771-2024</t>
        </is>
      </c>
      <c r="B5237" s="1" t="n">
        <v>45321</v>
      </c>
      <c r="C5237" s="1" t="n">
        <v>45351</v>
      </c>
      <c r="D5237" t="inlineStr">
        <is>
          <t>UPPSALA LÄN</t>
        </is>
      </c>
      <c r="E5237" t="inlineStr">
        <is>
          <t>HEBY</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3779-2024</t>
        </is>
      </c>
      <c r="B5238" s="1" t="n">
        <v>45321</v>
      </c>
      <c r="C5238" s="1" t="n">
        <v>45351</v>
      </c>
      <c r="D5238" t="inlineStr">
        <is>
          <t>UPPSALA LÄN</t>
        </is>
      </c>
      <c r="E5238" t="inlineStr">
        <is>
          <t>HEBY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3813-2024</t>
        </is>
      </c>
      <c r="B5239" s="1" t="n">
        <v>45321</v>
      </c>
      <c r="C5239" s="1" t="n">
        <v>45351</v>
      </c>
      <c r="D5239" t="inlineStr">
        <is>
          <t>UPPSALA LÄN</t>
        </is>
      </c>
      <c r="E5239" t="inlineStr">
        <is>
          <t>UPPSALA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45351</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4040-2024</t>
        </is>
      </c>
      <c r="B5241" s="1" t="n">
        <v>45323</v>
      </c>
      <c r="C5241" s="1" t="n">
        <v>45351</v>
      </c>
      <c r="D5241" t="inlineStr">
        <is>
          <t>UPPSALA LÄN</t>
        </is>
      </c>
      <c r="E5241" t="inlineStr">
        <is>
          <t>HEBY</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4044-2024</t>
        </is>
      </c>
      <c r="B5242" s="1" t="n">
        <v>45323</v>
      </c>
      <c r="C5242" s="1" t="n">
        <v>45351</v>
      </c>
      <c r="D5242" t="inlineStr">
        <is>
          <t>UPPSALA LÄN</t>
        </is>
      </c>
      <c r="E5242" t="inlineStr">
        <is>
          <t>ENKÖPING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4065-2024</t>
        </is>
      </c>
      <c r="B5243" s="1" t="n">
        <v>45323</v>
      </c>
      <c r="C5243" s="1" t="n">
        <v>45351</v>
      </c>
      <c r="D5243" t="inlineStr">
        <is>
          <t>UPPSALA LÄN</t>
        </is>
      </c>
      <c r="E5243" t="inlineStr">
        <is>
          <t>UPPSALA</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45351</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4503-2024</t>
        </is>
      </c>
      <c r="B5245" s="1" t="n">
        <v>45327</v>
      </c>
      <c r="C5245" s="1" t="n">
        <v>45351</v>
      </c>
      <c r="D5245" t="inlineStr">
        <is>
          <t>UPPSALA LÄN</t>
        </is>
      </c>
      <c r="E5245" t="inlineStr">
        <is>
          <t>UPPSALA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4412-2024</t>
        </is>
      </c>
      <c r="B5246" s="1" t="n">
        <v>45327</v>
      </c>
      <c r="C5246" s="1" t="n">
        <v>45351</v>
      </c>
      <c r="D5246" t="inlineStr">
        <is>
          <t>UPPSALA LÄN</t>
        </is>
      </c>
      <c r="E5246" t="inlineStr">
        <is>
          <t>UPPSALA</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4425-2024</t>
        </is>
      </c>
      <c r="B5247" s="1" t="n">
        <v>45327</v>
      </c>
      <c r="C5247" s="1" t="n">
        <v>45351</v>
      </c>
      <c r="D5247" t="inlineStr">
        <is>
          <t>UPPSALA LÄN</t>
        </is>
      </c>
      <c r="E5247" t="inlineStr">
        <is>
          <t>UPPSALA</t>
        </is>
      </c>
      <c r="F5247" t="inlineStr">
        <is>
          <t>Allmännings- och besparingsskogar</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4461-2024</t>
        </is>
      </c>
      <c r="B5248" s="1" t="n">
        <v>45327</v>
      </c>
      <c r="C5248" s="1" t="n">
        <v>45351</v>
      </c>
      <c r="D5248" t="inlineStr">
        <is>
          <t>UPPSALA LÄN</t>
        </is>
      </c>
      <c r="E5248" t="inlineStr">
        <is>
          <t>UPPSALA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4524-2024</t>
        </is>
      </c>
      <c r="B5249" s="1" t="n">
        <v>45327</v>
      </c>
      <c r="C5249" s="1" t="n">
        <v>45351</v>
      </c>
      <c r="D5249" t="inlineStr">
        <is>
          <t>UPPSALA LÄN</t>
        </is>
      </c>
      <c r="E5249" t="inlineStr">
        <is>
          <t>HÅBO</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4509-2024</t>
        </is>
      </c>
      <c r="B5250" s="1" t="n">
        <v>45327</v>
      </c>
      <c r="C5250" s="1" t="n">
        <v>45351</v>
      </c>
      <c r="D5250" t="inlineStr">
        <is>
          <t>UPPSALA LÄN</t>
        </is>
      </c>
      <c r="E5250" t="inlineStr">
        <is>
          <t>UPPSALA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4521-2024</t>
        </is>
      </c>
      <c r="B5251" s="1" t="n">
        <v>45327</v>
      </c>
      <c r="C5251" s="1" t="n">
        <v>45351</v>
      </c>
      <c r="D5251" t="inlineStr">
        <is>
          <t>UPPSALA LÄN</t>
        </is>
      </c>
      <c r="E5251" t="inlineStr">
        <is>
          <t>HÅBO</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45351</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4980-2024</t>
        </is>
      </c>
      <c r="B5253" s="1" t="n">
        <v>45329</v>
      </c>
      <c r="C5253" s="1" t="n">
        <v>45351</v>
      </c>
      <c r="D5253" t="inlineStr">
        <is>
          <t>UPPSALA LÄN</t>
        </is>
      </c>
      <c r="E5253" t="inlineStr">
        <is>
          <t>UPPSALA</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4984-2024</t>
        </is>
      </c>
      <c r="B5254" s="1" t="n">
        <v>45329</v>
      </c>
      <c r="C5254" s="1" t="n">
        <v>45351</v>
      </c>
      <c r="D5254" t="inlineStr">
        <is>
          <t>UPPSALA LÄN</t>
        </is>
      </c>
      <c r="E5254" t="inlineStr">
        <is>
          <t>ÖSTHAMMAR</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4893-2024</t>
        </is>
      </c>
      <c r="B5255" s="1" t="n">
        <v>45329</v>
      </c>
      <c r="C5255" s="1" t="n">
        <v>45351</v>
      </c>
      <c r="D5255" t="inlineStr">
        <is>
          <t>UPPSALA LÄN</t>
        </is>
      </c>
      <c r="E5255" t="inlineStr">
        <is>
          <t>HEBY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5042-2024</t>
        </is>
      </c>
      <c r="B5256" s="1" t="n">
        <v>45329</v>
      </c>
      <c r="C5256" s="1" t="n">
        <v>45351</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5149-2024</t>
        </is>
      </c>
      <c r="B5257" s="1" t="n">
        <v>45330</v>
      </c>
      <c r="C5257" s="1" t="n">
        <v>45351</v>
      </c>
      <c r="D5257" t="inlineStr">
        <is>
          <t>UPPSALA LÄN</t>
        </is>
      </c>
      <c r="E5257" t="inlineStr">
        <is>
          <t>ÖSTHAMMAR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5211-2024</t>
        </is>
      </c>
      <c r="B5258" s="1" t="n">
        <v>45330</v>
      </c>
      <c r="C5258" s="1" t="n">
        <v>45351</v>
      </c>
      <c r="D5258" t="inlineStr">
        <is>
          <t>UPPSALA LÄN</t>
        </is>
      </c>
      <c r="E5258" t="inlineStr">
        <is>
          <t>ENKÖPING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5126-2024</t>
        </is>
      </c>
      <c r="B5259" s="1" t="n">
        <v>45330</v>
      </c>
      <c r="C5259" s="1" t="n">
        <v>45351</v>
      </c>
      <c r="D5259" t="inlineStr">
        <is>
          <t>UPPSALA LÄN</t>
        </is>
      </c>
      <c r="E5259" t="inlineStr">
        <is>
          <t>TIERP</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5161-2024</t>
        </is>
      </c>
      <c r="B5260" s="1" t="n">
        <v>45330</v>
      </c>
      <c r="C5260" s="1" t="n">
        <v>45351</v>
      </c>
      <c r="D5260" t="inlineStr">
        <is>
          <t>UPPSALA LÄN</t>
        </is>
      </c>
      <c r="E5260" t="inlineStr">
        <is>
          <t>ÖSTHAMMAR</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5185-2024</t>
        </is>
      </c>
      <c r="B5261" s="1" t="n">
        <v>45330</v>
      </c>
      <c r="C5261" s="1" t="n">
        <v>45351</v>
      </c>
      <c r="D5261" t="inlineStr">
        <is>
          <t>UPPSALA LÄN</t>
        </is>
      </c>
      <c r="E5261" t="inlineStr">
        <is>
          <t>UPPSALA</t>
        </is>
      </c>
      <c r="F5261" t="inlineStr">
        <is>
          <t>Övriga Aktiebolag</t>
        </is>
      </c>
      <c r="G5261" t="n">
        <v>13.1</v>
      </c>
      <c r="H5261" t="n">
        <v>0</v>
      </c>
      <c r="I5261" t="n">
        <v>0</v>
      </c>
      <c r="J5261" t="n">
        <v>0</v>
      </c>
      <c r="K5261" t="n">
        <v>0</v>
      </c>
      <c r="L5261" t="n">
        <v>0</v>
      </c>
      <c r="M5261" t="n">
        <v>0</v>
      </c>
      <c r="N5261" t="n">
        <v>0</v>
      </c>
      <c r="O5261" t="n">
        <v>0</v>
      </c>
      <c r="P5261" t="n">
        <v>0</v>
      </c>
      <c r="Q5261" t="n">
        <v>0</v>
      </c>
      <c r="R5261" s="2" t="inlineStr"/>
    </row>
    <row r="5262" ht="15" customHeight="1">
      <c r="A5262" t="inlineStr">
        <is>
          <t>A 5212-2024</t>
        </is>
      </c>
      <c r="B5262" s="1" t="n">
        <v>45330</v>
      </c>
      <c r="C5262" s="1" t="n">
        <v>45351</v>
      </c>
      <c r="D5262" t="inlineStr">
        <is>
          <t>UPPSALA LÄN</t>
        </is>
      </c>
      <c r="E5262" t="inlineStr">
        <is>
          <t>HEBY</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5216-2024</t>
        </is>
      </c>
      <c r="B5263" s="1" t="n">
        <v>45330</v>
      </c>
      <c r="C5263" s="1" t="n">
        <v>45351</v>
      </c>
      <c r="D5263" t="inlineStr">
        <is>
          <t>UPPSALA LÄN</t>
        </is>
      </c>
      <c r="E5263" t="inlineStr">
        <is>
          <t>ÖSTHAMMAR</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5198-2024</t>
        </is>
      </c>
      <c r="B5264" s="1" t="n">
        <v>45330</v>
      </c>
      <c r="C5264" s="1" t="n">
        <v>45351</v>
      </c>
      <c r="D5264" t="inlineStr">
        <is>
          <t>UPPSALA LÄN</t>
        </is>
      </c>
      <c r="E5264" t="inlineStr">
        <is>
          <t>ÖSTHAMMAR</t>
        </is>
      </c>
      <c r="F5264" t="inlineStr">
        <is>
          <t>Övriga Aktiebolag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5223-2024</t>
        </is>
      </c>
      <c r="B5265" s="1" t="n">
        <v>45330</v>
      </c>
      <c r="C5265" s="1" t="n">
        <v>45351</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5340-2024</t>
        </is>
      </c>
      <c r="B5266" s="1" t="n">
        <v>45331</v>
      </c>
      <c r="C5266" s="1" t="n">
        <v>45351</v>
      </c>
      <c r="D5266" t="inlineStr">
        <is>
          <t>UPPSALA LÄN</t>
        </is>
      </c>
      <c r="E5266" t="inlineStr">
        <is>
          <t>HEBY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5391-2024</t>
        </is>
      </c>
      <c r="B5267" s="1" t="n">
        <v>45331</v>
      </c>
      <c r="C5267" s="1" t="n">
        <v>45351</v>
      </c>
      <c r="D5267" t="inlineStr">
        <is>
          <t>UPPSALA LÄN</t>
        </is>
      </c>
      <c r="E5267" t="inlineStr">
        <is>
          <t>HEBY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5390-2024</t>
        </is>
      </c>
      <c r="B5268" s="1" t="n">
        <v>45331</v>
      </c>
      <c r="C5268" s="1" t="n">
        <v>45351</v>
      </c>
      <c r="D5268" t="inlineStr">
        <is>
          <t>UPPSALA LÄN</t>
        </is>
      </c>
      <c r="E5268" t="inlineStr">
        <is>
          <t>HEBY</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45351</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5521-2024</t>
        </is>
      </c>
      <c r="B5270" s="1" t="n">
        <v>45334</v>
      </c>
      <c r="C5270" s="1" t="n">
        <v>45351</v>
      </c>
      <c r="D5270" t="inlineStr">
        <is>
          <t>UPPSALA LÄN</t>
        </is>
      </c>
      <c r="E5270" t="inlineStr">
        <is>
          <t>ENKÖPING</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5539-2024</t>
        </is>
      </c>
      <c r="B5271" s="1" t="n">
        <v>45334</v>
      </c>
      <c r="C5271" s="1" t="n">
        <v>45351</v>
      </c>
      <c r="D5271" t="inlineStr">
        <is>
          <t>UPPSALA LÄN</t>
        </is>
      </c>
      <c r="E5271" t="inlineStr">
        <is>
          <t>HEBY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5537-2024</t>
        </is>
      </c>
      <c r="B5272" s="1" t="n">
        <v>45334</v>
      </c>
      <c r="C5272" s="1" t="n">
        <v>45351</v>
      </c>
      <c r="D5272" t="inlineStr">
        <is>
          <t>UPPSALA LÄN</t>
        </is>
      </c>
      <c r="E5272" t="inlineStr">
        <is>
          <t>HEBY</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5538-2024</t>
        </is>
      </c>
      <c r="B5273" s="1" t="n">
        <v>45334</v>
      </c>
      <c r="C5273" s="1" t="n">
        <v>45351</v>
      </c>
      <c r="D5273" t="inlineStr">
        <is>
          <t>UPPSALA LÄN</t>
        </is>
      </c>
      <c r="E5273" t="inlineStr">
        <is>
          <t>HEBY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5848-2024</t>
        </is>
      </c>
      <c r="B5274" s="1" t="n">
        <v>45335</v>
      </c>
      <c r="C5274" s="1" t="n">
        <v>45351</v>
      </c>
      <c r="D5274" t="inlineStr">
        <is>
          <t>UPPSALA LÄN</t>
        </is>
      </c>
      <c r="E5274" t="inlineStr">
        <is>
          <t>UPPSALA</t>
        </is>
      </c>
      <c r="F5274" t="inlineStr">
        <is>
          <t>Kyrkan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5860-2024</t>
        </is>
      </c>
      <c r="B5275" s="1" t="n">
        <v>45335</v>
      </c>
      <c r="C5275" s="1" t="n">
        <v>45351</v>
      </c>
      <c r="D5275" t="inlineStr">
        <is>
          <t>UPPSALA LÄN</t>
        </is>
      </c>
      <c r="E5275" t="inlineStr">
        <is>
          <t>ÖSTHAMMAR</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5876-2024</t>
        </is>
      </c>
      <c r="B5276" s="1" t="n">
        <v>45335</v>
      </c>
      <c r="C5276" s="1" t="n">
        <v>45351</v>
      </c>
      <c r="D5276" t="inlineStr">
        <is>
          <t>UPPSALA LÄN</t>
        </is>
      </c>
      <c r="E5276" t="inlineStr">
        <is>
          <t>UPPSALA</t>
        </is>
      </c>
      <c r="F5276" t="inlineStr">
        <is>
          <t>Kyrkan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5896-2024</t>
        </is>
      </c>
      <c r="B5277" s="1" t="n">
        <v>45335</v>
      </c>
      <c r="C5277" s="1" t="n">
        <v>45351</v>
      </c>
      <c r="D5277" t="inlineStr">
        <is>
          <t>UPPSALA LÄN</t>
        </is>
      </c>
      <c r="E5277" t="inlineStr">
        <is>
          <t>UPPSALA</t>
        </is>
      </c>
      <c r="F5277" t="inlineStr">
        <is>
          <t>Allmännings- och besparingsskogar</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5851-2024</t>
        </is>
      </c>
      <c r="B5278" s="1" t="n">
        <v>45335</v>
      </c>
      <c r="C5278" s="1" t="n">
        <v>45351</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5899-2024</t>
        </is>
      </c>
      <c r="B5279" s="1" t="n">
        <v>45335</v>
      </c>
      <c r="C5279" s="1" t="n">
        <v>45351</v>
      </c>
      <c r="D5279" t="inlineStr">
        <is>
          <t>UPPSALA LÄN</t>
        </is>
      </c>
      <c r="E5279" t="inlineStr">
        <is>
          <t>UPPSALA</t>
        </is>
      </c>
      <c r="F5279" t="inlineStr">
        <is>
          <t>Allmännings- och besparingsskogar</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5974-2024</t>
        </is>
      </c>
      <c r="B5280" s="1" t="n">
        <v>45336</v>
      </c>
      <c r="C5280" s="1" t="n">
        <v>45351</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5972-2024</t>
        </is>
      </c>
      <c r="B5281" s="1" t="n">
        <v>45336</v>
      </c>
      <c r="C5281" s="1" t="n">
        <v>45351</v>
      </c>
      <c r="D5281" t="inlineStr">
        <is>
          <t>UPPSALA LÄN</t>
        </is>
      </c>
      <c r="E5281" t="inlineStr">
        <is>
          <t>UPPSALA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5975-2024</t>
        </is>
      </c>
      <c r="B5282" s="1" t="n">
        <v>45336</v>
      </c>
      <c r="C5282" s="1" t="n">
        <v>45351</v>
      </c>
      <c r="D5282" t="inlineStr">
        <is>
          <t>UPPSALA LÄN</t>
        </is>
      </c>
      <c r="E5282" t="inlineStr">
        <is>
          <t>UPPSALA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6024-2024</t>
        </is>
      </c>
      <c r="B5283" s="1" t="n">
        <v>45336</v>
      </c>
      <c r="C5283" s="1" t="n">
        <v>45351</v>
      </c>
      <c r="D5283" t="inlineStr">
        <is>
          <t>UPPSALA LÄN</t>
        </is>
      </c>
      <c r="E5283" t="inlineStr">
        <is>
          <t>UPPSALA</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45351</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6121-2024</t>
        </is>
      </c>
      <c r="B5285" s="1" t="n">
        <v>45337</v>
      </c>
      <c r="C5285" s="1" t="n">
        <v>45351</v>
      </c>
      <c r="D5285" t="inlineStr">
        <is>
          <t>UPPSALA LÄN</t>
        </is>
      </c>
      <c r="E5285" t="inlineStr">
        <is>
          <t>ÖSTHAMMAR</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6098-2024</t>
        </is>
      </c>
      <c r="B5286" s="1" t="n">
        <v>45337</v>
      </c>
      <c r="C5286" s="1" t="n">
        <v>45351</v>
      </c>
      <c r="D5286" t="inlineStr">
        <is>
          <t>UPPSALA LÄN</t>
        </is>
      </c>
      <c r="E5286" t="inlineStr">
        <is>
          <t>UPPSALA</t>
        </is>
      </c>
      <c r="F5286" t="inlineStr">
        <is>
          <t>Övriga Aktiebolag</t>
        </is>
      </c>
      <c r="G5286" t="n">
        <v>10.6</v>
      </c>
      <c r="H5286" t="n">
        <v>0</v>
      </c>
      <c r="I5286" t="n">
        <v>0</v>
      </c>
      <c r="J5286" t="n">
        <v>0</v>
      </c>
      <c r="K5286" t="n">
        <v>0</v>
      </c>
      <c r="L5286" t="n">
        <v>0</v>
      </c>
      <c r="M5286" t="n">
        <v>0</v>
      </c>
      <c r="N5286" t="n">
        <v>0</v>
      </c>
      <c r="O5286" t="n">
        <v>0</v>
      </c>
      <c r="P5286" t="n">
        <v>0</v>
      </c>
      <c r="Q5286" t="n">
        <v>0</v>
      </c>
      <c r="R5286" s="2" t="inlineStr"/>
    </row>
    <row r="5287" ht="15" customHeight="1">
      <c r="A5287" t="inlineStr">
        <is>
          <t>A 6102-2024</t>
        </is>
      </c>
      <c r="B5287" s="1" t="n">
        <v>45337</v>
      </c>
      <c r="C5287" s="1" t="n">
        <v>45351</v>
      </c>
      <c r="D5287" t="inlineStr">
        <is>
          <t>UPPSALA LÄN</t>
        </is>
      </c>
      <c r="E5287" t="inlineStr">
        <is>
          <t>ÖSTHAMMAR</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6106-2024</t>
        </is>
      </c>
      <c r="B5288" s="1" t="n">
        <v>45337</v>
      </c>
      <c r="C5288" s="1" t="n">
        <v>45351</v>
      </c>
      <c r="D5288" t="inlineStr">
        <is>
          <t>UPPSALA LÄN</t>
        </is>
      </c>
      <c r="E5288" t="inlineStr">
        <is>
          <t>ÖSTHAMMAR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6144-2024</t>
        </is>
      </c>
      <c r="B5289" s="1" t="n">
        <v>45337</v>
      </c>
      <c r="C5289" s="1" t="n">
        <v>45351</v>
      </c>
      <c r="D5289" t="inlineStr">
        <is>
          <t>UPPSALA LÄN</t>
        </is>
      </c>
      <c r="E5289" t="inlineStr">
        <is>
          <t>ENKÖPING</t>
        </is>
      </c>
      <c r="G5289" t="n">
        <v>13.8</v>
      </c>
      <c r="H5289" t="n">
        <v>0</v>
      </c>
      <c r="I5289" t="n">
        <v>0</v>
      </c>
      <c r="J5289" t="n">
        <v>0</v>
      </c>
      <c r="K5289" t="n">
        <v>0</v>
      </c>
      <c r="L5289" t="n">
        <v>0</v>
      </c>
      <c r="M5289" t="n">
        <v>0</v>
      </c>
      <c r="N5289" t="n">
        <v>0</v>
      </c>
      <c r="O5289" t="n">
        <v>0</v>
      </c>
      <c r="P5289" t="n">
        <v>0</v>
      </c>
      <c r="Q5289" t="n">
        <v>0</v>
      </c>
      <c r="R5289" s="2" t="inlineStr"/>
    </row>
    <row r="5290" ht="15" customHeight="1">
      <c r="A5290" t="inlineStr">
        <is>
          <t>A 6143-2024</t>
        </is>
      </c>
      <c r="B5290" s="1" t="n">
        <v>45337</v>
      </c>
      <c r="C5290" s="1" t="n">
        <v>45351</v>
      </c>
      <c r="D5290" t="inlineStr">
        <is>
          <t>UPPSALA LÄN</t>
        </is>
      </c>
      <c r="E5290" t="inlineStr">
        <is>
          <t>ÖSTHAMMAR</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6120-2024</t>
        </is>
      </c>
      <c r="B5291" s="1" t="n">
        <v>45337</v>
      </c>
      <c r="C5291" s="1" t="n">
        <v>45351</v>
      </c>
      <c r="D5291" t="inlineStr">
        <is>
          <t>UPPSALA LÄN</t>
        </is>
      </c>
      <c r="E5291" t="inlineStr">
        <is>
          <t>ÖSTHAMMAR</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6199-2024</t>
        </is>
      </c>
      <c r="B5292" s="1" t="n">
        <v>45337</v>
      </c>
      <c r="C5292" s="1" t="n">
        <v>45351</v>
      </c>
      <c r="D5292" t="inlineStr">
        <is>
          <t>UPPSALA LÄN</t>
        </is>
      </c>
      <c r="E5292" t="inlineStr">
        <is>
          <t>UPPSALA</t>
        </is>
      </c>
      <c r="F5292" t="inlineStr">
        <is>
          <t>Kyrkan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6211-2024</t>
        </is>
      </c>
      <c r="B5293" s="1" t="n">
        <v>45337</v>
      </c>
      <c r="C5293" s="1" t="n">
        <v>45351</v>
      </c>
      <c r="D5293" t="inlineStr">
        <is>
          <t>UPPSALA LÄN</t>
        </is>
      </c>
      <c r="E5293" t="inlineStr">
        <is>
          <t>UPPSALA</t>
        </is>
      </c>
      <c r="G5293" t="n">
        <v>14.8</v>
      </c>
      <c r="H5293" t="n">
        <v>0</v>
      </c>
      <c r="I5293" t="n">
        <v>0</v>
      </c>
      <c r="J5293" t="n">
        <v>0</v>
      </c>
      <c r="K5293" t="n">
        <v>0</v>
      </c>
      <c r="L5293" t="n">
        <v>0</v>
      </c>
      <c r="M5293" t="n">
        <v>0</v>
      </c>
      <c r="N5293" t="n">
        <v>0</v>
      </c>
      <c r="O5293" t="n">
        <v>0</v>
      </c>
      <c r="P5293" t="n">
        <v>0</v>
      </c>
      <c r="Q5293" t="n">
        <v>0</v>
      </c>
      <c r="R5293" s="2" t="inlineStr"/>
    </row>
    <row r="5294" ht="15" customHeight="1">
      <c r="A5294" t="inlineStr">
        <is>
          <t>A 6227-2024</t>
        </is>
      </c>
      <c r="B5294" s="1" t="n">
        <v>45337</v>
      </c>
      <c r="C5294" s="1" t="n">
        <v>45351</v>
      </c>
      <c r="D5294" t="inlineStr">
        <is>
          <t>UPPSALA LÄN</t>
        </is>
      </c>
      <c r="E5294" t="inlineStr">
        <is>
          <t>KNIVSTA</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6247-2024</t>
        </is>
      </c>
      <c r="B5295" s="1" t="n">
        <v>45337</v>
      </c>
      <c r="C5295" s="1" t="n">
        <v>45351</v>
      </c>
      <c r="D5295" t="inlineStr">
        <is>
          <t>UPPSALA LÄN</t>
        </is>
      </c>
      <c r="E5295" t="inlineStr">
        <is>
          <t>ENKÖPING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6226-2024</t>
        </is>
      </c>
      <c r="B5296" s="1" t="n">
        <v>45337</v>
      </c>
      <c r="C5296" s="1" t="n">
        <v>45351</v>
      </c>
      <c r="D5296" t="inlineStr">
        <is>
          <t>UPPSALA LÄN</t>
        </is>
      </c>
      <c r="E5296" t="inlineStr">
        <is>
          <t>HEBY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6234-2024</t>
        </is>
      </c>
      <c r="B5297" s="1" t="n">
        <v>45337</v>
      </c>
      <c r="C5297" s="1" t="n">
        <v>45351</v>
      </c>
      <c r="D5297" t="inlineStr">
        <is>
          <t>UPPSALA LÄN</t>
        </is>
      </c>
      <c r="E5297" t="inlineStr">
        <is>
          <t>KNIVSTA</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6418-2024</t>
        </is>
      </c>
      <c r="B5298" s="1" t="n">
        <v>45338</v>
      </c>
      <c r="C5298" s="1" t="n">
        <v>45351</v>
      </c>
      <c r="D5298" t="inlineStr">
        <is>
          <t>UPPSALA LÄN</t>
        </is>
      </c>
      <c r="E5298" t="inlineStr">
        <is>
          <t>ÖSTHAMMAR</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6385-2024</t>
        </is>
      </c>
      <c r="B5299" s="1" t="n">
        <v>45338</v>
      </c>
      <c r="C5299" s="1" t="n">
        <v>45351</v>
      </c>
      <c r="D5299" t="inlineStr">
        <is>
          <t>UPPSALA LÄN</t>
        </is>
      </c>
      <c r="E5299" t="inlineStr">
        <is>
          <t>TIERP</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6363-2024</t>
        </is>
      </c>
      <c r="B5300" s="1" t="n">
        <v>45338</v>
      </c>
      <c r="C5300" s="1" t="n">
        <v>45351</v>
      </c>
      <c r="D5300" t="inlineStr">
        <is>
          <t>UPPSALA LÄN</t>
        </is>
      </c>
      <c r="E5300" t="inlineStr">
        <is>
          <t>UPPSALA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6395-2024</t>
        </is>
      </c>
      <c r="B5301" s="1" t="n">
        <v>45338</v>
      </c>
      <c r="C5301" s="1" t="n">
        <v>45351</v>
      </c>
      <c r="D5301" t="inlineStr">
        <is>
          <t>UPPSALA LÄN</t>
        </is>
      </c>
      <c r="E5301" t="inlineStr">
        <is>
          <t>TIERP</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6503-2024</t>
        </is>
      </c>
      <c r="B5302" s="1" t="n">
        <v>45339</v>
      </c>
      <c r="C5302" s="1" t="n">
        <v>45351</v>
      </c>
      <c r="D5302" t="inlineStr">
        <is>
          <t>UPPSALA LÄN</t>
        </is>
      </c>
      <c r="E5302" t="inlineStr">
        <is>
          <t>UPPSALA</t>
        </is>
      </c>
      <c r="F5302" t="inlineStr">
        <is>
          <t>Bergvik skog öst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6497-2024</t>
        </is>
      </c>
      <c r="B5303" s="1" t="n">
        <v>45339</v>
      </c>
      <c r="C5303" s="1" t="n">
        <v>45351</v>
      </c>
      <c r="D5303" t="inlineStr">
        <is>
          <t>UPPSALA LÄN</t>
        </is>
      </c>
      <c r="E5303" t="inlineStr">
        <is>
          <t>HEBY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6501-2024</t>
        </is>
      </c>
      <c r="B5304" s="1" t="n">
        <v>45339</v>
      </c>
      <c r="C5304" s="1" t="n">
        <v>45351</v>
      </c>
      <c r="D5304" t="inlineStr">
        <is>
          <t>UPPSALA LÄN</t>
        </is>
      </c>
      <c r="E5304" t="inlineStr">
        <is>
          <t>UPPSALA</t>
        </is>
      </c>
      <c r="F5304" t="inlineStr">
        <is>
          <t>Bergvik skog öst AB</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6500-2024</t>
        </is>
      </c>
      <c r="B5305" s="1" t="n">
        <v>45339</v>
      </c>
      <c r="C5305" s="1" t="n">
        <v>45351</v>
      </c>
      <c r="D5305" t="inlineStr">
        <is>
          <t>UPPSALA LÄN</t>
        </is>
      </c>
      <c r="E5305" t="inlineStr">
        <is>
          <t>UPPSALA</t>
        </is>
      </c>
      <c r="F5305" t="inlineStr">
        <is>
          <t>Bergvik skog öst AB</t>
        </is>
      </c>
      <c r="G5305" t="n">
        <v>23.7</v>
      </c>
      <c r="H5305" t="n">
        <v>0</v>
      </c>
      <c r="I5305" t="n">
        <v>0</v>
      </c>
      <c r="J5305" t="n">
        <v>0</v>
      </c>
      <c r="K5305" t="n">
        <v>0</v>
      </c>
      <c r="L5305" t="n">
        <v>0</v>
      </c>
      <c r="M5305" t="n">
        <v>0</v>
      </c>
      <c r="N5305" t="n">
        <v>0</v>
      </c>
      <c r="O5305" t="n">
        <v>0</v>
      </c>
      <c r="P5305" t="n">
        <v>0</v>
      </c>
      <c r="Q5305" t="n">
        <v>0</v>
      </c>
      <c r="R5305" s="2" t="inlineStr"/>
    </row>
    <row r="5306" ht="15" customHeight="1">
      <c r="A5306" t="inlineStr">
        <is>
          <t>A 6504-2024</t>
        </is>
      </c>
      <c r="B5306" s="1" t="n">
        <v>45339</v>
      </c>
      <c r="C5306" s="1" t="n">
        <v>45351</v>
      </c>
      <c r="D5306" t="inlineStr">
        <is>
          <t>UPPSALA LÄN</t>
        </is>
      </c>
      <c r="E5306" t="inlineStr">
        <is>
          <t>UPPSALA</t>
        </is>
      </c>
      <c r="F5306" t="inlineStr">
        <is>
          <t>Bergvik skog öst AB</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6505-2024</t>
        </is>
      </c>
      <c r="B5307" s="1" t="n">
        <v>45339</v>
      </c>
      <c r="C5307" s="1" t="n">
        <v>45351</v>
      </c>
      <c r="D5307" t="inlineStr">
        <is>
          <t>UPPSALA LÄN</t>
        </is>
      </c>
      <c r="E5307" t="inlineStr">
        <is>
          <t>UPPSALA</t>
        </is>
      </c>
      <c r="F5307" t="inlineStr">
        <is>
          <t>Bergvik skog öst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6507-2024</t>
        </is>
      </c>
      <c r="B5308" s="1" t="n">
        <v>45339</v>
      </c>
      <c r="C5308" s="1" t="n">
        <v>45351</v>
      </c>
      <c r="D5308" t="inlineStr">
        <is>
          <t>UPPSALA LÄN</t>
        </is>
      </c>
      <c r="E5308" t="inlineStr">
        <is>
          <t>UPPSALA</t>
        </is>
      </c>
      <c r="F5308" t="inlineStr">
        <is>
          <t>Bergvik skog öst AB</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6506-2024</t>
        </is>
      </c>
      <c r="B5309" s="1" t="n">
        <v>45339</v>
      </c>
      <c r="C5309" s="1" t="n">
        <v>45351</v>
      </c>
      <c r="D5309" t="inlineStr">
        <is>
          <t>UPPSALA LÄN</t>
        </is>
      </c>
      <c r="E5309" t="inlineStr">
        <is>
          <t>UPPSALA</t>
        </is>
      </c>
      <c r="F5309" t="inlineStr">
        <is>
          <t>Bergvik skog öst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6554-2024</t>
        </is>
      </c>
      <c r="B5310" s="1" t="n">
        <v>45341</v>
      </c>
      <c r="C5310" s="1" t="n">
        <v>45351</v>
      </c>
      <c r="D5310" t="inlineStr">
        <is>
          <t>UPPSALA LÄN</t>
        </is>
      </c>
      <c r="E5310" t="inlineStr">
        <is>
          <t>HEBY</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6630-2024</t>
        </is>
      </c>
      <c r="B5311" s="1" t="n">
        <v>45341</v>
      </c>
      <c r="C5311" s="1" t="n">
        <v>45351</v>
      </c>
      <c r="D5311" t="inlineStr">
        <is>
          <t>UPPSALA LÄN</t>
        </is>
      </c>
      <c r="E5311" t="inlineStr">
        <is>
          <t>UPPSALA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6628-2024</t>
        </is>
      </c>
      <c r="B5312" s="1" t="n">
        <v>45341</v>
      </c>
      <c r="C5312" s="1" t="n">
        <v>45351</v>
      </c>
      <c r="D5312" t="inlineStr">
        <is>
          <t>UPPSALA LÄN</t>
        </is>
      </c>
      <c r="E5312" t="inlineStr">
        <is>
          <t>UPPSALA</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6661-2024</t>
        </is>
      </c>
      <c r="B5313" s="1" t="n">
        <v>45341</v>
      </c>
      <c r="C5313" s="1" t="n">
        <v>45351</v>
      </c>
      <c r="D5313" t="inlineStr">
        <is>
          <t>UPPSALA LÄN</t>
        </is>
      </c>
      <c r="E5313" t="inlineStr">
        <is>
          <t>ÖSTHAMMAR</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6650-2024</t>
        </is>
      </c>
      <c r="B5314" s="1" t="n">
        <v>45341</v>
      </c>
      <c r="C5314" s="1" t="n">
        <v>45351</v>
      </c>
      <c r="D5314" t="inlineStr">
        <is>
          <t>UPPSALA LÄN</t>
        </is>
      </c>
      <c r="E5314" t="inlineStr">
        <is>
          <t>UPPSALA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6677-2024</t>
        </is>
      </c>
      <c r="B5315" s="1" t="n">
        <v>45341</v>
      </c>
      <c r="C5315" s="1" t="n">
        <v>45351</v>
      </c>
      <c r="D5315" t="inlineStr">
        <is>
          <t>UPPSALA LÄN</t>
        </is>
      </c>
      <c r="E5315" t="inlineStr">
        <is>
          <t>UPPSALA</t>
        </is>
      </c>
      <c r="F5315" t="inlineStr">
        <is>
          <t>Bergvik skog öst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6547-2024</t>
        </is>
      </c>
      <c r="B5316" s="1" t="n">
        <v>45341</v>
      </c>
      <c r="C5316" s="1" t="n">
        <v>45351</v>
      </c>
      <c r="D5316" t="inlineStr">
        <is>
          <t>UPPSALA LÄN</t>
        </is>
      </c>
      <c r="E5316" t="inlineStr">
        <is>
          <t>HEBY</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6555-2024</t>
        </is>
      </c>
      <c r="B5317" s="1" t="n">
        <v>45341</v>
      </c>
      <c r="C5317" s="1" t="n">
        <v>45351</v>
      </c>
      <c r="D5317" t="inlineStr">
        <is>
          <t>UPPSALA LÄN</t>
        </is>
      </c>
      <c r="E5317" t="inlineStr">
        <is>
          <t>HEBY</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6678-2024</t>
        </is>
      </c>
      <c r="B5318" s="1" t="n">
        <v>45341</v>
      </c>
      <c r="C5318" s="1" t="n">
        <v>45351</v>
      </c>
      <c r="D5318" t="inlineStr">
        <is>
          <t>UPPSALA LÄN</t>
        </is>
      </c>
      <c r="E5318" t="inlineStr">
        <is>
          <t>UPPSALA</t>
        </is>
      </c>
      <c r="F5318" t="inlineStr">
        <is>
          <t>Bergvik skog öst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6656-2024</t>
        </is>
      </c>
      <c r="B5319" s="1" t="n">
        <v>45341</v>
      </c>
      <c r="C5319" s="1" t="n">
        <v>45351</v>
      </c>
      <c r="D5319" t="inlineStr">
        <is>
          <t>UPPSALA LÄN</t>
        </is>
      </c>
      <c r="E5319" t="inlineStr">
        <is>
          <t>ÖSTHAMMAR</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6676-2024</t>
        </is>
      </c>
      <c r="B5320" s="1" t="n">
        <v>45341</v>
      </c>
      <c r="C5320" s="1" t="n">
        <v>45351</v>
      </c>
      <c r="D5320" t="inlineStr">
        <is>
          <t>UPPSALA LÄN</t>
        </is>
      </c>
      <c r="E5320" t="inlineStr">
        <is>
          <t>UPPSALA</t>
        </is>
      </c>
      <c r="F5320" t="inlineStr">
        <is>
          <t>Bergvik skog öst AB</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6679-2024</t>
        </is>
      </c>
      <c r="B5321" s="1" t="n">
        <v>45341</v>
      </c>
      <c r="C5321" s="1" t="n">
        <v>45351</v>
      </c>
      <c r="D5321" t="inlineStr">
        <is>
          <t>UPPSALA LÄN</t>
        </is>
      </c>
      <c r="E5321" t="inlineStr">
        <is>
          <t>UPPSALA</t>
        </is>
      </c>
      <c r="F5321" t="inlineStr">
        <is>
          <t>Bergvik skog öst AB</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6885-2024</t>
        </is>
      </c>
      <c r="B5322" s="1" t="n">
        <v>45342</v>
      </c>
      <c r="C5322" s="1" t="n">
        <v>45351</v>
      </c>
      <c r="D5322" t="inlineStr">
        <is>
          <t>UPPSALA LÄN</t>
        </is>
      </c>
      <c r="E5322" t="inlineStr">
        <is>
          <t>HEBY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6882-2024</t>
        </is>
      </c>
      <c r="B5323" s="1" t="n">
        <v>45342</v>
      </c>
      <c r="C5323" s="1" t="n">
        <v>45351</v>
      </c>
      <c r="D5323" t="inlineStr">
        <is>
          <t>UPPSALA LÄN</t>
        </is>
      </c>
      <c r="E5323" t="inlineStr">
        <is>
          <t>HEBY</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6966-2024</t>
        </is>
      </c>
      <c r="B5324" s="1" t="n">
        <v>45343</v>
      </c>
      <c r="C5324" s="1" t="n">
        <v>45351</v>
      </c>
      <c r="D5324" t="inlineStr">
        <is>
          <t>UPPSALA LÄN</t>
        </is>
      </c>
      <c r="E5324" t="inlineStr">
        <is>
          <t>UPPSALA</t>
        </is>
      </c>
      <c r="F5324" t="inlineStr">
        <is>
          <t>Holmen skog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7065-2024</t>
        </is>
      </c>
      <c r="B5325" s="1" t="n">
        <v>45343</v>
      </c>
      <c r="C5325" s="1" t="n">
        <v>45351</v>
      </c>
      <c r="D5325" t="inlineStr">
        <is>
          <t>UPPSALA LÄN</t>
        </is>
      </c>
      <c r="E5325" t="inlineStr">
        <is>
          <t>TIERP</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7048-2024</t>
        </is>
      </c>
      <c r="B5326" s="1" t="n">
        <v>45343</v>
      </c>
      <c r="C5326" s="1" t="n">
        <v>45351</v>
      </c>
      <c r="D5326" t="inlineStr">
        <is>
          <t>UPPSALA LÄN</t>
        </is>
      </c>
      <c r="E5326" t="inlineStr">
        <is>
          <t>TIERP</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7084-2024</t>
        </is>
      </c>
      <c r="B5327" s="1" t="n">
        <v>45343</v>
      </c>
      <c r="C5327" s="1" t="n">
        <v>45351</v>
      </c>
      <c r="D5327" t="inlineStr">
        <is>
          <t>UPPSALA LÄN</t>
        </is>
      </c>
      <c r="E5327" t="inlineStr">
        <is>
          <t>HEBY</t>
        </is>
      </c>
      <c r="F5327" t="inlineStr">
        <is>
          <t>Kyrkan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7088-2024</t>
        </is>
      </c>
      <c r="B5328" s="1" t="n">
        <v>45343</v>
      </c>
      <c r="C5328" s="1" t="n">
        <v>45351</v>
      </c>
      <c r="D5328" t="inlineStr">
        <is>
          <t>UPPSALA LÄN</t>
        </is>
      </c>
      <c r="E5328" t="inlineStr">
        <is>
          <t>HEBY</t>
        </is>
      </c>
      <c r="F5328" t="inlineStr">
        <is>
          <t>Kyrkan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7175-2024</t>
        </is>
      </c>
      <c r="B5329" s="1" t="n">
        <v>45344</v>
      </c>
      <c r="C5329" s="1" t="n">
        <v>45351</v>
      </c>
      <c r="D5329" t="inlineStr">
        <is>
          <t>UPPSALA LÄN</t>
        </is>
      </c>
      <c r="E5329" t="inlineStr">
        <is>
          <t>UPPSALA</t>
        </is>
      </c>
      <c r="F5329" t="inlineStr">
        <is>
          <t>Kyrkan</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7169-2024</t>
        </is>
      </c>
      <c r="B5330" s="1" t="n">
        <v>45344</v>
      </c>
      <c r="C5330" s="1" t="n">
        <v>45351</v>
      </c>
      <c r="D5330" t="inlineStr">
        <is>
          <t>UPPSALA LÄN</t>
        </is>
      </c>
      <c r="E5330" t="inlineStr">
        <is>
          <t>HEBY</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7173-2024</t>
        </is>
      </c>
      <c r="B5331" s="1" t="n">
        <v>45344</v>
      </c>
      <c r="C5331" s="1" t="n">
        <v>45351</v>
      </c>
      <c r="D5331" t="inlineStr">
        <is>
          <t>UPPSALA LÄN</t>
        </is>
      </c>
      <c r="E5331" t="inlineStr">
        <is>
          <t>HEBY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7158-2024</t>
        </is>
      </c>
      <c r="B5332" s="1" t="n">
        <v>45344</v>
      </c>
      <c r="C5332" s="1" t="n">
        <v>45351</v>
      </c>
      <c r="D5332" t="inlineStr">
        <is>
          <t>UPPSALA LÄN</t>
        </is>
      </c>
      <c r="E5332" t="inlineStr">
        <is>
          <t>UPPSALA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7166-2024</t>
        </is>
      </c>
      <c r="B5333" s="1" t="n">
        <v>45344</v>
      </c>
      <c r="C5333" s="1" t="n">
        <v>45351</v>
      </c>
      <c r="D5333" t="inlineStr">
        <is>
          <t>UPPSALA LÄN</t>
        </is>
      </c>
      <c r="E5333" t="inlineStr">
        <is>
          <t>HEBY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7127-2024</t>
        </is>
      </c>
      <c r="B5334" s="1" t="n">
        <v>45344</v>
      </c>
      <c r="C5334" s="1" t="n">
        <v>45351</v>
      </c>
      <c r="D5334" t="inlineStr">
        <is>
          <t>UPPSALA LÄN</t>
        </is>
      </c>
      <c r="E5334" t="inlineStr">
        <is>
          <t>TIERP</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7160-2024</t>
        </is>
      </c>
      <c r="B5335" s="1" t="n">
        <v>45344</v>
      </c>
      <c r="C5335" s="1" t="n">
        <v>45351</v>
      </c>
      <c r="D5335" t="inlineStr">
        <is>
          <t>UPPSALA LÄN</t>
        </is>
      </c>
      <c r="E5335" t="inlineStr">
        <is>
          <t>HEBY</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7253-2024</t>
        </is>
      </c>
      <c r="B5336" s="1" t="n">
        <v>45344</v>
      </c>
      <c r="C5336" s="1" t="n">
        <v>45351</v>
      </c>
      <c r="D5336" t="inlineStr">
        <is>
          <t>UPPSALA LÄN</t>
        </is>
      </c>
      <c r="E5336" t="inlineStr">
        <is>
          <t>UPPSALA</t>
        </is>
      </c>
      <c r="F5336" t="inlineStr">
        <is>
          <t>Kyrkan</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7274-2024</t>
        </is>
      </c>
      <c r="B5337" s="1" t="n">
        <v>45344</v>
      </c>
      <c r="C5337" s="1" t="n">
        <v>45351</v>
      </c>
      <c r="D5337" t="inlineStr">
        <is>
          <t>UPPSALA LÄN</t>
        </is>
      </c>
      <c r="E5337" t="inlineStr">
        <is>
          <t>UPPSALA</t>
        </is>
      </c>
      <c r="F5337" t="inlineStr">
        <is>
          <t>Bergvik skog öst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7278-2024</t>
        </is>
      </c>
      <c r="B5338" s="1" t="n">
        <v>45344</v>
      </c>
      <c r="C5338" s="1" t="n">
        <v>45351</v>
      </c>
      <c r="D5338" t="inlineStr">
        <is>
          <t>UPPSALA LÄN</t>
        </is>
      </c>
      <c r="E5338" t="inlineStr">
        <is>
          <t>UPPSALA</t>
        </is>
      </c>
      <c r="F5338" t="inlineStr">
        <is>
          <t>Bergvik skog öst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7226-2024</t>
        </is>
      </c>
      <c r="B5339" s="1" t="n">
        <v>45344</v>
      </c>
      <c r="C5339" s="1" t="n">
        <v>45351</v>
      </c>
      <c r="D5339" t="inlineStr">
        <is>
          <t>UPPSALA LÄN</t>
        </is>
      </c>
      <c r="E5339" t="inlineStr">
        <is>
          <t>UPPSALA</t>
        </is>
      </c>
      <c r="F5339" t="inlineStr">
        <is>
          <t>Kyrkan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7276-2024</t>
        </is>
      </c>
      <c r="B5340" s="1" t="n">
        <v>45344</v>
      </c>
      <c r="C5340" s="1" t="n">
        <v>45351</v>
      </c>
      <c r="D5340" t="inlineStr">
        <is>
          <t>UPPSALA LÄN</t>
        </is>
      </c>
      <c r="E5340" t="inlineStr">
        <is>
          <t>UPPSALA</t>
        </is>
      </c>
      <c r="F5340" t="inlineStr">
        <is>
          <t>Bergvik skog öst AB</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7275-2024</t>
        </is>
      </c>
      <c r="B5341" s="1" t="n">
        <v>45344</v>
      </c>
      <c r="C5341" s="1" t="n">
        <v>45351</v>
      </c>
      <c r="D5341" t="inlineStr">
        <is>
          <t>UPPSALA LÄN</t>
        </is>
      </c>
      <c r="E5341" t="inlineStr">
        <is>
          <t>UPPSALA</t>
        </is>
      </c>
      <c r="F5341" t="inlineStr">
        <is>
          <t>Bergvik skog öst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7390-2024</t>
        </is>
      </c>
      <c r="B5342" s="1" t="n">
        <v>45345</v>
      </c>
      <c r="C5342" s="1" t="n">
        <v>45351</v>
      </c>
      <c r="D5342" t="inlineStr">
        <is>
          <t>UPPSALA LÄN</t>
        </is>
      </c>
      <c r="E5342" t="inlineStr">
        <is>
          <t>UPPSALA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7403-2024</t>
        </is>
      </c>
      <c r="B5343" s="1" t="n">
        <v>45345</v>
      </c>
      <c r="C5343" s="1" t="n">
        <v>45351</v>
      </c>
      <c r="D5343" t="inlineStr">
        <is>
          <t>UPPSALA LÄN</t>
        </is>
      </c>
      <c r="E5343" t="inlineStr">
        <is>
          <t>UPPSALA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7407-2024</t>
        </is>
      </c>
      <c r="B5344" s="1" t="n">
        <v>45345</v>
      </c>
      <c r="C5344" s="1" t="n">
        <v>45351</v>
      </c>
      <c r="D5344" t="inlineStr">
        <is>
          <t>UPPSALA LÄN</t>
        </is>
      </c>
      <c r="E5344" t="inlineStr">
        <is>
          <t>UPPSALA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7388-2024</t>
        </is>
      </c>
      <c r="B5345" s="1" t="n">
        <v>45345</v>
      </c>
      <c r="C5345" s="1" t="n">
        <v>45351</v>
      </c>
      <c r="D5345" t="inlineStr">
        <is>
          <t>UPPSALA LÄN</t>
        </is>
      </c>
      <c r="E5345" t="inlineStr">
        <is>
          <t>UPPSALA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7400-2024</t>
        </is>
      </c>
      <c r="B5346" s="1" t="n">
        <v>45345</v>
      </c>
      <c r="C5346" s="1" t="n">
        <v>45351</v>
      </c>
      <c r="D5346" t="inlineStr">
        <is>
          <t>UPPSALA LÄN</t>
        </is>
      </c>
      <c r="E5346" t="inlineStr">
        <is>
          <t>UPPSALA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7389-2024</t>
        </is>
      </c>
      <c r="B5347" s="1" t="n">
        <v>45345</v>
      </c>
      <c r="C5347" s="1" t="n">
        <v>45351</v>
      </c>
      <c r="D5347" t="inlineStr">
        <is>
          <t>UPPSALA LÄN</t>
        </is>
      </c>
      <c r="E5347" t="inlineStr">
        <is>
          <t>UPPSALA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7649-2024</t>
        </is>
      </c>
      <c r="B5348" s="1" t="n">
        <v>45348</v>
      </c>
      <c r="C5348" s="1" t="n">
        <v>45351</v>
      </c>
      <c r="D5348" t="inlineStr">
        <is>
          <t>UPPSALA LÄN</t>
        </is>
      </c>
      <c r="E5348" t="inlineStr">
        <is>
          <t>UPPSALA</t>
        </is>
      </c>
      <c r="F5348" t="inlineStr">
        <is>
          <t>Kyrkan</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7654-2024</t>
        </is>
      </c>
      <c r="B5349" s="1" t="n">
        <v>45348</v>
      </c>
      <c r="C5349" s="1" t="n">
        <v>45351</v>
      </c>
      <c r="D5349" t="inlineStr">
        <is>
          <t>UPPSALA LÄN</t>
        </is>
      </c>
      <c r="E5349" t="inlineStr">
        <is>
          <t>UPPSALA</t>
        </is>
      </c>
      <c r="F5349" t="inlineStr">
        <is>
          <t>Kyrkan</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7727-2024</t>
        </is>
      </c>
      <c r="B5350" s="1" t="n">
        <v>45349</v>
      </c>
      <c r="C5350" s="1" t="n">
        <v>45351</v>
      </c>
      <c r="D5350" t="inlineStr">
        <is>
          <t>UPPSALA LÄN</t>
        </is>
      </c>
      <c r="E5350" t="inlineStr">
        <is>
          <t>UPPSALA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7732-2024</t>
        </is>
      </c>
      <c r="B5351" s="1" t="n">
        <v>45349</v>
      </c>
      <c r="C5351" s="1" t="n">
        <v>45351</v>
      </c>
      <c r="D5351" t="inlineStr">
        <is>
          <t>UPPSALA LÄN</t>
        </is>
      </c>
      <c r="E5351" t="inlineStr">
        <is>
          <t>UPPSALA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7750-2024</t>
        </is>
      </c>
      <c r="B5352" s="1" t="n">
        <v>45349</v>
      </c>
      <c r="C5352" s="1" t="n">
        <v>45351</v>
      </c>
      <c r="D5352" t="inlineStr">
        <is>
          <t>UPPSALA LÄN</t>
        </is>
      </c>
      <c r="E5352" t="inlineStr">
        <is>
          <t>UPPSALA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7868-2024</t>
        </is>
      </c>
      <c r="B5353" s="1" t="n">
        <v>45350</v>
      </c>
      <c r="C5353" s="1" t="n">
        <v>45351</v>
      </c>
      <c r="D5353" t="inlineStr">
        <is>
          <t>UPPSALA LÄN</t>
        </is>
      </c>
      <c r="E5353" t="inlineStr">
        <is>
          <t>ENKÖPING</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7866-2024</t>
        </is>
      </c>
      <c r="B5354" s="1" t="n">
        <v>45350</v>
      </c>
      <c r="C5354" s="1" t="n">
        <v>45351</v>
      </c>
      <c r="D5354" t="inlineStr">
        <is>
          <t>UPPSALA LÄN</t>
        </is>
      </c>
      <c r="E5354" t="inlineStr">
        <is>
          <t>ENKÖPING</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7870-2024</t>
        </is>
      </c>
      <c r="B5355" s="1" t="n">
        <v>45350</v>
      </c>
      <c r="C5355" s="1" t="n">
        <v>45351</v>
      </c>
      <c r="D5355" t="inlineStr">
        <is>
          <t>UPPSALA LÄN</t>
        </is>
      </c>
      <c r="E5355" t="inlineStr">
        <is>
          <t>ENKÖPING</t>
        </is>
      </c>
      <c r="G5355" t="n">
        <v>0.6</v>
      </c>
      <c r="H5355" t="n">
        <v>0</v>
      </c>
      <c r="I5355" t="n">
        <v>0</v>
      </c>
      <c r="J5355" t="n">
        <v>0</v>
      </c>
      <c r="K5355" t="n">
        <v>0</v>
      </c>
      <c r="L5355" t="n">
        <v>0</v>
      </c>
      <c r="M5355" t="n">
        <v>0</v>
      </c>
      <c r="N5355" t="n">
        <v>0</v>
      </c>
      <c r="O5355" t="n">
        <v>0</v>
      </c>
      <c r="P5355" t="n">
        <v>0</v>
      </c>
      <c r="Q5355" t="n">
        <v>0</v>
      </c>
      <c r="R5355" s="2" t="inlineStr"/>
    </row>
    <row r="5356">
      <c r="A5356" t="inlineStr">
        <is>
          <t>A 7974-2024</t>
        </is>
      </c>
      <c r="B5356" s="1" t="n">
        <v>45350</v>
      </c>
      <c r="C5356" s="1" t="n">
        <v>45351</v>
      </c>
      <c r="D5356" t="inlineStr">
        <is>
          <t>UPPSALA LÄN</t>
        </is>
      </c>
      <c r="E5356" t="inlineStr">
        <is>
          <t>UPPSALA</t>
        </is>
      </c>
      <c r="F5356" t="inlineStr">
        <is>
          <t>Övriga Aktiebolag</t>
        </is>
      </c>
      <c r="G5356" t="n">
        <v>11</v>
      </c>
      <c r="H5356" t="n">
        <v>0</v>
      </c>
      <c r="I5356" t="n">
        <v>0</v>
      </c>
      <c r="J5356" t="n">
        <v>0</v>
      </c>
      <c r="K5356" t="n">
        <v>0</v>
      </c>
      <c r="L5356" t="n">
        <v>0</v>
      </c>
      <c r="M5356" t="n">
        <v>0</v>
      </c>
      <c r="N5356" t="n">
        <v>0</v>
      </c>
      <c r="O5356" t="n">
        <v>0</v>
      </c>
      <c r="P5356" t="n">
        <v>0</v>
      </c>
      <c r="Q5356" t="n">
        <v>0</v>
      </c>
      <c r="R53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2024-02-29T12:55:37Z</dcterms:created>
  <dcterms:modified xmlns:dcterms="http://purl.org/dc/terms/" xmlns:xsi="http://www.w3.org/2001/XMLSchema-instance" xsi:type="dcterms:W3CDTF">2024-02-29T12:55:42Z</dcterms:modified>
</cp:coreProperties>
</file>