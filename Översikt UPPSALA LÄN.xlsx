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46098</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46098</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46098</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46098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46098</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46098</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46098</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46098</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46098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46098</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46098</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46098</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46098</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46098</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46098</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46098</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30484-2025</t>
        </is>
      </c>
      <c r="B23" s="1" t="n">
        <v>45828.75157407407</v>
      </c>
      <c r="C23" s="1" t="n">
        <v>46098</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9409-2025</t>
        </is>
      </c>
      <c r="B24" s="1" t="n">
        <v>45715.38824074074</v>
      </c>
      <c r="C24" s="1" t="n">
        <v>46098</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9409-2025 artfynd.xlsx", "A 9409-2025")</f>
        <v/>
      </c>
      <c r="T24">
        <f>HYPERLINK("https://klasma.github.io/Logging_0380/kartor/A 9409-2025 karta.png", "A 9409-2025")</f>
        <v/>
      </c>
      <c r="U24">
        <f>HYPERLINK("https://klasma.github.io/Logging_0380/knärot/A 9409-2025 karta knärot.png", "A 9409-2025")</f>
        <v/>
      </c>
      <c r="V24">
        <f>HYPERLINK("https://klasma.github.io/Logging_0380/klagomål/A 9409-2025 FSC-klagomål.docx", "A 9409-2025")</f>
        <v/>
      </c>
      <c r="W24">
        <f>HYPERLINK("https://klasma.github.io/Logging_0380/klagomålsmail/A 9409-2025 FSC-klagomål mail.docx", "A 9409-2025")</f>
        <v/>
      </c>
      <c r="X24">
        <f>HYPERLINK("https://klasma.github.io/Logging_0380/tillsyn/A 9409-2025 tillsynsbegäran.docx", "A 9409-2025")</f>
        <v/>
      </c>
      <c r="Y24">
        <f>HYPERLINK("https://klasma.github.io/Logging_0380/tillsynsmail/A 9409-2025 tillsynsbegäran mail.docx", "A 9409-2025")</f>
        <v/>
      </c>
      <c r="Z24">
        <f>HYPERLINK("https://klasma.github.io/Logging_0380/fåglar/A 9409-2025 prioriterade fågelarter.docx", "A 9409-2025")</f>
        <v/>
      </c>
    </row>
    <row r="25" ht="15" customHeight="1">
      <c r="A25" t="inlineStr">
        <is>
          <t>A 63008-2025</t>
        </is>
      </c>
      <c r="B25" s="1" t="n">
        <v>46009.57934027778</v>
      </c>
      <c r="C25" s="1" t="n">
        <v>46098</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46098</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46098</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46098</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46098</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46098</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46098</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46098</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46098</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46098</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30851-2025</t>
        </is>
      </c>
      <c r="B35" s="1" t="n">
        <v>45831</v>
      </c>
      <c r="C35" s="1" t="n">
        <v>46098</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8229-2026</t>
        </is>
      </c>
      <c r="B36" s="1" t="n">
        <v>46063</v>
      </c>
      <c r="C36" s="1" t="n">
        <v>46098</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46098</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69711-2021</t>
        </is>
      </c>
      <c r="B38" s="1" t="n">
        <v>44532</v>
      </c>
      <c r="C38" s="1" t="n">
        <v>46098</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50796-2025</t>
        </is>
      </c>
      <c r="B39" s="1" t="n">
        <v>45946.48280092593</v>
      </c>
      <c r="C39" s="1" t="n">
        <v>46098</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46098</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46098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7380-2023</t>
        </is>
      </c>
      <c r="B42" s="1" t="n">
        <v>44971</v>
      </c>
      <c r="C42" s="1" t="n">
        <v>46098</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15601-2021</t>
        </is>
      </c>
      <c r="B43" s="1" t="n">
        <v>44285</v>
      </c>
      <c r="C43" s="1" t="n">
        <v>46098</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29564-2023</t>
        </is>
      </c>
      <c r="B44" s="1" t="n">
        <v>45106</v>
      </c>
      <c r="C44" s="1" t="n">
        <v>46098</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12240-2025</t>
        </is>
      </c>
      <c r="B45" s="1" t="n">
        <v>45729.58457175926</v>
      </c>
      <c r="C45" s="1" t="n">
        <v>46098</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25143-2023</t>
        </is>
      </c>
      <c r="B46" s="1" t="n">
        <v>45086</v>
      </c>
      <c r="C46" s="1" t="n">
        <v>46098</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44006-2024</t>
        </is>
      </c>
      <c r="B47" s="1" t="n">
        <v>45572</v>
      </c>
      <c r="C47" s="1" t="n">
        <v>46098</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62003-2025</t>
        </is>
      </c>
      <c r="B48" s="1" t="n">
        <v>46003.65950231482</v>
      </c>
      <c r="C48" s="1" t="n">
        <v>46098</v>
      </c>
      <c r="D48" t="inlineStr">
        <is>
          <t>UPPSALA LÄN</t>
        </is>
      </c>
      <c r="E48" t="inlineStr">
        <is>
          <t>UPPSALA</t>
        </is>
      </c>
      <c r="G48" t="n">
        <v>6.9</v>
      </c>
      <c r="H48" t="n">
        <v>5</v>
      </c>
      <c r="I48" t="n">
        <v>1</v>
      </c>
      <c r="J48" t="n">
        <v>6</v>
      </c>
      <c r="K48" t="n">
        <v>2</v>
      </c>
      <c r="L48" t="n">
        <v>0</v>
      </c>
      <c r="M48" t="n">
        <v>0</v>
      </c>
      <c r="N48" t="n">
        <v>0</v>
      </c>
      <c r="O48" t="n">
        <v>8</v>
      </c>
      <c r="P48" t="n">
        <v>2</v>
      </c>
      <c r="Q48" t="n">
        <v>11</v>
      </c>
      <c r="R48" s="2" t="inlineStr">
        <is>
          <t>Knärot
Rynkskinn
Spillkråka
Svart ögonknäppare
Talltita
Triplax rufipes
Ullticka
Vedtrappmossa
Granbarkgnagare
Lopplummer (aggregat)
Revlummer</t>
        </is>
      </c>
      <c r="S48">
        <f>HYPERLINK("https://klasma.github.io/Logging_0380/artfynd/A 62003-2025 artfynd.xlsx", "A 62003-2025")</f>
        <v/>
      </c>
      <c r="T48">
        <f>HYPERLINK("https://klasma.github.io/Logging_0380/kartor/A 62003-2025 karta.png", "A 62003-2025")</f>
        <v/>
      </c>
      <c r="U48">
        <f>HYPERLINK("https://klasma.github.io/Logging_0380/knärot/A 62003-2025 karta knärot.png", "A 62003-2025")</f>
        <v/>
      </c>
      <c r="V48">
        <f>HYPERLINK("https://klasma.github.io/Logging_0380/klagomål/A 62003-2025 FSC-klagomål.docx", "A 62003-2025")</f>
        <v/>
      </c>
      <c r="W48">
        <f>HYPERLINK("https://klasma.github.io/Logging_0380/klagomålsmail/A 62003-2025 FSC-klagomål mail.docx", "A 62003-2025")</f>
        <v/>
      </c>
      <c r="X48">
        <f>HYPERLINK("https://klasma.github.io/Logging_0380/tillsyn/A 62003-2025 tillsynsbegäran.docx", "A 62003-2025")</f>
        <v/>
      </c>
      <c r="Y48">
        <f>HYPERLINK("https://klasma.github.io/Logging_0380/tillsynsmail/A 62003-2025 tillsynsbegäran mail.docx", "A 62003-2025")</f>
        <v/>
      </c>
      <c r="Z48">
        <f>HYPERLINK("https://klasma.github.io/Logging_0380/fåglar/A 62003-2025 prioriterade fågelarter.docx", "A 62003-2025")</f>
        <v/>
      </c>
    </row>
    <row r="49" ht="15" customHeight="1">
      <c r="A49" t="inlineStr">
        <is>
          <t>A 62998-2025</t>
        </is>
      </c>
      <c r="B49" s="1" t="n">
        <v>46009.5597337963</v>
      </c>
      <c r="C49" s="1" t="n">
        <v>46098</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25604-2025</t>
        </is>
      </c>
      <c r="B50" s="1" t="n">
        <v>45803</v>
      </c>
      <c r="C50" s="1" t="n">
        <v>46098</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10368-2022</t>
        </is>
      </c>
      <c r="B51" s="1" t="n">
        <v>44623</v>
      </c>
      <c r="C51" s="1" t="n">
        <v>46098</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47453-2023</t>
        </is>
      </c>
      <c r="B52" s="1" t="n">
        <v>45202</v>
      </c>
      <c r="C52" s="1" t="n">
        <v>46098</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46098</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46098</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9206-2024</t>
        </is>
      </c>
      <c r="B55" s="1" t="n">
        <v>45358</v>
      </c>
      <c r="C55" s="1" t="n">
        <v>46098</v>
      </c>
      <c r="D55" t="inlineStr">
        <is>
          <t>UPPSALA LÄN</t>
        </is>
      </c>
      <c r="E55" t="inlineStr">
        <is>
          <t>UPPSALA</t>
        </is>
      </c>
      <c r="F55" t="inlineStr">
        <is>
          <t>Allmännings- och besparingsskogar</t>
        </is>
      </c>
      <c r="G55" t="n">
        <v>22.2</v>
      </c>
      <c r="H55" t="n">
        <v>4</v>
      </c>
      <c r="I55" t="n">
        <v>3</v>
      </c>
      <c r="J55" t="n">
        <v>5</v>
      </c>
      <c r="K55" t="n">
        <v>1</v>
      </c>
      <c r="L55" t="n">
        <v>0</v>
      </c>
      <c r="M55" t="n">
        <v>0</v>
      </c>
      <c r="N55" t="n">
        <v>0</v>
      </c>
      <c r="O55" t="n">
        <v>6</v>
      </c>
      <c r="P55" t="n">
        <v>1</v>
      </c>
      <c r="Q55" t="n">
        <v>10</v>
      </c>
      <c r="R55" s="2" t="inlineStr">
        <is>
          <t>Knärot
Gransotdyna
Gränsticka
Spillkråka
Talltita
Vedtrappmossa
Brandticka
Bronshjon
Granbarkgnagare
Revlummer</t>
        </is>
      </c>
      <c r="S55">
        <f>HYPERLINK("https://klasma.github.io/Logging_0380/artfynd/A 9206-2024 artfynd.xlsx", "A 9206-2024")</f>
        <v/>
      </c>
      <c r="T55">
        <f>HYPERLINK("https://klasma.github.io/Logging_0380/kartor/A 9206-2024 karta.png", "A 9206-2024")</f>
        <v/>
      </c>
      <c r="U55">
        <f>HYPERLINK("https://klasma.github.io/Logging_0380/knärot/A 9206-2024 karta knärot.png", "A 9206-2024")</f>
        <v/>
      </c>
      <c r="V55">
        <f>HYPERLINK("https://klasma.github.io/Logging_0380/klagomål/A 9206-2024 FSC-klagomål.docx", "A 9206-2024")</f>
        <v/>
      </c>
      <c r="W55">
        <f>HYPERLINK("https://klasma.github.io/Logging_0380/klagomålsmail/A 9206-2024 FSC-klagomål mail.docx", "A 9206-2024")</f>
        <v/>
      </c>
      <c r="X55">
        <f>HYPERLINK("https://klasma.github.io/Logging_0380/tillsyn/A 9206-2024 tillsynsbegäran.docx", "A 9206-2024")</f>
        <v/>
      </c>
      <c r="Y55">
        <f>HYPERLINK("https://klasma.github.io/Logging_0380/tillsynsmail/A 9206-2024 tillsynsbegäran mail.docx", "A 9206-2024")</f>
        <v/>
      </c>
      <c r="Z55">
        <f>HYPERLINK("https://klasma.github.io/Logging_0380/fåglar/A 9206-2024 prioriterade fågelarter.docx", "A 9206-2024")</f>
        <v/>
      </c>
    </row>
    <row r="56" ht="15" customHeight="1">
      <c r="A56" t="inlineStr">
        <is>
          <t>A 48755-2025</t>
        </is>
      </c>
      <c r="B56" s="1" t="n">
        <v>45936</v>
      </c>
      <c r="C56" s="1" t="n">
        <v>46098</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25651-2025</t>
        </is>
      </c>
      <c r="B57" s="1" t="n">
        <v>45803</v>
      </c>
      <c r="C57" s="1" t="n">
        <v>46098</v>
      </c>
      <c r="D57" t="inlineStr">
        <is>
          <t>UPPSALA LÄN</t>
        </is>
      </c>
      <c r="E57" t="inlineStr">
        <is>
          <t>UPPSALA</t>
        </is>
      </c>
      <c r="F57" t="inlineStr">
        <is>
          <t>Holmen skog AB</t>
        </is>
      </c>
      <c r="G57" t="n">
        <v>3.6</v>
      </c>
      <c r="H57" t="n">
        <v>5</v>
      </c>
      <c r="I57" t="n">
        <v>2</v>
      </c>
      <c r="J57" t="n">
        <v>5</v>
      </c>
      <c r="K57" t="n">
        <v>1</v>
      </c>
      <c r="L57" t="n">
        <v>0</v>
      </c>
      <c r="M57" t="n">
        <v>0</v>
      </c>
      <c r="N57" t="n">
        <v>0</v>
      </c>
      <c r="O57" t="n">
        <v>6</v>
      </c>
      <c r="P57" t="n">
        <v>1</v>
      </c>
      <c r="Q57" t="n">
        <v>10</v>
      </c>
      <c r="R57" s="2" t="inlineStr">
        <is>
          <t>Knärot
Kortskaftad ärgspik
Motaggsvamp
Spillkråka
Talltita
Vedtrappmossa
Bronshjon
Vågbandad barkbock
Blåsippa
Revlummer</t>
        </is>
      </c>
      <c r="S57">
        <f>HYPERLINK("https://klasma.github.io/Logging_0380/artfynd/A 25651-2025 artfynd.xlsx", "A 25651-2025")</f>
        <v/>
      </c>
      <c r="T57">
        <f>HYPERLINK("https://klasma.github.io/Logging_0380/kartor/A 25651-2025 karta.png", "A 25651-2025")</f>
        <v/>
      </c>
      <c r="U57">
        <f>HYPERLINK("https://klasma.github.io/Logging_0380/knärot/A 25651-2025 karta knärot.png", "A 25651-2025")</f>
        <v/>
      </c>
      <c r="V57">
        <f>HYPERLINK("https://klasma.github.io/Logging_0380/klagomål/A 25651-2025 FSC-klagomål.docx", "A 25651-2025")</f>
        <v/>
      </c>
      <c r="W57">
        <f>HYPERLINK("https://klasma.github.io/Logging_0380/klagomålsmail/A 25651-2025 FSC-klagomål mail.docx", "A 25651-2025")</f>
        <v/>
      </c>
      <c r="X57">
        <f>HYPERLINK("https://klasma.github.io/Logging_0380/tillsyn/A 25651-2025 tillsynsbegäran.docx", "A 25651-2025")</f>
        <v/>
      </c>
      <c r="Y57">
        <f>HYPERLINK("https://klasma.github.io/Logging_0380/tillsynsmail/A 25651-2025 tillsynsbegäran mail.docx", "A 25651-2025")</f>
        <v/>
      </c>
      <c r="Z57">
        <f>HYPERLINK("https://klasma.github.io/Logging_0380/fåglar/A 25651-2025 prioriterade fågelarter.docx", "A 25651-2025")</f>
        <v/>
      </c>
    </row>
    <row r="58" ht="15" customHeight="1">
      <c r="A58" t="inlineStr">
        <is>
          <t>A 50253-2025</t>
        </is>
      </c>
      <c r="B58" s="1" t="n">
        <v>45944.32907407408</v>
      </c>
      <c r="C58" s="1" t="n">
        <v>46098</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1783-2023</t>
        </is>
      </c>
      <c r="B59" s="1" t="n">
        <v>44938</v>
      </c>
      <c r="C59" s="1" t="n">
        <v>46098</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2021-2022</t>
        </is>
      </c>
      <c r="B60" s="1" t="n">
        <v>44575</v>
      </c>
      <c r="C60" s="1" t="n">
        <v>46098</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46098</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40406-2025</t>
        </is>
      </c>
      <c r="B62" s="1" t="n">
        <v>45895.57082175926</v>
      </c>
      <c r="C62" s="1" t="n">
        <v>46098</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40395-2025</t>
        </is>
      </c>
      <c r="B63" s="1" t="n">
        <v>45895.55805555556</v>
      </c>
      <c r="C63" s="1" t="n">
        <v>46098</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220-2025</t>
        </is>
      </c>
      <c r="B64" s="1" t="n">
        <v>45660</v>
      </c>
      <c r="C64" s="1" t="n">
        <v>46098</v>
      </c>
      <c r="D64" t="inlineStr">
        <is>
          <t>UPPSALA LÄN</t>
        </is>
      </c>
      <c r="E64" t="inlineStr">
        <is>
          <t>TIERP</t>
        </is>
      </c>
      <c r="F64" t="inlineStr">
        <is>
          <t>Bergvik skog öst AB</t>
        </is>
      </c>
      <c r="G64" t="n">
        <v>3.2</v>
      </c>
      <c r="H64" t="n">
        <v>2</v>
      </c>
      <c r="I64" t="n">
        <v>4</v>
      </c>
      <c r="J64" t="n">
        <v>4</v>
      </c>
      <c r="K64" t="n">
        <v>0</v>
      </c>
      <c r="L64" t="n">
        <v>0</v>
      </c>
      <c r="M64" t="n">
        <v>0</v>
      </c>
      <c r="N64" t="n">
        <v>0</v>
      </c>
      <c r="O64" t="n">
        <v>4</v>
      </c>
      <c r="P64" t="n">
        <v>0</v>
      </c>
      <c r="Q64" t="n">
        <v>9</v>
      </c>
      <c r="R64" s="2" t="inlineStr">
        <is>
          <t>Kortskaftad ärgspik
Motaggsvamp
Spillkråka
Ullticka
Blodticka
Bronshjon
Rödgul trumpetsvamp
Vågbandad barkbock
Blåsippa</t>
        </is>
      </c>
      <c r="S64">
        <f>HYPERLINK("https://klasma.github.io/Logging_0360/artfynd/A 220-2025 artfynd.xlsx", "A 220-2025")</f>
        <v/>
      </c>
      <c r="T64">
        <f>HYPERLINK("https://klasma.github.io/Logging_0360/kartor/A 220-2025 karta.png", "A 220-2025")</f>
        <v/>
      </c>
      <c r="V64">
        <f>HYPERLINK("https://klasma.github.io/Logging_0360/klagomål/A 220-2025 FSC-klagomål.docx", "A 220-2025")</f>
        <v/>
      </c>
      <c r="W64">
        <f>HYPERLINK("https://klasma.github.io/Logging_0360/klagomålsmail/A 220-2025 FSC-klagomål mail.docx", "A 220-2025")</f>
        <v/>
      </c>
      <c r="X64">
        <f>HYPERLINK("https://klasma.github.io/Logging_0360/tillsyn/A 220-2025 tillsynsbegäran.docx", "A 220-2025")</f>
        <v/>
      </c>
      <c r="Y64">
        <f>HYPERLINK("https://klasma.github.io/Logging_0360/tillsynsmail/A 220-2025 tillsynsbegäran mail.docx", "A 220-2025")</f>
        <v/>
      </c>
      <c r="Z64">
        <f>HYPERLINK("https://klasma.github.io/Logging_0360/fåglar/A 220-2025 prioriterade fågelarter.docx", "A 220-2025")</f>
        <v/>
      </c>
    </row>
    <row r="65" ht="15" customHeight="1">
      <c r="A65" t="inlineStr">
        <is>
          <t>A 28450-2021</t>
        </is>
      </c>
      <c r="B65" s="1" t="n">
        <v>44356</v>
      </c>
      <c r="C65" s="1" t="n">
        <v>46098</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17846-2025</t>
        </is>
      </c>
      <c r="B66" s="1" t="n">
        <v>45758</v>
      </c>
      <c r="C66" s="1" t="n">
        <v>46098</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44867-2023</t>
        </is>
      </c>
      <c r="B67" s="1" t="n">
        <v>45190</v>
      </c>
      <c r="C67" s="1" t="n">
        <v>46098</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7444-2023</t>
        </is>
      </c>
      <c r="B68" s="1" t="n">
        <v>44971</v>
      </c>
      <c r="C68" s="1" t="n">
        <v>46098</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6086-2026</t>
        </is>
      </c>
      <c r="B69" s="1" t="n">
        <v>46052.69451388889</v>
      </c>
      <c r="C69" s="1" t="n">
        <v>46098</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19703-2025</t>
        </is>
      </c>
      <c r="B70" s="1" t="n">
        <v>45771</v>
      </c>
      <c r="C70" s="1" t="n">
        <v>46098</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46098</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52808-2023</t>
        </is>
      </c>
      <c r="B72" s="1" t="n">
        <v>45226</v>
      </c>
      <c r="C72" s="1" t="n">
        <v>46098</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46162-2023</t>
        </is>
      </c>
      <c r="B73" s="1" t="n">
        <v>45196</v>
      </c>
      <c r="C73" s="1" t="n">
        <v>46098</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46098</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21674-2024</t>
        </is>
      </c>
      <c r="B75" s="1" t="n">
        <v>45442</v>
      </c>
      <c r="C75" s="1" t="n">
        <v>46098</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51149-2025</t>
        </is>
      </c>
      <c r="B76" s="1" t="n">
        <v>45947</v>
      </c>
      <c r="C76" s="1" t="n">
        <v>46098</v>
      </c>
      <c r="D76" t="inlineStr">
        <is>
          <t>UPPSALA LÄN</t>
        </is>
      </c>
      <c r="E76" t="inlineStr">
        <is>
          <t>ÄLVKARLEBY</t>
        </is>
      </c>
      <c r="F76" t="inlineStr">
        <is>
          <t>Bergvik skog väst AB</t>
        </is>
      </c>
      <c r="G76" t="n">
        <v>2.9</v>
      </c>
      <c r="H76" t="n">
        <v>1</v>
      </c>
      <c r="I76" t="n">
        <v>4</v>
      </c>
      <c r="J76" t="n">
        <v>2</v>
      </c>
      <c r="K76" t="n">
        <v>1</v>
      </c>
      <c r="L76" t="n">
        <v>0</v>
      </c>
      <c r="M76" t="n">
        <v>0</v>
      </c>
      <c r="N76" t="n">
        <v>0</v>
      </c>
      <c r="O76" t="n">
        <v>3</v>
      </c>
      <c r="P76" t="n">
        <v>1</v>
      </c>
      <c r="Q76" t="n">
        <v>8</v>
      </c>
      <c r="R76" s="2" t="inlineStr">
        <is>
          <t>Läderdoftande fingersvamp
Svart taggsvamp agg.
Ullticka
Mindre märgborre
Mörk husmossa
Platt fjädermossa
Stubbspretmossa
Blåsippa</t>
        </is>
      </c>
      <c r="S76">
        <f>HYPERLINK("https://klasma.github.io/Logging_0319/artfynd/A 51149-2025 artfynd.xlsx", "A 51149-2025")</f>
        <v/>
      </c>
      <c r="T76">
        <f>HYPERLINK("https://klasma.github.io/Logging_0319/kartor/A 51149-2025 karta.png", "A 51149-2025")</f>
        <v/>
      </c>
      <c r="V76">
        <f>HYPERLINK("https://klasma.github.io/Logging_0319/klagomål/A 51149-2025 FSC-klagomål.docx", "A 51149-2025")</f>
        <v/>
      </c>
      <c r="W76">
        <f>HYPERLINK("https://klasma.github.io/Logging_0319/klagomålsmail/A 51149-2025 FSC-klagomål mail.docx", "A 51149-2025")</f>
        <v/>
      </c>
      <c r="X76">
        <f>HYPERLINK("https://klasma.github.io/Logging_0319/tillsyn/A 51149-2025 tillsynsbegäran.docx", "A 51149-2025")</f>
        <v/>
      </c>
      <c r="Y76">
        <f>HYPERLINK("https://klasma.github.io/Logging_0319/tillsynsmail/A 51149-2025 tillsynsbegäran mail.docx", "A 51149-2025")</f>
        <v/>
      </c>
    </row>
    <row r="77" ht="15" customHeight="1">
      <c r="A77" t="inlineStr">
        <is>
          <t>A 26460-2023</t>
        </is>
      </c>
      <c r="B77" s="1" t="n">
        <v>45092</v>
      </c>
      <c r="C77" s="1" t="n">
        <v>46098</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27330-2025</t>
        </is>
      </c>
      <c r="B78" s="1" t="n">
        <v>45812.60934027778</v>
      </c>
      <c r="C78" s="1" t="n">
        <v>46098</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60805-2022</t>
        </is>
      </c>
      <c r="B79" s="1" t="n">
        <v>44914</v>
      </c>
      <c r="C79" s="1" t="n">
        <v>46098</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25608-2025</t>
        </is>
      </c>
      <c r="B80" s="1" t="n">
        <v>45803.55535879629</v>
      </c>
      <c r="C80" s="1" t="n">
        <v>46098</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55518-2024</t>
        </is>
      </c>
      <c r="B81" s="1" t="n">
        <v>45622</v>
      </c>
      <c r="C81" s="1" t="n">
        <v>46098</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34459-2022</t>
        </is>
      </c>
      <c r="B82" s="1" t="n">
        <v>44792</v>
      </c>
      <c r="C82" s="1" t="n">
        <v>46098</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43725-2023</t>
        </is>
      </c>
      <c r="B83" s="1" t="n">
        <v>45187</v>
      </c>
      <c r="C83" s="1" t="n">
        <v>46098</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61014-2021</t>
        </is>
      </c>
      <c r="B84" s="1" t="n">
        <v>44497</v>
      </c>
      <c r="C84" s="1" t="n">
        <v>46098</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23874-2021</t>
        </is>
      </c>
      <c r="B85" s="1" t="n">
        <v>44335</v>
      </c>
      <c r="C85" s="1" t="n">
        <v>46098</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20993-2025</t>
        </is>
      </c>
      <c r="B86" s="1" t="n">
        <v>45777</v>
      </c>
      <c r="C86" s="1" t="n">
        <v>46098</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20993-2025 artfynd.xlsx", "A 20993-2025")</f>
        <v/>
      </c>
      <c r="T86">
        <f>HYPERLINK("https://klasma.github.io/Logging_0331/kartor/A 20993-2025 karta.png", "A 20993-2025")</f>
        <v/>
      </c>
      <c r="U86">
        <f>HYPERLINK("https://klasma.github.io/Logging_0331/knärot/A 20993-2025 karta knärot.png", "A 20993-2025")</f>
        <v/>
      </c>
      <c r="V86">
        <f>HYPERLINK("https://klasma.github.io/Logging_0331/klagomål/A 20993-2025 FSC-klagomål.docx", "A 20993-2025")</f>
        <v/>
      </c>
      <c r="W86">
        <f>HYPERLINK("https://klasma.github.io/Logging_0331/klagomålsmail/A 20993-2025 FSC-klagomål mail.docx", "A 20993-2025")</f>
        <v/>
      </c>
      <c r="X86">
        <f>HYPERLINK("https://klasma.github.io/Logging_0331/tillsyn/A 20993-2025 tillsynsbegäran.docx", "A 20993-2025")</f>
        <v/>
      </c>
      <c r="Y86">
        <f>HYPERLINK("https://klasma.github.io/Logging_0331/tillsynsmail/A 20993-2025 tillsynsbegäran mail.docx", "A 20993-2025")</f>
        <v/>
      </c>
      <c r="Z86">
        <f>HYPERLINK("https://klasma.github.io/Logging_0331/fåglar/A 20993-2025 prioriterade fågelarter.docx", "A 20993-2025")</f>
        <v/>
      </c>
    </row>
    <row r="87" ht="15" customHeight="1">
      <c r="A87" t="inlineStr">
        <is>
          <t>A 58464-2025</t>
        </is>
      </c>
      <c r="B87" s="1" t="n">
        <v>45985.6365625</v>
      </c>
      <c r="C87" s="1" t="n">
        <v>46098</v>
      </c>
      <c r="D87" t="inlineStr">
        <is>
          <t>UPPSALA LÄN</t>
        </is>
      </c>
      <c r="E87" t="inlineStr">
        <is>
          <t>TIERP</t>
        </is>
      </c>
      <c r="F87" t="inlineStr">
        <is>
          <t>Bergvik skog öst AB</t>
        </is>
      </c>
      <c r="G87" t="n">
        <v>19.9</v>
      </c>
      <c r="H87" t="n">
        <v>5</v>
      </c>
      <c r="I87" t="n">
        <v>3</v>
      </c>
      <c r="J87" t="n">
        <v>2</v>
      </c>
      <c r="K87" t="n">
        <v>0</v>
      </c>
      <c r="L87" t="n">
        <v>0</v>
      </c>
      <c r="M87" t="n">
        <v>0</v>
      </c>
      <c r="N87" t="n">
        <v>0</v>
      </c>
      <c r="O87" t="n">
        <v>2</v>
      </c>
      <c r="P87" t="n">
        <v>0</v>
      </c>
      <c r="Q87" t="n">
        <v>7</v>
      </c>
      <c r="R87" s="2" t="inlineStr">
        <is>
          <t>Rödvingetrast
Skräntärna
Myskmadra
Skogsknipprot
Svart trolldruva
Grönsiska
Mindre flugsnappare</t>
        </is>
      </c>
      <c r="S87">
        <f>HYPERLINK("https://klasma.github.io/Logging_0360/artfynd/A 58464-2025 artfynd.xlsx", "A 58464-2025")</f>
        <v/>
      </c>
      <c r="T87">
        <f>HYPERLINK("https://klasma.github.io/Logging_0360/kartor/A 58464-2025 karta.png", "A 58464-2025")</f>
        <v/>
      </c>
      <c r="V87">
        <f>HYPERLINK("https://klasma.github.io/Logging_0360/klagomål/A 58464-2025 FSC-klagomål.docx", "A 58464-2025")</f>
        <v/>
      </c>
      <c r="W87">
        <f>HYPERLINK("https://klasma.github.io/Logging_0360/klagomålsmail/A 58464-2025 FSC-klagomål mail.docx", "A 58464-2025")</f>
        <v/>
      </c>
      <c r="X87">
        <f>HYPERLINK("https://klasma.github.io/Logging_0360/tillsyn/A 58464-2025 tillsynsbegäran.docx", "A 58464-2025")</f>
        <v/>
      </c>
      <c r="Y87">
        <f>HYPERLINK("https://klasma.github.io/Logging_0360/tillsynsmail/A 58464-2025 tillsynsbegäran mail.docx", "A 58464-2025")</f>
        <v/>
      </c>
      <c r="Z87">
        <f>HYPERLINK("https://klasma.github.io/Logging_0360/fåglar/A 58464-2025 prioriterade fågelarter.docx", "A 58464-2025")</f>
        <v/>
      </c>
    </row>
    <row r="88" ht="15" customHeight="1">
      <c r="A88" t="inlineStr">
        <is>
          <t>A 221-2025</t>
        </is>
      </c>
      <c r="B88" s="1" t="n">
        <v>45660</v>
      </c>
      <c r="C88" s="1" t="n">
        <v>46098</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20980-2025</t>
        </is>
      </c>
      <c r="B89" s="1" t="n">
        <v>45777</v>
      </c>
      <c r="C89" s="1" t="n">
        <v>46098</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63054-2025</t>
        </is>
      </c>
      <c r="B90" s="1" t="n">
        <v>46009</v>
      </c>
      <c r="C90" s="1" t="n">
        <v>46098</v>
      </c>
      <c r="D90" t="inlineStr">
        <is>
          <t>UPPSALA LÄN</t>
        </is>
      </c>
      <c r="E90" t="inlineStr">
        <is>
          <t>ÖSTHAMMAR</t>
        </is>
      </c>
      <c r="F90" t="inlineStr">
        <is>
          <t>Kyrkan</t>
        </is>
      </c>
      <c r="G90" t="n">
        <v>6.5</v>
      </c>
      <c r="H90" t="n">
        <v>2</v>
      </c>
      <c r="I90" t="n">
        <v>2</v>
      </c>
      <c r="J90" t="n">
        <v>3</v>
      </c>
      <c r="K90" t="n">
        <v>1</v>
      </c>
      <c r="L90" t="n">
        <v>0</v>
      </c>
      <c r="M90" t="n">
        <v>0</v>
      </c>
      <c r="N90" t="n">
        <v>0</v>
      </c>
      <c r="O90" t="n">
        <v>4</v>
      </c>
      <c r="P90" t="n">
        <v>1</v>
      </c>
      <c r="Q90" t="n">
        <v>7</v>
      </c>
      <c r="R90" s="2" t="inlineStr">
        <is>
          <t>Knärot
Gultoppig fingersvamp
Kortskaftad ärgspik
Vedtrappmossa
Fjällig taggsvamp s.str.
Svavelriska
Blåsippa</t>
        </is>
      </c>
      <c r="S90">
        <f>HYPERLINK("https://klasma.github.io/Logging_0382/artfynd/A 63054-2025 artfynd.xlsx", "A 63054-2025")</f>
        <v/>
      </c>
      <c r="T90">
        <f>HYPERLINK("https://klasma.github.io/Logging_0382/kartor/A 63054-2025 karta.png", "A 63054-2025")</f>
        <v/>
      </c>
      <c r="U90">
        <f>HYPERLINK("https://klasma.github.io/Logging_0382/knärot/A 63054-2025 karta knärot.png", "A 63054-2025")</f>
        <v/>
      </c>
      <c r="V90">
        <f>HYPERLINK("https://klasma.github.io/Logging_0382/klagomål/A 63054-2025 FSC-klagomål.docx", "A 63054-2025")</f>
        <v/>
      </c>
      <c r="W90">
        <f>HYPERLINK("https://klasma.github.io/Logging_0382/klagomålsmail/A 63054-2025 FSC-klagomål mail.docx", "A 63054-2025")</f>
        <v/>
      </c>
      <c r="X90">
        <f>HYPERLINK("https://klasma.github.io/Logging_0382/tillsyn/A 63054-2025 tillsynsbegäran.docx", "A 63054-2025")</f>
        <v/>
      </c>
      <c r="Y90">
        <f>HYPERLINK("https://klasma.github.io/Logging_0382/tillsynsmail/A 63054-2025 tillsynsbegäran mail.docx", "A 63054-2025")</f>
        <v/>
      </c>
    </row>
    <row r="91" ht="15" customHeight="1">
      <c r="A91" t="inlineStr">
        <is>
          <t>A 59539-2025</t>
        </is>
      </c>
      <c r="B91" s="1" t="n">
        <v>45989.96633101852</v>
      </c>
      <c r="C91" s="1" t="n">
        <v>46098</v>
      </c>
      <c r="D91" t="inlineStr">
        <is>
          <t>UPPSALA LÄN</t>
        </is>
      </c>
      <c r="E91" t="inlineStr">
        <is>
          <t>UPPSALA</t>
        </is>
      </c>
      <c r="G91" t="n">
        <v>3.3</v>
      </c>
      <c r="H91" t="n">
        <v>4</v>
      </c>
      <c r="I91" t="n">
        <v>1</v>
      </c>
      <c r="J91" t="n">
        <v>4</v>
      </c>
      <c r="K91" t="n">
        <v>1</v>
      </c>
      <c r="L91" t="n">
        <v>0</v>
      </c>
      <c r="M91" t="n">
        <v>0</v>
      </c>
      <c r="N91" t="n">
        <v>0</v>
      </c>
      <c r="O91" t="n">
        <v>5</v>
      </c>
      <c r="P91" t="n">
        <v>1</v>
      </c>
      <c r="Q91" t="n">
        <v>7</v>
      </c>
      <c r="R91" s="2" t="inlineStr">
        <is>
          <t>Knärot
Spillkråka
Tallticka
Talltita
Ullticka
Björksplintborre
Revlummer</t>
        </is>
      </c>
      <c r="S91">
        <f>HYPERLINK("https://klasma.github.io/Logging_0380/artfynd/A 59539-2025 artfynd.xlsx", "A 59539-2025")</f>
        <v/>
      </c>
      <c r="T91">
        <f>HYPERLINK("https://klasma.github.io/Logging_0380/kartor/A 59539-2025 karta.png", "A 59539-2025")</f>
        <v/>
      </c>
      <c r="U91">
        <f>HYPERLINK("https://klasma.github.io/Logging_0380/knärot/A 59539-2025 karta knärot.png", "A 59539-2025")</f>
        <v/>
      </c>
      <c r="V91">
        <f>HYPERLINK("https://klasma.github.io/Logging_0380/klagomål/A 59539-2025 FSC-klagomål.docx", "A 59539-2025")</f>
        <v/>
      </c>
      <c r="W91">
        <f>HYPERLINK("https://klasma.github.io/Logging_0380/klagomålsmail/A 59539-2025 FSC-klagomål mail.docx", "A 59539-2025")</f>
        <v/>
      </c>
      <c r="X91">
        <f>HYPERLINK("https://klasma.github.io/Logging_0380/tillsyn/A 59539-2025 tillsynsbegäran.docx", "A 59539-2025")</f>
        <v/>
      </c>
      <c r="Y91">
        <f>HYPERLINK("https://klasma.github.io/Logging_0380/tillsynsmail/A 59539-2025 tillsynsbegäran mail.docx", "A 59539-2025")</f>
        <v/>
      </c>
      <c r="Z91">
        <f>HYPERLINK("https://klasma.github.io/Logging_0380/fåglar/A 59539-2025 prioriterade fågelarter.docx", "A 59539-2025")</f>
        <v/>
      </c>
    </row>
    <row r="92" ht="15" customHeight="1">
      <c r="A92" t="inlineStr">
        <is>
          <t>A 9569-2026</t>
        </is>
      </c>
      <c r="B92" s="1" t="n">
        <v>46071.65847222223</v>
      </c>
      <c r="C92" s="1" t="n">
        <v>46098</v>
      </c>
      <c r="D92" t="inlineStr">
        <is>
          <t>UPPSALA LÄN</t>
        </is>
      </c>
      <c r="E92" t="inlineStr">
        <is>
          <t>ÖSTHAMMAR</t>
        </is>
      </c>
      <c r="G92" t="n">
        <v>1.4</v>
      </c>
      <c r="H92" t="n">
        <v>0</v>
      </c>
      <c r="I92" t="n">
        <v>4</v>
      </c>
      <c r="J92" t="n">
        <v>1</v>
      </c>
      <c r="K92" t="n">
        <v>2</v>
      </c>
      <c r="L92" t="n">
        <v>0</v>
      </c>
      <c r="M92" t="n">
        <v>0</v>
      </c>
      <c r="N92" t="n">
        <v>0</v>
      </c>
      <c r="O92" t="n">
        <v>3</v>
      </c>
      <c r="P92" t="n">
        <v>2</v>
      </c>
      <c r="Q92" t="n">
        <v>7</v>
      </c>
      <c r="R92" s="2" t="inlineStr">
        <is>
          <t>Gyllenfingersvamp
Koppartaggsvamp
Äggspindling
Anisspindling
Olivspindling
Skarp dropptaggsvamp
Trådticka</t>
        </is>
      </c>
      <c r="S92">
        <f>HYPERLINK("https://klasma.github.io/Logging_0382/artfynd/A 9569-2026 artfynd.xlsx", "A 9569-2026")</f>
        <v/>
      </c>
      <c r="T92">
        <f>HYPERLINK("https://klasma.github.io/Logging_0382/kartor/A 9569-2026 karta.png", "A 9569-2026")</f>
        <v/>
      </c>
      <c r="V92">
        <f>HYPERLINK("https://klasma.github.io/Logging_0382/klagomål/A 9569-2026 FSC-klagomål.docx", "A 9569-2026")</f>
        <v/>
      </c>
      <c r="W92">
        <f>HYPERLINK("https://klasma.github.io/Logging_0382/klagomålsmail/A 9569-2026 FSC-klagomål mail.docx", "A 9569-2026")</f>
        <v/>
      </c>
      <c r="X92">
        <f>HYPERLINK("https://klasma.github.io/Logging_0382/tillsyn/A 9569-2026 tillsynsbegäran.docx", "A 9569-2026")</f>
        <v/>
      </c>
      <c r="Y92">
        <f>HYPERLINK("https://klasma.github.io/Logging_0382/tillsynsmail/A 9569-2026 tillsynsbegäran mail.docx", "A 9569-2026")</f>
        <v/>
      </c>
    </row>
    <row r="93" ht="15" customHeight="1">
      <c r="A93" t="inlineStr">
        <is>
          <t>A 54339-2025</t>
        </is>
      </c>
      <c r="B93" s="1" t="n">
        <v>45965</v>
      </c>
      <c r="C93" s="1" t="n">
        <v>46098</v>
      </c>
      <c r="D93" t="inlineStr">
        <is>
          <t>UPPSALA LÄN</t>
        </is>
      </c>
      <c r="E93" t="inlineStr">
        <is>
          <t>HEBY</t>
        </is>
      </c>
      <c r="G93" t="n">
        <v>1.2</v>
      </c>
      <c r="H93" t="n">
        <v>3</v>
      </c>
      <c r="I93" t="n">
        <v>3</v>
      </c>
      <c r="J93" t="n">
        <v>2</v>
      </c>
      <c r="K93" t="n">
        <v>1</v>
      </c>
      <c r="L93" t="n">
        <v>0</v>
      </c>
      <c r="M93" t="n">
        <v>0</v>
      </c>
      <c r="N93" t="n">
        <v>0</v>
      </c>
      <c r="O93" t="n">
        <v>3</v>
      </c>
      <c r="P93" t="n">
        <v>1</v>
      </c>
      <c r="Q93" t="n">
        <v>7</v>
      </c>
      <c r="R93" s="2" t="inlineStr">
        <is>
          <t>Knärot
Garnlav
Spillkråka
Bronshjon
Thomsons trägnagare
Vågbandad barkbock
Revlummer</t>
        </is>
      </c>
      <c r="S93">
        <f>HYPERLINK("https://klasma.github.io/Logging_0331/artfynd/A 54339-2025 artfynd.xlsx", "A 54339-2025")</f>
        <v/>
      </c>
      <c r="T93">
        <f>HYPERLINK("https://klasma.github.io/Logging_0331/kartor/A 54339-2025 karta.png", "A 54339-2025")</f>
        <v/>
      </c>
      <c r="U93">
        <f>HYPERLINK("https://klasma.github.io/Logging_0331/knärot/A 54339-2025 karta knärot.png", "A 54339-2025")</f>
        <v/>
      </c>
      <c r="V93">
        <f>HYPERLINK("https://klasma.github.io/Logging_0331/klagomål/A 54339-2025 FSC-klagomål.docx", "A 54339-2025")</f>
        <v/>
      </c>
      <c r="W93">
        <f>HYPERLINK("https://klasma.github.io/Logging_0331/klagomålsmail/A 54339-2025 FSC-klagomål mail.docx", "A 54339-2025")</f>
        <v/>
      </c>
      <c r="X93">
        <f>HYPERLINK("https://klasma.github.io/Logging_0331/tillsyn/A 54339-2025 tillsynsbegäran.docx", "A 54339-2025")</f>
        <v/>
      </c>
      <c r="Y93">
        <f>HYPERLINK("https://klasma.github.io/Logging_0331/tillsynsmail/A 54339-2025 tillsynsbegäran mail.docx", "A 54339-2025")</f>
        <v/>
      </c>
      <c r="Z93">
        <f>HYPERLINK("https://klasma.github.io/Logging_0331/fåglar/A 54339-2025 prioriterade fågelarter.docx", "A 54339-2025")</f>
        <v/>
      </c>
    </row>
    <row r="94" ht="15" customHeight="1">
      <c r="A94" t="inlineStr">
        <is>
          <t>A 6180-2026</t>
        </is>
      </c>
      <c r="B94" s="1" t="n">
        <v>46055.35829861111</v>
      </c>
      <c r="C94" s="1" t="n">
        <v>46098</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31018-2023</t>
        </is>
      </c>
      <c r="B95" s="1" t="n">
        <v>45113</v>
      </c>
      <c r="C95" s="1" t="n">
        <v>46098</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49910-2022</t>
        </is>
      </c>
      <c r="B96" s="1" t="n">
        <v>44865</v>
      </c>
      <c r="C96" s="1" t="n">
        <v>46098</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3954-2025</t>
        </is>
      </c>
      <c r="B97" s="1" t="n">
        <v>45684</v>
      </c>
      <c r="C97" s="1" t="n">
        <v>46098</v>
      </c>
      <c r="D97" t="inlineStr">
        <is>
          <t>UPPSALA LÄN</t>
        </is>
      </c>
      <c r="E97" t="inlineStr">
        <is>
          <t>ÄLVKARLEBY</t>
        </is>
      </c>
      <c r="G97" t="n">
        <v>5.5</v>
      </c>
      <c r="H97" t="n">
        <v>1</v>
      </c>
      <c r="I97" t="n">
        <v>1</v>
      </c>
      <c r="J97" t="n">
        <v>5</v>
      </c>
      <c r="K97" t="n">
        <v>0</v>
      </c>
      <c r="L97" t="n">
        <v>0</v>
      </c>
      <c r="M97" t="n">
        <v>0</v>
      </c>
      <c r="N97" t="n">
        <v>0</v>
      </c>
      <c r="O97" t="n">
        <v>5</v>
      </c>
      <c r="P97" t="n">
        <v>0</v>
      </c>
      <c r="Q97" t="n">
        <v>7</v>
      </c>
      <c r="R97" s="2" t="inlineStr">
        <is>
          <t>Backklöver
Flentimotej
Sandviol
Slåtterfibbla
Vanlig sandviol
Igelkottsröksvamp
Revlummer</t>
        </is>
      </c>
      <c r="S97">
        <f>HYPERLINK("https://klasma.github.io/Logging_0319/artfynd/A 3954-2025 artfynd.xlsx", "A 3954-2025")</f>
        <v/>
      </c>
      <c r="T97">
        <f>HYPERLINK("https://klasma.github.io/Logging_0319/kartor/A 3954-2025 karta.png", "A 3954-2025")</f>
        <v/>
      </c>
      <c r="V97">
        <f>HYPERLINK("https://klasma.github.io/Logging_0319/klagomål/A 3954-2025 FSC-klagomål.docx", "A 3954-2025")</f>
        <v/>
      </c>
      <c r="W97">
        <f>HYPERLINK("https://klasma.github.io/Logging_0319/klagomålsmail/A 3954-2025 FSC-klagomål mail.docx", "A 3954-2025")</f>
        <v/>
      </c>
      <c r="X97">
        <f>HYPERLINK("https://klasma.github.io/Logging_0319/tillsyn/A 3954-2025 tillsynsbegäran.docx", "A 3954-2025")</f>
        <v/>
      </c>
      <c r="Y97">
        <f>HYPERLINK("https://klasma.github.io/Logging_0319/tillsynsmail/A 3954-2025 tillsynsbegäran mail.docx", "A 3954-2025")</f>
        <v/>
      </c>
    </row>
    <row r="98" ht="15" customHeight="1">
      <c r="A98" t="inlineStr">
        <is>
          <t>A 21038-2023</t>
        </is>
      </c>
      <c r="B98" s="1" t="n">
        <v>45061</v>
      </c>
      <c r="C98" s="1" t="n">
        <v>46098</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16239-2025</t>
        </is>
      </c>
      <c r="B99" s="1" t="n">
        <v>45746</v>
      </c>
      <c r="C99" s="1" t="n">
        <v>46098</v>
      </c>
      <c r="D99" t="inlineStr">
        <is>
          <t>UPPSALA LÄN</t>
        </is>
      </c>
      <c r="E99" t="inlineStr">
        <is>
          <t>ÖSTHAMMAR</t>
        </is>
      </c>
      <c r="G99" t="n">
        <v>6.9</v>
      </c>
      <c r="H99" t="n">
        <v>5</v>
      </c>
      <c r="I99" t="n">
        <v>3</v>
      </c>
      <c r="J99" t="n">
        <v>2</v>
      </c>
      <c r="K99" t="n">
        <v>1</v>
      </c>
      <c r="L99" t="n">
        <v>0</v>
      </c>
      <c r="M99" t="n">
        <v>0</v>
      </c>
      <c r="N99" t="n">
        <v>0</v>
      </c>
      <c r="O99" t="n">
        <v>3</v>
      </c>
      <c r="P99" t="n">
        <v>1</v>
      </c>
      <c r="Q99" t="n">
        <v>7</v>
      </c>
      <c r="R99" s="2" t="inlineStr">
        <is>
          <t>Knärot
Talltita
Ullticka
Grön sköldmossa
Grönpyrola
Nästrot
Blåsippa</t>
        </is>
      </c>
      <c r="S99">
        <f>HYPERLINK("https://klasma.github.io/Logging_0382/artfynd/A 16239-2025 artfynd.xlsx", "A 16239-2025")</f>
        <v/>
      </c>
      <c r="T99">
        <f>HYPERLINK("https://klasma.github.io/Logging_0382/kartor/A 16239-2025 karta.png", "A 16239-2025")</f>
        <v/>
      </c>
      <c r="U99">
        <f>HYPERLINK("https://klasma.github.io/Logging_0382/knärot/A 16239-2025 karta knärot.png", "A 16239-2025")</f>
        <v/>
      </c>
      <c r="V99">
        <f>HYPERLINK("https://klasma.github.io/Logging_0382/klagomål/A 16239-2025 FSC-klagomål.docx", "A 16239-2025")</f>
        <v/>
      </c>
      <c r="W99">
        <f>HYPERLINK("https://klasma.github.io/Logging_0382/klagomålsmail/A 16239-2025 FSC-klagomål mail.docx", "A 16239-2025")</f>
        <v/>
      </c>
      <c r="X99">
        <f>HYPERLINK("https://klasma.github.io/Logging_0382/tillsyn/A 16239-2025 tillsynsbegäran.docx", "A 16239-2025")</f>
        <v/>
      </c>
      <c r="Y99">
        <f>HYPERLINK("https://klasma.github.io/Logging_0382/tillsynsmail/A 16239-2025 tillsynsbegäran mail.docx", "A 16239-2025")</f>
        <v/>
      </c>
      <c r="Z99">
        <f>HYPERLINK("https://klasma.github.io/Logging_0382/fåglar/A 16239-2025 prioriterade fågelarter.docx", "A 16239-2025")</f>
        <v/>
      </c>
    </row>
    <row r="100" ht="15" customHeight="1">
      <c r="A100" t="inlineStr">
        <is>
          <t>A 16242-2025</t>
        </is>
      </c>
      <c r="B100" s="1" t="n">
        <v>45746</v>
      </c>
      <c r="C100" s="1" t="n">
        <v>46098</v>
      </c>
      <c r="D100" t="inlineStr">
        <is>
          <t>UPPSALA LÄN</t>
        </is>
      </c>
      <c r="E100" t="inlineStr">
        <is>
          <t>ÖSTHAMMAR</t>
        </is>
      </c>
      <c r="G100" t="n">
        <v>28</v>
      </c>
      <c r="H100" t="n">
        <v>3</v>
      </c>
      <c r="I100" t="n">
        <v>3</v>
      </c>
      <c r="J100" t="n">
        <v>3</v>
      </c>
      <c r="K100" t="n">
        <v>0</v>
      </c>
      <c r="L100" t="n">
        <v>0</v>
      </c>
      <c r="M100" t="n">
        <v>0</v>
      </c>
      <c r="N100" t="n">
        <v>0</v>
      </c>
      <c r="O100" t="n">
        <v>3</v>
      </c>
      <c r="P100" t="n">
        <v>0</v>
      </c>
      <c r="Q100" t="n">
        <v>7</v>
      </c>
      <c r="R100" s="2" t="inlineStr">
        <is>
          <t>Spillkråka
Ullticka
Vedtrappmossa
Grön sköldmossa
Jättesvampmal
Vågbandad barkbock
Blåsippa</t>
        </is>
      </c>
      <c r="S100">
        <f>HYPERLINK("https://klasma.github.io/Logging_0382/artfynd/A 16242-2025 artfynd.xlsx", "A 16242-2025")</f>
        <v/>
      </c>
      <c r="T100">
        <f>HYPERLINK("https://klasma.github.io/Logging_0382/kartor/A 16242-2025 karta.png", "A 16242-2025")</f>
        <v/>
      </c>
      <c r="V100">
        <f>HYPERLINK("https://klasma.github.io/Logging_0382/klagomål/A 16242-2025 FSC-klagomål.docx", "A 16242-2025")</f>
        <v/>
      </c>
      <c r="W100">
        <f>HYPERLINK("https://klasma.github.io/Logging_0382/klagomålsmail/A 16242-2025 FSC-klagomål mail.docx", "A 16242-2025")</f>
        <v/>
      </c>
      <c r="X100">
        <f>HYPERLINK("https://klasma.github.io/Logging_0382/tillsyn/A 16242-2025 tillsynsbegäran.docx", "A 16242-2025")</f>
        <v/>
      </c>
      <c r="Y100">
        <f>HYPERLINK("https://klasma.github.io/Logging_0382/tillsynsmail/A 16242-2025 tillsynsbegäran mail.docx", "A 16242-2025")</f>
        <v/>
      </c>
      <c r="Z100">
        <f>HYPERLINK("https://klasma.github.io/Logging_0382/fåglar/A 16242-2025 prioriterade fågelarter.docx", "A 16242-2025")</f>
        <v/>
      </c>
    </row>
    <row r="101" ht="15" customHeight="1">
      <c r="A101" t="inlineStr">
        <is>
          <t>A 35911-2021</t>
        </is>
      </c>
      <c r="B101" s="1" t="n">
        <v>44387</v>
      </c>
      <c r="C101" s="1" t="n">
        <v>46098</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46098</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8753-2022</t>
        </is>
      </c>
      <c r="B103" s="1" t="n">
        <v>44614</v>
      </c>
      <c r="C103" s="1" t="n">
        <v>46098</v>
      </c>
      <c r="D103" t="inlineStr">
        <is>
          <t>UPPSALA LÄN</t>
        </is>
      </c>
      <c r="E103" t="inlineStr">
        <is>
          <t>ÖSTHAMMAR</t>
        </is>
      </c>
      <c r="G103" t="n">
        <v>5.3</v>
      </c>
      <c r="H103" t="n">
        <v>0</v>
      </c>
      <c r="I103" t="n">
        <v>4</v>
      </c>
      <c r="J103" t="n">
        <v>0</v>
      </c>
      <c r="K103" t="n">
        <v>2</v>
      </c>
      <c r="L103" t="n">
        <v>0</v>
      </c>
      <c r="M103" t="n">
        <v>0</v>
      </c>
      <c r="N103" t="n">
        <v>0</v>
      </c>
      <c r="O103" t="n">
        <v>2</v>
      </c>
      <c r="P103" t="n">
        <v>2</v>
      </c>
      <c r="Q103" t="n">
        <v>6</v>
      </c>
      <c r="R103" s="2" t="inlineStr">
        <is>
          <t>Gyllenspindling
Spricktaggsvamp
Kattfotslav
Olivspindling
Skarp dropptaggsvamp
Svavelriska</t>
        </is>
      </c>
      <c r="S103">
        <f>HYPERLINK("https://klasma.github.io/Logging_0382/artfynd/A 8753-2022 artfynd.xlsx", "A 8753-2022")</f>
        <v/>
      </c>
      <c r="T103">
        <f>HYPERLINK("https://klasma.github.io/Logging_0382/kartor/A 8753-2022 karta.png", "A 8753-2022")</f>
        <v/>
      </c>
      <c r="V103">
        <f>HYPERLINK("https://klasma.github.io/Logging_0382/klagomål/A 8753-2022 FSC-klagomål.docx", "A 8753-2022")</f>
        <v/>
      </c>
      <c r="W103">
        <f>HYPERLINK("https://klasma.github.io/Logging_0382/klagomålsmail/A 8753-2022 FSC-klagomål mail.docx", "A 8753-2022")</f>
        <v/>
      </c>
      <c r="X103">
        <f>HYPERLINK("https://klasma.github.io/Logging_0382/tillsyn/A 8753-2022 tillsynsbegäran.docx", "A 8753-2022")</f>
        <v/>
      </c>
      <c r="Y103">
        <f>HYPERLINK("https://klasma.github.io/Logging_0382/tillsynsmail/A 8753-2022 tillsynsbegäran mail.docx", "A 8753-2022")</f>
        <v/>
      </c>
    </row>
    <row r="104" ht="15" customHeight="1">
      <c r="A104" t="inlineStr">
        <is>
          <t>A 32140-2022</t>
        </is>
      </c>
      <c r="B104" s="1" t="n">
        <v>44779</v>
      </c>
      <c r="C104" s="1" t="n">
        <v>46098</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22010-2025</t>
        </is>
      </c>
      <c r="B105" s="1" t="n">
        <v>45784.72858796296</v>
      </c>
      <c r="C105" s="1" t="n">
        <v>46098</v>
      </c>
      <c r="D105" t="inlineStr">
        <is>
          <t>UPPSALA LÄN</t>
        </is>
      </c>
      <c r="E105" t="inlineStr">
        <is>
          <t>HÅBO</t>
        </is>
      </c>
      <c r="F105" t="inlineStr">
        <is>
          <t>Kyrkan</t>
        </is>
      </c>
      <c r="G105" t="n">
        <v>2.8</v>
      </c>
      <c r="H105" t="n">
        <v>1</v>
      </c>
      <c r="I105" t="n">
        <v>1</v>
      </c>
      <c r="J105" t="n">
        <v>4</v>
      </c>
      <c r="K105" t="n">
        <v>1</v>
      </c>
      <c r="L105" t="n">
        <v>0</v>
      </c>
      <c r="M105" t="n">
        <v>0</v>
      </c>
      <c r="N105" t="n">
        <v>0</v>
      </c>
      <c r="O105" t="n">
        <v>5</v>
      </c>
      <c r="P105" t="n">
        <v>1</v>
      </c>
      <c r="Q105" t="n">
        <v>6</v>
      </c>
      <c r="R105" s="2" t="inlineStr">
        <is>
          <t>Backsippa
Axveronika
Backtimjan
Flentimotej
Sminkrot
Vårärt</t>
        </is>
      </c>
      <c r="S105">
        <f>HYPERLINK("https://klasma.github.io/Logging_0305/artfynd/A 22010-2025 artfynd.xlsx", "A 22010-2025")</f>
        <v/>
      </c>
      <c r="T105">
        <f>HYPERLINK("https://klasma.github.io/Logging_0305/kartor/A 22010-2025 karta.png", "A 22010-2025")</f>
        <v/>
      </c>
      <c r="V105">
        <f>HYPERLINK("https://klasma.github.io/Logging_0305/klagomål/A 22010-2025 FSC-klagomål.docx", "A 22010-2025")</f>
        <v/>
      </c>
      <c r="W105">
        <f>HYPERLINK("https://klasma.github.io/Logging_0305/klagomålsmail/A 22010-2025 FSC-klagomål mail.docx", "A 22010-2025")</f>
        <v/>
      </c>
      <c r="X105">
        <f>HYPERLINK("https://klasma.github.io/Logging_0305/tillsyn/A 22010-2025 tillsynsbegäran.docx", "A 22010-2025")</f>
        <v/>
      </c>
      <c r="Y105">
        <f>HYPERLINK("https://klasma.github.io/Logging_0305/tillsynsmail/A 22010-2025 tillsynsbegäran mail.docx", "A 22010-2025")</f>
        <v/>
      </c>
    </row>
    <row r="106" ht="15" customHeight="1">
      <c r="A106" t="inlineStr">
        <is>
          <t>A 18037-2021</t>
        </is>
      </c>
      <c r="B106" s="1" t="n">
        <v>44301</v>
      </c>
      <c r="C106" s="1" t="n">
        <v>46098</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26681-2025</t>
        </is>
      </c>
      <c r="B107" s="1" t="n">
        <v>45810.42891203704</v>
      </c>
      <c r="C107" s="1" t="n">
        <v>46098</v>
      </c>
      <c r="D107" t="inlineStr">
        <is>
          <t>UPPSALA LÄN</t>
        </is>
      </c>
      <c r="E107" t="inlineStr">
        <is>
          <t>ÄLVKARLEBY</t>
        </is>
      </c>
      <c r="F107" t="inlineStr">
        <is>
          <t>Bergvik skog väst AB</t>
        </is>
      </c>
      <c r="G107" t="n">
        <v>3.4</v>
      </c>
      <c r="H107" t="n">
        <v>4</v>
      </c>
      <c r="I107" t="n">
        <v>4</v>
      </c>
      <c r="J107" t="n">
        <v>0</v>
      </c>
      <c r="K107" t="n">
        <v>0</v>
      </c>
      <c r="L107" t="n">
        <v>1</v>
      </c>
      <c r="M107" t="n">
        <v>0</v>
      </c>
      <c r="N107" t="n">
        <v>0</v>
      </c>
      <c r="O107" t="n">
        <v>1</v>
      </c>
      <c r="P107" t="n">
        <v>1</v>
      </c>
      <c r="Q107" t="n">
        <v>6</v>
      </c>
      <c r="R107" s="2" t="inlineStr">
        <is>
          <t>Ask
Nästrot
Skogsknipprot
Tibast
Tvåblad
Gullviva</t>
        </is>
      </c>
      <c r="S107">
        <f>HYPERLINK("https://klasma.github.io/Logging_0319/artfynd/A 26681-2025 artfynd.xlsx", "A 26681-2025")</f>
        <v/>
      </c>
      <c r="T107">
        <f>HYPERLINK("https://klasma.github.io/Logging_0319/kartor/A 26681-2025 karta.png", "A 26681-2025")</f>
        <v/>
      </c>
      <c r="V107">
        <f>HYPERLINK("https://klasma.github.io/Logging_0319/klagomål/A 26681-2025 FSC-klagomål.docx", "A 26681-2025")</f>
        <v/>
      </c>
      <c r="W107">
        <f>HYPERLINK("https://klasma.github.io/Logging_0319/klagomålsmail/A 26681-2025 FSC-klagomål mail.docx", "A 26681-2025")</f>
        <v/>
      </c>
      <c r="X107">
        <f>HYPERLINK("https://klasma.github.io/Logging_0319/tillsyn/A 26681-2025 tillsynsbegäran.docx", "A 26681-2025")</f>
        <v/>
      </c>
      <c r="Y107">
        <f>HYPERLINK("https://klasma.github.io/Logging_0319/tillsynsmail/A 26681-2025 tillsynsbegäran mail.docx", "A 26681-2025")</f>
        <v/>
      </c>
    </row>
    <row r="108" ht="15" customHeight="1">
      <c r="A108" t="inlineStr">
        <is>
          <t>A 56363-2025</t>
        </is>
      </c>
      <c r="B108" s="1" t="n">
        <v>45974.6671412037</v>
      </c>
      <c r="C108" s="1" t="n">
        <v>46098</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49888-2025</t>
        </is>
      </c>
      <c r="B109" s="1" t="n">
        <v>45940.57412037037</v>
      </c>
      <c r="C109" s="1" t="n">
        <v>46098</v>
      </c>
      <c r="D109" t="inlineStr">
        <is>
          <t>UPPSALA LÄN</t>
        </is>
      </c>
      <c r="E109" t="inlineStr">
        <is>
          <t>TIERP</t>
        </is>
      </c>
      <c r="F109" t="inlineStr">
        <is>
          <t>Bergvik skog öst AB</t>
        </is>
      </c>
      <c r="G109" t="n">
        <v>2.2</v>
      </c>
      <c r="H109" t="n">
        <v>4</v>
      </c>
      <c r="I109" t="n">
        <v>3</v>
      </c>
      <c r="J109" t="n">
        <v>1</v>
      </c>
      <c r="K109" t="n">
        <v>1</v>
      </c>
      <c r="L109" t="n">
        <v>0</v>
      </c>
      <c r="M109" t="n">
        <v>0</v>
      </c>
      <c r="N109" t="n">
        <v>0</v>
      </c>
      <c r="O109" t="n">
        <v>2</v>
      </c>
      <c r="P109" t="n">
        <v>1</v>
      </c>
      <c r="Q109" t="n">
        <v>6</v>
      </c>
      <c r="R109" s="2" t="inlineStr">
        <is>
          <t>Rynkskinn
Spillkråka
Grön sköldmossa
Skogsknipprot
Stubbspretmossa
Blåsippa</t>
        </is>
      </c>
      <c r="S109">
        <f>HYPERLINK("https://klasma.github.io/Logging_0360/artfynd/A 49888-2025 artfynd.xlsx", "A 49888-2025")</f>
        <v/>
      </c>
      <c r="T109">
        <f>HYPERLINK("https://klasma.github.io/Logging_0360/kartor/A 49888-2025 karta.png", "A 49888-2025")</f>
        <v/>
      </c>
      <c r="V109">
        <f>HYPERLINK("https://klasma.github.io/Logging_0360/klagomål/A 49888-2025 FSC-klagomål.docx", "A 49888-2025")</f>
        <v/>
      </c>
      <c r="W109">
        <f>HYPERLINK("https://klasma.github.io/Logging_0360/klagomålsmail/A 49888-2025 FSC-klagomål mail.docx", "A 49888-2025")</f>
        <v/>
      </c>
      <c r="X109">
        <f>HYPERLINK("https://klasma.github.io/Logging_0360/tillsyn/A 49888-2025 tillsynsbegäran.docx", "A 49888-2025")</f>
        <v/>
      </c>
      <c r="Y109">
        <f>HYPERLINK("https://klasma.github.io/Logging_0360/tillsynsmail/A 49888-2025 tillsynsbegäran mail.docx", "A 49888-2025")</f>
        <v/>
      </c>
      <c r="Z109">
        <f>HYPERLINK("https://klasma.github.io/Logging_0360/fåglar/A 49888-2025 prioriterade fågelarter.docx", "A 49888-2025")</f>
        <v/>
      </c>
    </row>
    <row r="110" ht="15" customHeight="1">
      <c r="A110" t="inlineStr">
        <is>
          <t>A 56955-2025</t>
        </is>
      </c>
      <c r="B110" s="1" t="n">
        <v>45978.65361111111</v>
      </c>
      <c r="C110" s="1" t="n">
        <v>46098</v>
      </c>
      <c r="D110" t="inlineStr">
        <is>
          <t>UPPSALA LÄN</t>
        </is>
      </c>
      <c r="E110" t="inlineStr">
        <is>
          <t>TIERP</t>
        </is>
      </c>
      <c r="F110" t="inlineStr">
        <is>
          <t>Bergvik skog öst AB</t>
        </is>
      </c>
      <c r="G110" t="n">
        <v>3.6</v>
      </c>
      <c r="H110" t="n">
        <v>5</v>
      </c>
      <c r="I110" t="n">
        <v>2</v>
      </c>
      <c r="J110" t="n">
        <v>2</v>
      </c>
      <c r="K110" t="n">
        <v>1</v>
      </c>
      <c r="L110" t="n">
        <v>0</v>
      </c>
      <c r="M110" t="n">
        <v>0</v>
      </c>
      <c r="N110" t="n">
        <v>0</v>
      </c>
      <c r="O110" t="n">
        <v>3</v>
      </c>
      <c r="P110" t="n">
        <v>1</v>
      </c>
      <c r="Q110" t="n">
        <v>6</v>
      </c>
      <c r="R110" s="2" t="inlineStr">
        <is>
          <t>Knärot
Spillkråka
Talltita
Grön sköldmossa
Rödgul trumpetsvamp
Revlummer</t>
        </is>
      </c>
      <c r="S110">
        <f>HYPERLINK("https://klasma.github.io/Logging_0360/artfynd/A 56955-2025 artfynd.xlsx", "A 56955-2025")</f>
        <v/>
      </c>
      <c r="T110">
        <f>HYPERLINK("https://klasma.github.io/Logging_0360/kartor/A 56955-2025 karta.png", "A 56955-2025")</f>
        <v/>
      </c>
      <c r="U110">
        <f>HYPERLINK("https://klasma.github.io/Logging_0360/knärot/A 56955-2025 karta knärot.png", "A 56955-2025")</f>
        <v/>
      </c>
      <c r="V110">
        <f>HYPERLINK("https://klasma.github.io/Logging_0360/klagomål/A 56955-2025 FSC-klagomål.docx", "A 56955-2025")</f>
        <v/>
      </c>
      <c r="W110">
        <f>HYPERLINK("https://klasma.github.io/Logging_0360/klagomålsmail/A 56955-2025 FSC-klagomål mail.docx", "A 56955-2025")</f>
        <v/>
      </c>
      <c r="X110">
        <f>HYPERLINK("https://klasma.github.io/Logging_0360/tillsyn/A 56955-2025 tillsynsbegäran.docx", "A 56955-2025")</f>
        <v/>
      </c>
      <c r="Y110">
        <f>HYPERLINK("https://klasma.github.io/Logging_0360/tillsynsmail/A 56955-2025 tillsynsbegäran mail.docx", "A 56955-2025")</f>
        <v/>
      </c>
      <c r="Z110">
        <f>HYPERLINK("https://klasma.github.io/Logging_0360/fåglar/A 56955-2025 prioriterade fågelarter.docx", "A 56955-2025")</f>
        <v/>
      </c>
    </row>
    <row r="111" ht="15" customHeight="1">
      <c r="A111" t="inlineStr">
        <is>
          <t>A 33636-2025</t>
        </is>
      </c>
      <c r="B111" s="1" t="n">
        <v>45841.64539351852</v>
      </c>
      <c r="C111" s="1" t="n">
        <v>46098</v>
      </c>
      <c r="D111" t="inlineStr">
        <is>
          <t>UPPSALA LÄN</t>
        </is>
      </c>
      <c r="E111" t="inlineStr">
        <is>
          <t>UPPSALA</t>
        </is>
      </c>
      <c r="F111" t="inlineStr">
        <is>
          <t>Holmen skog AB</t>
        </is>
      </c>
      <c r="G111" t="n">
        <v>13.3</v>
      </c>
      <c r="H111" t="n">
        <v>0</v>
      </c>
      <c r="I111" t="n">
        <v>4</v>
      </c>
      <c r="J111" t="n">
        <v>2</v>
      </c>
      <c r="K111" t="n">
        <v>0</v>
      </c>
      <c r="L111" t="n">
        <v>0</v>
      </c>
      <c r="M111" t="n">
        <v>0</v>
      </c>
      <c r="N111" t="n">
        <v>0</v>
      </c>
      <c r="O111" t="n">
        <v>2</v>
      </c>
      <c r="P111" t="n">
        <v>0</v>
      </c>
      <c r="Q111" t="n">
        <v>6</v>
      </c>
      <c r="R111" s="2" t="inlineStr">
        <is>
          <t>Lunglav
Rödbrun blekspik
Blåsfliksmossa
Brun nållav
Fällmossa
Skarp dropptaggsvamp</t>
        </is>
      </c>
      <c r="S111">
        <f>HYPERLINK("https://klasma.github.io/Logging_0380/artfynd/A 33636-2025 artfynd.xlsx", "A 33636-2025")</f>
        <v/>
      </c>
      <c r="T111">
        <f>HYPERLINK("https://klasma.github.io/Logging_0380/kartor/A 33636-2025 karta.png", "A 33636-2025")</f>
        <v/>
      </c>
      <c r="V111">
        <f>HYPERLINK("https://klasma.github.io/Logging_0380/klagomål/A 33636-2025 FSC-klagomål.docx", "A 33636-2025")</f>
        <v/>
      </c>
      <c r="W111">
        <f>HYPERLINK("https://klasma.github.io/Logging_0380/klagomålsmail/A 33636-2025 FSC-klagomål mail.docx", "A 33636-2025")</f>
        <v/>
      </c>
      <c r="X111">
        <f>HYPERLINK("https://klasma.github.io/Logging_0380/tillsyn/A 33636-2025 tillsynsbegäran.docx", "A 33636-2025")</f>
        <v/>
      </c>
      <c r="Y111">
        <f>HYPERLINK("https://klasma.github.io/Logging_0380/tillsynsmail/A 33636-2025 tillsynsbegäran mail.docx", "A 33636-2025")</f>
        <v/>
      </c>
    </row>
    <row r="112" ht="15" customHeight="1">
      <c r="A112" t="inlineStr">
        <is>
          <t>A 33707-2025</t>
        </is>
      </c>
      <c r="B112" s="1" t="n">
        <v>45841.80690972223</v>
      </c>
      <c r="C112" s="1" t="n">
        <v>46098</v>
      </c>
      <c r="D112" t="inlineStr">
        <is>
          <t>UPPSALA LÄN</t>
        </is>
      </c>
      <c r="E112" t="inlineStr">
        <is>
          <t>UPPSALA</t>
        </is>
      </c>
      <c r="F112" t="inlineStr">
        <is>
          <t>Holmen skog AB</t>
        </is>
      </c>
      <c r="G112" t="n">
        <v>7.9</v>
      </c>
      <c r="H112" t="n">
        <v>4</v>
      </c>
      <c r="I112" t="n">
        <v>2</v>
      </c>
      <c r="J112" t="n">
        <v>2</v>
      </c>
      <c r="K112" t="n">
        <v>0</v>
      </c>
      <c r="L112" t="n">
        <v>0</v>
      </c>
      <c r="M112" t="n">
        <v>0</v>
      </c>
      <c r="N112" t="n">
        <v>0</v>
      </c>
      <c r="O112" t="n">
        <v>2</v>
      </c>
      <c r="P112" t="n">
        <v>0</v>
      </c>
      <c r="Q112" t="n">
        <v>6</v>
      </c>
      <c r="R112" s="2" t="inlineStr">
        <is>
          <t>Buskskvätta
Gulsparv
Brandticka
Fjällig taggsvamp s.str.
Tjäder
Revlummer</t>
        </is>
      </c>
      <c r="S112">
        <f>HYPERLINK("https://klasma.github.io/Logging_0380/artfynd/A 33707-2025 artfynd.xlsx", "A 33707-2025")</f>
        <v/>
      </c>
      <c r="T112">
        <f>HYPERLINK("https://klasma.github.io/Logging_0380/kartor/A 33707-2025 karta.png", "A 33707-2025")</f>
        <v/>
      </c>
      <c r="V112">
        <f>HYPERLINK("https://klasma.github.io/Logging_0380/klagomål/A 33707-2025 FSC-klagomål.docx", "A 33707-2025")</f>
        <v/>
      </c>
      <c r="W112">
        <f>HYPERLINK("https://klasma.github.io/Logging_0380/klagomålsmail/A 33707-2025 FSC-klagomål mail.docx", "A 33707-2025")</f>
        <v/>
      </c>
      <c r="X112">
        <f>HYPERLINK("https://klasma.github.io/Logging_0380/tillsyn/A 33707-2025 tillsynsbegäran.docx", "A 33707-2025")</f>
        <v/>
      </c>
      <c r="Y112">
        <f>HYPERLINK("https://klasma.github.io/Logging_0380/tillsynsmail/A 33707-2025 tillsynsbegäran mail.docx", "A 33707-2025")</f>
        <v/>
      </c>
      <c r="Z112">
        <f>HYPERLINK("https://klasma.github.io/Logging_0380/fåglar/A 33707-2025 prioriterade fågelarter.docx", "A 33707-2025")</f>
        <v/>
      </c>
    </row>
    <row r="113" ht="15" customHeight="1">
      <c r="A113" t="inlineStr">
        <is>
          <t>A 54808-2024</t>
        </is>
      </c>
      <c r="B113" s="1" t="n">
        <v>45618.51541666667</v>
      </c>
      <c r="C113" s="1" t="n">
        <v>46098</v>
      </c>
      <c r="D113" t="inlineStr">
        <is>
          <t>UPPSALA LÄN</t>
        </is>
      </c>
      <c r="E113" t="inlineStr">
        <is>
          <t>HEBY</t>
        </is>
      </c>
      <c r="G113" t="n">
        <v>3.2</v>
      </c>
      <c r="H113" t="n">
        <v>5</v>
      </c>
      <c r="I113" t="n">
        <v>1</v>
      </c>
      <c r="J113" t="n">
        <v>3</v>
      </c>
      <c r="K113" t="n">
        <v>1</v>
      </c>
      <c r="L113" t="n">
        <v>0</v>
      </c>
      <c r="M113" t="n">
        <v>0</v>
      </c>
      <c r="N113" t="n">
        <v>0</v>
      </c>
      <c r="O113" t="n">
        <v>4</v>
      </c>
      <c r="P113" t="n">
        <v>1</v>
      </c>
      <c r="Q113" t="n">
        <v>6</v>
      </c>
      <c r="R113" s="2" t="inlineStr">
        <is>
          <t>Knärot
Spillkråka
Talltita
Ärtsångare
Flagellkvastmossa
Pärluggla</t>
        </is>
      </c>
      <c r="S113">
        <f>HYPERLINK("https://klasma.github.io/Logging_0331/artfynd/A 54808-2024 artfynd.xlsx", "A 54808-2024")</f>
        <v/>
      </c>
      <c r="T113">
        <f>HYPERLINK("https://klasma.github.io/Logging_0331/kartor/A 54808-2024 karta.png", "A 54808-2024")</f>
        <v/>
      </c>
      <c r="U113">
        <f>HYPERLINK("https://klasma.github.io/Logging_0331/knärot/A 54808-2024 karta knärot.png", "A 54808-2024")</f>
        <v/>
      </c>
      <c r="V113">
        <f>HYPERLINK("https://klasma.github.io/Logging_0331/klagomål/A 54808-2024 FSC-klagomål.docx", "A 54808-2024")</f>
        <v/>
      </c>
      <c r="W113">
        <f>HYPERLINK("https://klasma.github.io/Logging_0331/klagomålsmail/A 54808-2024 FSC-klagomål mail.docx", "A 54808-2024")</f>
        <v/>
      </c>
      <c r="X113">
        <f>HYPERLINK("https://klasma.github.io/Logging_0331/tillsyn/A 54808-2024 tillsynsbegäran.docx", "A 54808-2024")</f>
        <v/>
      </c>
      <c r="Y113">
        <f>HYPERLINK("https://klasma.github.io/Logging_0331/tillsynsmail/A 54808-2024 tillsynsbegäran mail.docx", "A 54808-2024")</f>
        <v/>
      </c>
      <c r="Z113">
        <f>HYPERLINK("https://klasma.github.io/Logging_0331/fåglar/A 54808-2024 prioriterade fågelarter.docx", "A 54808-2024")</f>
        <v/>
      </c>
    </row>
    <row r="114" ht="15" customHeight="1">
      <c r="A114" t="inlineStr">
        <is>
          <t>A 39834-2025</t>
        </is>
      </c>
      <c r="B114" s="1" t="n">
        <v>45891.56333333333</v>
      </c>
      <c r="C114" s="1" t="n">
        <v>46098</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58545-2025</t>
        </is>
      </c>
      <c r="B115" s="1" t="n">
        <v>45985</v>
      </c>
      <c r="C115" s="1" t="n">
        <v>46098</v>
      </c>
      <c r="D115" t="inlineStr">
        <is>
          <t>UPPSALA LÄN</t>
        </is>
      </c>
      <c r="E115" t="inlineStr">
        <is>
          <t>UPPSALA</t>
        </is>
      </c>
      <c r="G115" t="n">
        <v>2.5</v>
      </c>
      <c r="H115" t="n">
        <v>3</v>
      </c>
      <c r="I115" t="n">
        <v>1</v>
      </c>
      <c r="J115" t="n">
        <v>3</v>
      </c>
      <c r="K115" t="n">
        <v>1</v>
      </c>
      <c r="L115" t="n">
        <v>0</v>
      </c>
      <c r="M115" t="n">
        <v>0</v>
      </c>
      <c r="N115" t="n">
        <v>0</v>
      </c>
      <c r="O115" t="n">
        <v>4</v>
      </c>
      <c r="P115" t="n">
        <v>1</v>
      </c>
      <c r="Q115" t="n">
        <v>6</v>
      </c>
      <c r="R115" s="2" t="inlineStr">
        <is>
          <t>Knärot
Spillkråka
Ullticka
Vedtrappmossa
Rödgul trumpetsvamp
Revlummer</t>
        </is>
      </c>
      <c r="S115">
        <f>HYPERLINK("https://klasma.github.io/Logging_0380/artfynd/A 58545-2025 artfynd.xlsx", "A 58545-2025")</f>
        <v/>
      </c>
      <c r="T115">
        <f>HYPERLINK("https://klasma.github.io/Logging_0380/kartor/A 58545-2025 karta.png", "A 58545-2025")</f>
        <v/>
      </c>
      <c r="U115">
        <f>HYPERLINK("https://klasma.github.io/Logging_0380/knärot/A 58545-2025 karta knärot.png", "A 58545-2025")</f>
        <v/>
      </c>
      <c r="V115">
        <f>HYPERLINK("https://klasma.github.io/Logging_0380/klagomål/A 58545-2025 FSC-klagomål.docx", "A 58545-2025")</f>
        <v/>
      </c>
      <c r="W115">
        <f>HYPERLINK("https://klasma.github.io/Logging_0380/klagomålsmail/A 58545-2025 FSC-klagomål mail.docx", "A 58545-2025")</f>
        <v/>
      </c>
      <c r="X115">
        <f>HYPERLINK("https://klasma.github.io/Logging_0380/tillsyn/A 58545-2025 tillsynsbegäran.docx", "A 58545-2025")</f>
        <v/>
      </c>
      <c r="Y115">
        <f>HYPERLINK("https://klasma.github.io/Logging_0380/tillsynsmail/A 58545-2025 tillsynsbegäran mail.docx", "A 58545-2025")</f>
        <v/>
      </c>
      <c r="Z115">
        <f>HYPERLINK("https://klasma.github.io/Logging_0380/fåglar/A 58545-2025 prioriterade fågelarter.docx", "A 58545-2025")</f>
        <v/>
      </c>
    </row>
    <row r="116" ht="15" customHeight="1">
      <c r="A116" t="inlineStr">
        <is>
          <t>A 58547-2025</t>
        </is>
      </c>
      <c r="B116" s="1" t="n">
        <v>45985</v>
      </c>
      <c r="C116" s="1" t="n">
        <v>46098</v>
      </c>
      <c r="D116" t="inlineStr">
        <is>
          <t>UPPSALA LÄN</t>
        </is>
      </c>
      <c r="E116" t="inlineStr">
        <is>
          <t>UPPSALA</t>
        </is>
      </c>
      <c r="G116" t="n">
        <v>1.1</v>
      </c>
      <c r="H116" t="n">
        <v>3</v>
      </c>
      <c r="I116" t="n">
        <v>2</v>
      </c>
      <c r="J116" t="n">
        <v>2</v>
      </c>
      <c r="K116" t="n">
        <v>1</v>
      </c>
      <c r="L116" t="n">
        <v>0</v>
      </c>
      <c r="M116" t="n">
        <v>0</v>
      </c>
      <c r="N116" t="n">
        <v>0</v>
      </c>
      <c r="O116" t="n">
        <v>3</v>
      </c>
      <c r="P116" t="n">
        <v>1</v>
      </c>
      <c r="Q116" t="n">
        <v>6</v>
      </c>
      <c r="R116" s="2" t="inlineStr">
        <is>
          <t>Knärot
Spillkråka
Vedtrappmossa
Björksplintborre
Vedticka
Revlummer</t>
        </is>
      </c>
      <c r="S116">
        <f>HYPERLINK("https://klasma.github.io/Logging_0380/artfynd/A 58547-2025 artfynd.xlsx", "A 58547-2025")</f>
        <v/>
      </c>
      <c r="T116">
        <f>HYPERLINK("https://klasma.github.io/Logging_0380/kartor/A 58547-2025 karta.png", "A 58547-2025")</f>
        <v/>
      </c>
      <c r="U116">
        <f>HYPERLINK("https://klasma.github.io/Logging_0380/knärot/A 58547-2025 karta knärot.png", "A 58547-2025")</f>
        <v/>
      </c>
      <c r="V116">
        <f>HYPERLINK("https://klasma.github.io/Logging_0380/klagomål/A 58547-2025 FSC-klagomål.docx", "A 58547-2025")</f>
        <v/>
      </c>
      <c r="W116">
        <f>HYPERLINK("https://klasma.github.io/Logging_0380/klagomålsmail/A 58547-2025 FSC-klagomål mail.docx", "A 58547-2025")</f>
        <v/>
      </c>
      <c r="X116">
        <f>HYPERLINK("https://klasma.github.io/Logging_0380/tillsyn/A 58547-2025 tillsynsbegäran.docx", "A 58547-2025")</f>
        <v/>
      </c>
      <c r="Y116">
        <f>HYPERLINK("https://klasma.github.io/Logging_0380/tillsynsmail/A 58547-2025 tillsynsbegäran mail.docx", "A 58547-2025")</f>
        <v/>
      </c>
      <c r="Z116">
        <f>HYPERLINK("https://klasma.github.io/Logging_0380/fåglar/A 58547-2025 prioriterade fågelarter.docx", "A 58547-2025")</f>
        <v/>
      </c>
    </row>
    <row r="117" ht="15" customHeight="1">
      <c r="A117" t="inlineStr">
        <is>
          <t>A 1110-2026</t>
        </is>
      </c>
      <c r="B117" s="1" t="n">
        <v>46029</v>
      </c>
      <c r="C117" s="1" t="n">
        <v>46098</v>
      </c>
      <c r="D117" t="inlineStr">
        <is>
          <t>UPPSALA LÄN</t>
        </is>
      </c>
      <c r="E117" t="inlineStr">
        <is>
          <t>TIERP</t>
        </is>
      </c>
      <c r="F117" t="inlineStr">
        <is>
          <t>Naturvårdsverket</t>
        </is>
      </c>
      <c r="G117" t="n">
        <v>4.1</v>
      </c>
      <c r="H117" t="n">
        <v>1</v>
      </c>
      <c r="I117" t="n">
        <v>4</v>
      </c>
      <c r="J117" t="n">
        <v>1</v>
      </c>
      <c r="K117" t="n">
        <v>0</v>
      </c>
      <c r="L117" t="n">
        <v>0</v>
      </c>
      <c r="M117" t="n">
        <v>0</v>
      </c>
      <c r="N117" t="n">
        <v>0</v>
      </c>
      <c r="O117" t="n">
        <v>1</v>
      </c>
      <c r="P117" t="n">
        <v>0</v>
      </c>
      <c r="Q117" t="n">
        <v>6</v>
      </c>
      <c r="R117" s="2" t="inlineStr">
        <is>
          <t>Garnlav
Bronshjon
Stor aspticka
Tibast
Vågbandad barkbock
Blåsippa</t>
        </is>
      </c>
      <c r="S117">
        <f>HYPERLINK("https://klasma.github.io/Logging_0360/artfynd/A 1110-2026 artfynd.xlsx", "A 1110-2026")</f>
        <v/>
      </c>
      <c r="T117">
        <f>HYPERLINK("https://klasma.github.io/Logging_0360/kartor/A 1110-2026 karta.png", "A 1110-2026")</f>
        <v/>
      </c>
      <c r="V117">
        <f>HYPERLINK("https://klasma.github.io/Logging_0360/klagomål/A 1110-2026 FSC-klagomål.docx", "A 1110-2026")</f>
        <v/>
      </c>
      <c r="W117">
        <f>HYPERLINK("https://klasma.github.io/Logging_0360/klagomålsmail/A 1110-2026 FSC-klagomål mail.docx", "A 1110-2026")</f>
        <v/>
      </c>
      <c r="X117">
        <f>HYPERLINK("https://klasma.github.io/Logging_0360/tillsyn/A 1110-2026 tillsynsbegäran.docx", "A 1110-2026")</f>
        <v/>
      </c>
      <c r="Y117">
        <f>HYPERLINK("https://klasma.github.io/Logging_0360/tillsynsmail/A 1110-2026 tillsynsbegäran mail.docx", "A 1110-2026")</f>
        <v/>
      </c>
    </row>
    <row r="118" ht="15" customHeight="1">
      <c r="A118" t="inlineStr">
        <is>
          <t>A 3949-2025</t>
        </is>
      </c>
      <c r="B118" s="1" t="n">
        <v>45684</v>
      </c>
      <c r="C118" s="1" t="n">
        <v>46098</v>
      </c>
      <c r="D118" t="inlineStr">
        <is>
          <t>UPPSALA LÄN</t>
        </is>
      </c>
      <c r="E118" t="inlineStr">
        <is>
          <t>ÄLVKARLEBY</t>
        </is>
      </c>
      <c r="G118" t="n">
        <v>5.2</v>
      </c>
      <c r="H118" t="n">
        <v>6</v>
      </c>
      <c r="I118" t="n">
        <v>2</v>
      </c>
      <c r="J118" t="n">
        <v>0</v>
      </c>
      <c r="K118" t="n">
        <v>0</v>
      </c>
      <c r="L118" t="n">
        <v>0</v>
      </c>
      <c r="M118" t="n">
        <v>0</v>
      </c>
      <c r="N118" t="n">
        <v>0</v>
      </c>
      <c r="O118" t="n">
        <v>0</v>
      </c>
      <c r="P118" t="n">
        <v>0</v>
      </c>
      <c r="Q118" t="n">
        <v>6</v>
      </c>
      <c r="R118" s="2" t="inlineStr">
        <is>
          <t>Skogsknipprot
Tvåblad
Fläcknycklar
Kärrknipprot
Nattviol
Ängsnycklar</t>
        </is>
      </c>
      <c r="S118">
        <f>HYPERLINK("https://klasma.github.io/Logging_0319/artfynd/A 3949-2025 artfynd.xlsx", "A 3949-2025")</f>
        <v/>
      </c>
      <c r="T118">
        <f>HYPERLINK("https://klasma.github.io/Logging_0319/kartor/A 3949-2025 karta.png", "A 3949-2025")</f>
        <v/>
      </c>
      <c r="V118">
        <f>HYPERLINK("https://klasma.github.io/Logging_0319/klagomål/A 3949-2025 FSC-klagomål.docx", "A 3949-2025")</f>
        <v/>
      </c>
      <c r="W118">
        <f>HYPERLINK("https://klasma.github.io/Logging_0319/klagomålsmail/A 3949-2025 FSC-klagomål mail.docx", "A 3949-2025")</f>
        <v/>
      </c>
      <c r="X118">
        <f>HYPERLINK("https://klasma.github.io/Logging_0319/tillsyn/A 3949-2025 tillsynsbegäran.docx", "A 3949-2025")</f>
        <v/>
      </c>
      <c r="Y118">
        <f>HYPERLINK("https://klasma.github.io/Logging_0319/tillsynsmail/A 3949-2025 tillsynsbegäran mail.docx", "A 3949-2025")</f>
        <v/>
      </c>
    </row>
    <row r="119" ht="15" customHeight="1">
      <c r="A119" t="inlineStr">
        <is>
          <t>A 8507-2023</t>
        </is>
      </c>
      <c r="B119" s="1" t="n">
        <v>44977</v>
      </c>
      <c r="C119" s="1" t="n">
        <v>46098</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62137-2022</t>
        </is>
      </c>
      <c r="B120" s="1" t="n">
        <v>44914</v>
      </c>
      <c r="C120" s="1" t="n">
        <v>46098</v>
      </c>
      <c r="D120" t="inlineStr">
        <is>
          <t>UPPSALA LÄN</t>
        </is>
      </c>
      <c r="E120" t="inlineStr">
        <is>
          <t>HEBY</t>
        </is>
      </c>
      <c r="G120" t="n">
        <v>5.3</v>
      </c>
      <c r="H120" t="n">
        <v>1</v>
      </c>
      <c r="I120" t="n">
        <v>4</v>
      </c>
      <c r="J120" t="n">
        <v>1</v>
      </c>
      <c r="K120" t="n">
        <v>1</v>
      </c>
      <c r="L120" t="n">
        <v>0</v>
      </c>
      <c r="M120" t="n">
        <v>0</v>
      </c>
      <c r="N120" t="n">
        <v>0</v>
      </c>
      <c r="O120" t="n">
        <v>2</v>
      </c>
      <c r="P120" t="n">
        <v>1</v>
      </c>
      <c r="Q120" t="n">
        <v>6</v>
      </c>
      <c r="R120" s="2" t="inlineStr">
        <is>
          <t>Knärot
Ullticka
Grovticka
Grönpyrola
Trådticka
Vedticka</t>
        </is>
      </c>
      <c r="S120">
        <f>HYPERLINK("https://klasma.github.io/Logging_0331/artfynd/A 62137-2022 artfynd.xlsx", "A 62137-2022")</f>
        <v/>
      </c>
      <c r="T120">
        <f>HYPERLINK("https://klasma.github.io/Logging_0331/kartor/A 62137-2022 karta.png", "A 62137-2022")</f>
        <v/>
      </c>
      <c r="U120">
        <f>HYPERLINK("https://klasma.github.io/Logging_0331/knärot/A 62137-2022 karta knärot.png", "A 62137-2022")</f>
        <v/>
      </c>
      <c r="V120">
        <f>HYPERLINK("https://klasma.github.io/Logging_0331/klagomål/A 62137-2022 FSC-klagomål.docx", "A 62137-2022")</f>
        <v/>
      </c>
      <c r="W120">
        <f>HYPERLINK("https://klasma.github.io/Logging_0331/klagomålsmail/A 62137-2022 FSC-klagomål mail.docx", "A 62137-2022")</f>
        <v/>
      </c>
      <c r="X120">
        <f>HYPERLINK("https://klasma.github.io/Logging_0331/tillsyn/A 62137-2022 tillsynsbegäran.docx", "A 62137-2022")</f>
        <v/>
      </c>
      <c r="Y120">
        <f>HYPERLINK("https://klasma.github.io/Logging_0331/tillsynsmail/A 62137-2022 tillsynsbegäran mail.docx", "A 62137-2022")</f>
        <v/>
      </c>
    </row>
    <row r="121" ht="15" customHeight="1">
      <c r="A121" t="inlineStr">
        <is>
          <t>A 50464-2024</t>
        </is>
      </c>
      <c r="B121" s="1" t="n">
        <v>45601</v>
      </c>
      <c r="C121" s="1" t="n">
        <v>46098</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48277-2023</t>
        </is>
      </c>
      <c r="B122" s="1" t="n">
        <v>45205</v>
      </c>
      <c r="C122" s="1" t="n">
        <v>46098</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23496-2023</t>
        </is>
      </c>
      <c r="B123" s="1" t="n">
        <v>45076</v>
      </c>
      <c r="C123" s="1" t="n">
        <v>46098</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46785-2023</t>
        </is>
      </c>
      <c r="B124" s="1" t="n">
        <v>45198</v>
      </c>
      <c r="C124" s="1" t="n">
        <v>46098</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39763-2022</t>
        </is>
      </c>
      <c r="B125" s="1" t="n">
        <v>44819.44055555556</v>
      </c>
      <c r="C125" s="1" t="n">
        <v>46098</v>
      </c>
      <c r="D125" t="inlineStr">
        <is>
          <t>UPPSALA LÄN</t>
        </is>
      </c>
      <c r="E125" t="inlineStr">
        <is>
          <t>ÖSTHAMMAR</t>
        </is>
      </c>
      <c r="G125" t="n">
        <v>7</v>
      </c>
      <c r="H125" t="n">
        <v>1</v>
      </c>
      <c r="I125" t="n">
        <v>1</v>
      </c>
      <c r="J125" t="n">
        <v>2</v>
      </c>
      <c r="K125" t="n">
        <v>2</v>
      </c>
      <c r="L125" t="n">
        <v>0</v>
      </c>
      <c r="M125" t="n">
        <v>0</v>
      </c>
      <c r="N125" t="n">
        <v>0</v>
      </c>
      <c r="O125" t="n">
        <v>4</v>
      </c>
      <c r="P125" t="n">
        <v>2</v>
      </c>
      <c r="Q125" t="n">
        <v>5</v>
      </c>
      <c r="R125" s="2" t="inlineStr">
        <is>
          <t>Knärot
Violgubbe
Blek fingersvamp
Orange taggsvamp
Fjällig taggsvamp s.str.</t>
        </is>
      </c>
      <c r="S125">
        <f>HYPERLINK("https://klasma.github.io/Logging_0382/artfynd/A 39763-2022 artfynd.xlsx", "A 39763-2022")</f>
        <v/>
      </c>
      <c r="T125">
        <f>HYPERLINK("https://klasma.github.io/Logging_0382/kartor/A 39763-2022 karta.png", "A 39763-2022")</f>
        <v/>
      </c>
      <c r="U125">
        <f>HYPERLINK("https://klasma.github.io/Logging_0382/knärot/A 39763-2022 karta knärot.png", "A 39763-2022")</f>
        <v/>
      </c>
      <c r="V125">
        <f>HYPERLINK("https://klasma.github.io/Logging_0382/klagomål/A 39763-2022 FSC-klagomål.docx", "A 39763-2022")</f>
        <v/>
      </c>
      <c r="W125">
        <f>HYPERLINK("https://klasma.github.io/Logging_0382/klagomålsmail/A 39763-2022 FSC-klagomål mail.docx", "A 39763-2022")</f>
        <v/>
      </c>
      <c r="X125">
        <f>HYPERLINK("https://klasma.github.io/Logging_0382/tillsyn/A 39763-2022 tillsynsbegäran.docx", "A 39763-2022")</f>
        <v/>
      </c>
      <c r="Y125">
        <f>HYPERLINK("https://klasma.github.io/Logging_0382/tillsynsmail/A 39763-2022 tillsynsbegäran mail.docx", "A 39763-2022")</f>
        <v/>
      </c>
    </row>
    <row r="126" ht="15" customHeight="1">
      <c r="A126" t="inlineStr">
        <is>
          <t>A 64564-2021</t>
        </is>
      </c>
      <c r="B126" s="1" t="n">
        <v>44511</v>
      </c>
      <c r="C126" s="1" t="n">
        <v>46098</v>
      </c>
      <c r="D126" t="inlineStr">
        <is>
          <t>UPPSALA LÄN</t>
        </is>
      </c>
      <c r="E126" t="inlineStr">
        <is>
          <t>ÖSTHAMMAR</t>
        </is>
      </c>
      <c r="G126" t="n">
        <v>7.2</v>
      </c>
      <c r="H126" t="n">
        <v>1</v>
      </c>
      <c r="I126" t="n">
        <v>2</v>
      </c>
      <c r="J126" t="n">
        <v>1</v>
      </c>
      <c r="K126" t="n">
        <v>1</v>
      </c>
      <c r="L126" t="n">
        <v>0</v>
      </c>
      <c r="M126" t="n">
        <v>0</v>
      </c>
      <c r="N126" t="n">
        <v>0</v>
      </c>
      <c r="O126" t="n">
        <v>2</v>
      </c>
      <c r="P126" t="n">
        <v>1</v>
      </c>
      <c r="Q126" t="n">
        <v>5</v>
      </c>
      <c r="R126" s="2" t="inlineStr">
        <is>
          <t>Violgubbe
Gultoppig fingersvamp
Kalktallört
Rödgul trumpetsvamp
Tjäder</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c r="Z126">
        <f>HYPERLINK("https://klasma.github.io/Logging_0382/fåglar/A 64564-2021 prioriterade fågelarter.docx", "A 64564-2021")</f>
        <v/>
      </c>
    </row>
    <row r="127" ht="15" customHeight="1">
      <c r="A127" t="inlineStr">
        <is>
          <t>A 61388-2021</t>
        </is>
      </c>
      <c r="B127" s="1" t="n">
        <v>44500</v>
      </c>
      <c r="C127" s="1" t="n">
        <v>46098</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30580-2022</t>
        </is>
      </c>
      <c r="B128" s="1" t="n">
        <v>44762</v>
      </c>
      <c r="C128" s="1" t="n">
        <v>46098</v>
      </c>
      <c r="D128" t="inlineStr">
        <is>
          <t>UPPSALA LÄN</t>
        </is>
      </c>
      <c r="E128" t="inlineStr">
        <is>
          <t>UPPSALA</t>
        </is>
      </c>
      <c r="F128" t="inlineStr">
        <is>
          <t>Bergvik skog öst AB</t>
        </is>
      </c>
      <c r="G128" t="n">
        <v>3.6</v>
      </c>
      <c r="H128" t="n">
        <v>1</v>
      </c>
      <c r="I128" t="n">
        <v>3</v>
      </c>
      <c r="J128" t="n">
        <v>2</v>
      </c>
      <c r="K128" t="n">
        <v>0</v>
      </c>
      <c r="L128" t="n">
        <v>0</v>
      </c>
      <c r="M128" t="n">
        <v>0</v>
      </c>
      <c r="N128" t="n">
        <v>0</v>
      </c>
      <c r="O128" t="n">
        <v>2</v>
      </c>
      <c r="P128" t="n">
        <v>0</v>
      </c>
      <c r="Q128" t="n">
        <v>5</v>
      </c>
      <c r="R128" s="2" t="inlineStr">
        <is>
          <t>Granticka
Vedtrappmossa
Grön sköldmossa
Stubbspretmossa
Vedticka</t>
        </is>
      </c>
      <c r="S128">
        <f>HYPERLINK("https://klasma.github.io/Logging_0380/artfynd/A 30580-2022 artfynd.xlsx", "A 30580-2022")</f>
        <v/>
      </c>
      <c r="T128">
        <f>HYPERLINK("https://klasma.github.io/Logging_0380/kartor/A 30580-2022 karta.png", "A 30580-2022")</f>
        <v/>
      </c>
      <c r="V128">
        <f>HYPERLINK("https://klasma.github.io/Logging_0380/klagomål/A 30580-2022 FSC-klagomål.docx", "A 30580-2022")</f>
        <v/>
      </c>
      <c r="W128">
        <f>HYPERLINK("https://klasma.github.io/Logging_0380/klagomålsmail/A 30580-2022 FSC-klagomål mail.docx", "A 30580-2022")</f>
        <v/>
      </c>
      <c r="X128">
        <f>HYPERLINK("https://klasma.github.io/Logging_0380/tillsyn/A 30580-2022 tillsynsbegäran.docx", "A 30580-2022")</f>
        <v/>
      </c>
      <c r="Y128">
        <f>HYPERLINK("https://klasma.github.io/Logging_0380/tillsynsmail/A 30580-2022 tillsynsbegäran mail.docx", "A 30580-2022")</f>
        <v/>
      </c>
    </row>
    <row r="129" ht="15" customHeight="1">
      <c r="A129" t="inlineStr">
        <is>
          <t>A 55492-2023</t>
        </is>
      </c>
      <c r="B129" s="1" t="n">
        <v>45238</v>
      </c>
      <c r="C129" s="1" t="n">
        <v>46098</v>
      </c>
      <c r="D129" t="inlineStr">
        <is>
          <t>UPPSALA LÄN</t>
        </is>
      </c>
      <c r="E129" t="inlineStr">
        <is>
          <t>ÖSTHAMMAR</t>
        </is>
      </c>
      <c r="G129" t="n">
        <v>3.1</v>
      </c>
      <c r="H129" t="n">
        <v>4</v>
      </c>
      <c r="I129" t="n">
        <v>2</v>
      </c>
      <c r="J129" t="n">
        <v>0</v>
      </c>
      <c r="K129" t="n">
        <v>2</v>
      </c>
      <c r="L129" t="n">
        <v>0</v>
      </c>
      <c r="M129" t="n">
        <v>0</v>
      </c>
      <c r="N129" t="n">
        <v>0</v>
      </c>
      <c r="O129" t="n">
        <v>2</v>
      </c>
      <c r="P129" t="n">
        <v>2</v>
      </c>
      <c r="Q129" t="n">
        <v>5</v>
      </c>
      <c r="R129" s="2" t="inlineStr">
        <is>
          <t>Knärot
Violgubbe
Skogsknipprot
Tvåblad
Fläcknycklar</t>
        </is>
      </c>
      <c r="S129">
        <f>HYPERLINK("https://klasma.github.io/Logging_0382/artfynd/A 55492-2023 artfynd.xlsx", "A 55492-2023")</f>
        <v/>
      </c>
      <c r="T129">
        <f>HYPERLINK("https://klasma.github.io/Logging_0382/kartor/A 55492-2023 karta.png", "A 55492-2023")</f>
        <v/>
      </c>
      <c r="U129">
        <f>HYPERLINK("https://klasma.github.io/Logging_0382/knärot/A 55492-2023 karta knärot.png", "A 55492-2023")</f>
        <v/>
      </c>
      <c r="V129">
        <f>HYPERLINK("https://klasma.github.io/Logging_0382/klagomål/A 55492-2023 FSC-klagomål.docx", "A 55492-2023")</f>
        <v/>
      </c>
      <c r="W129">
        <f>HYPERLINK("https://klasma.github.io/Logging_0382/klagomålsmail/A 55492-2023 FSC-klagomål mail.docx", "A 55492-2023")</f>
        <v/>
      </c>
      <c r="X129">
        <f>HYPERLINK("https://klasma.github.io/Logging_0382/tillsyn/A 55492-2023 tillsynsbegäran.docx", "A 55492-2023")</f>
        <v/>
      </c>
      <c r="Y129">
        <f>HYPERLINK("https://klasma.github.io/Logging_0382/tillsynsmail/A 55492-2023 tillsynsbegäran mail.docx", "A 55492-2023")</f>
        <v/>
      </c>
    </row>
    <row r="130" ht="15" customHeight="1">
      <c r="A130" t="inlineStr">
        <is>
          <t>A 3100-2024</t>
        </is>
      </c>
      <c r="B130" s="1" t="n">
        <v>45316</v>
      </c>
      <c r="C130" s="1" t="n">
        <v>46098</v>
      </c>
      <c r="D130" t="inlineStr">
        <is>
          <t>UPPSALA LÄN</t>
        </is>
      </c>
      <c r="E130" t="inlineStr">
        <is>
          <t>UPPSALA</t>
        </is>
      </c>
      <c r="F130" t="inlineStr">
        <is>
          <t>Holmen skog AB</t>
        </is>
      </c>
      <c r="G130" t="n">
        <v>3.5</v>
      </c>
      <c r="H130" t="n">
        <v>5</v>
      </c>
      <c r="I130" t="n">
        <v>1</v>
      </c>
      <c r="J130" t="n">
        <v>0</v>
      </c>
      <c r="K130" t="n">
        <v>0</v>
      </c>
      <c r="L130" t="n">
        <v>0</v>
      </c>
      <c r="M130" t="n">
        <v>0</v>
      </c>
      <c r="N130" t="n">
        <v>0</v>
      </c>
      <c r="O130" t="n">
        <v>0</v>
      </c>
      <c r="P130" t="n">
        <v>0</v>
      </c>
      <c r="Q130" t="n">
        <v>5</v>
      </c>
      <c r="R130" s="2" t="inlineStr">
        <is>
          <t>Nästrot
Grönsiska
Järnsparv
Kungsfågel
Blåsippa</t>
        </is>
      </c>
      <c r="S130">
        <f>HYPERLINK("https://klasma.github.io/Logging_0380/artfynd/A 3100-2024 artfynd.xlsx", "A 3100-2024")</f>
        <v/>
      </c>
      <c r="T130">
        <f>HYPERLINK("https://klasma.github.io/Logging_0380/kartor/A 3100-2024 karta.png", "A 3100-2024")</f>
        <v/>
      </c>
      <c r="V130">
        <f>HYPERLINK("https://klasma.github.io/Logging_0380/klagomål/A 3100-2024 FSC-klagomål.docx", "A 3100-2024")</f>
        <v/>
      </c>
      <c r="W130">
        <f>HYPERLINK("https://klasma.github.io/Logging_0380/klagomålsmail/A 3100-2024 FSC-klagomål mail.docx", "A 3100-2024")</f>
        <v/>
      </c>
      <c r="X130">
        <f>HYPERLINK("https://klasma.github.io/Logging_0380/tillsyn/A 3100-2024 tillsynsbegäran.docx", "A 3100-2024")</f>
        <v/>
      </c>
      <c r="Y130">
        <f>HYPERLINK("https://klasma.github.io/Logging_0380/tillsynsmail/A 3100-2024 tillsynsbegäran mail.docx", "A 3100-2024")</f>
        <v/>
      </c>
      <c r="Z130">
        <f>HYPERLINK("https://klasma.github.io/Logging_0380/fåglar/A 3100-2024 prioriterade fågelarter.docx", "A 3100-2024")</f>
        <v/>
      </c>
    </row>
    <row r="131" ht="15" customHeight="1">
      <c r="A131" t="inlineStr">
        <is>
          <t>A 51154-2025</t>
        </is>
      </c>
      <c r="B131" s="1" t="n">
        <v>45947.57583333334</v>
      </c>
      <c r="C131" s="1" t="n">
        <v>46098</v>
      </c>
      <c r="D131" t="inlineStr">
        <is>
          <t>UPPSALA LÄN</t>
        </is>
      </c>
      <c r="E131" t="inlineStr">
        <is>
          <t>ÖSTHAMMAR</t>
        </is>
      </c>
      <c r="F131" t="inlineStr">
        <is>
          <t>Allmännings- och besparingsskogar</t>
        </is>
      </c>
      <c r="G131" t="n">
        <v>4.5</v>
      </c>
      <c r="H131" t="n">
        <v>5</v>
      </c>
      <c r="I131" t="n">
        <v>2</v>
      </c>
      <c r="J131" t="n">
        <v>2</v>
      </c>
      <c r="K131" t="n">
        <v>0</v>
      </c>
      <c r="L131" t="n">
        <v>0</v>
      </c>
      <c r="M131" t="n">
        <v>0</v>
      </c>
      <c r="N131" t="n">
        <v>0</v>
      </c>
      <c r="O131" t="n">
        <v>2</v>
      </c>
      <c r="P131" t="n">
        <v>0</v>
      </c>
      <c r="Q131" t="n">
        <v>5</v>
      </c>
      <c r="R131" s="2" t="inlineStr">
        <is>
          <t>Rödvingetrast
Talltita
Nästrot
Tvåblad
Blåsippa</t>
        </is>
      </c>
      <c r="S131">
        <f>HYPERLINK("https://klasma.github.io/Logging_0382/artfynd/A 51154-2025 artfynd.xlsx", "A 51154-2025")</f>
        <v/>
      </c>
      <c r="T131">
        <f>HYPERLINK("https://klasma.github.io/Logging_0382/kartor/A 51154-2025 karta.png", "A 51154-2025")</f>
        <v/>
      </c>
      <c r="V131">
        <f>HYPERLINK("https://klasma.github.io/Logging_0382/klagomål/A 51154-2025 FSC-klagomål.docx", "A 51154-2025")</f>
        <v/>
      </c>
      <c r="W131">
        <f>HYPERLINK("https://klasma.github.io/Logging_0382/klagomålsmail/A 51154-2025 FSC-klagomål mail.docx", "A 51154-2025")</f>
        <v/>
      </c>
      <c r="X131">
        <f>HYPERLINK("https://klasma.github.io/Logging_0382/tillsyn/A 51154-2025 tillsynsbegäran.docx", "A 51154-2025")</f>
        <v/>
      </c>
      <c r="Y131">
        <f>HYPERLINK("https://klasma.github.io/Logging_0382/tillsynsmail/A 51154-2025 tillsynsbegäran mail.docx", "A 51154-2025")</f>
        <v/>
      </c>
      <c r="Z131">
        <f>HYPERLINK("https://klasma.github.io/Logging_0382/fåglar/A 51154-2025 prioriterade fågelarter.docx", "A 51154-2025")</f>
        <v/>
      </c>
    </row>
    <row r="132" ht="15" customHeight="1">
      <c r="A132" t="inlineStr">
        <is>
          <t>A 13546-2025</t>
        </is>
      </c>
      <c r="B132" s="1" t="n">
        <v>45736.53695601852</v>
      </c>
      <c r="C132" s="1" t="n">
        <v>46098</v>
      </c>
      <c r="D132" t="inlineStr">
        <is>
          <t>UPPSALA LÄN</t>
        </is>
      </c>
      <c r="E132" t="inlineStr">
        <is>
          <t>UPPSALA</t>
        </is>
      </c>
      <c r="F132" t="inlineStr">
        <is>
          <t>Allmännings- och besparingsskogar</t>
        </is>
      </c>
      <c r="G132" t="n">
        <v>3.7</v>
      </c>
      <c r="H132" t="n">
        <v>1</v>
      </c>
      <c r="I132" t="n">
        <v>3</v>
      </c>
      <c r="J132" t="n">
        <v>1</v>
      </c>
      <c r="K132" t="n">
        <v>0</v>
      </c>
      <c r="L132" t="n">
        <v>0</v>
      </c>
      <c r="M132" t="n">
        <v>0</v>
      </c>
      <c r="N132" t="n">
        <v>0</v>
      </c>
      <c r="O132" t="n">
        <v>1</v>
      </c>
      <c r="P132" t="n">
        <v>0</v>
      </c>
      <c r="Q132" t="n">
        <v>5</v>
      </c>
      <c r="R132" s="2" t="inlineStr">
        <is>
          <t>Ullticka
Bronshjon
Thomsons trägnagare
Vanlig flatbagge
Blåsippa</t>
        </is>
      </c>
      <c r="S132">
        <f>HYPERLINK("https://klasma.github.io/Logging_0380/artfynd/A 13546-2025 artfynd.xlsx", "A 13546-2025")</f>
        <v/>
      </c>
      <c r="T132">
        <f>HYPERLINK("https://klasma.github.io/Logging_0380/kartor/A 13546-2025 karta.png", "A 13546-2025")</f>
        <v/>
      </c>
      <c r="V132">
        <f>HYPERLINK("https://klasma.github.io/Logging_0380/klagomål/A 13546-2025 FSC-klagomål.docx", "A 13546-2025")</f>
        <v/>
      </c>
      <c r="W132">
        <f>HYPERLINK("https://klasma.github.io/Logging_0380/klagomålsmail/A 13546-2025 FSC-klagomål mail.docx", "A 13546-2025")</f>
        <v/>
      </c>
      <c r="X132">
        <f>HYPERLINK("https://klasma.github.io/Logging_0380/tillsyn/A 13546-2025 tillsynsbegäran.docx", "A 13546-2025")</f>
        <v/>
      </c>
      <c r="Y132">
        <f>HYPERLINK("https://klasma.github.io/Logging_0380/tillsynsmail/A 13546-2025 tillsynsbegäran mail.docx", "A 13546-2025")</f>
        <v/>
      </c>
    </row>
    <row r="133" ht="15" customHeight="1">
      <c r="A133" t="inlineStr">
        <is>
          <t>A 27625-2023</t>
        </is>
      </c>
      <c r="B133" s="1" t="n">
        <v>45097</v>
      </c>
      <c r="C133" s="1" t="n">
        <v>46098</v>
      </c>
      <c r="D133" t="inlineStr">
        <is>
          <t>UPPSALA LÄN</t>
        </is>
      </c>
      <c r="E133" t="inlineStr">
        <is>
          <t>UPPSALA</t>
        </is>
      </c>
      <c r="G133" t="n">
        <v>6</v>
      </c>
      <c r="H133" t="n">
        <v>4</v>
      </c>
      <c r="I133" t="n">
        <v>1</v>
      </c>
      <c r="J133" t="n">
        <v>1</v>
      </c>
      <c r="K133" t="n">
        <v>0</v>
      </c>
      <c r="L133" t="n">
        <v>0</v>
      </c>
      <c r="M133" t="n">
        <v>0</v>
      </c>
      <c r="N133" t="n">
        <v>0</v>
      </c>
      <c r="O133" t="n">
        <v>1</v>
      </c>
      <c r="P133" t="n">
        <v>0</v>
      </c>
      <c r="Q133" t="n">
        <v>5</v>
      </c>
      <c r="R133" s="2" t="inlineStr">
        <is>
          <t>Spillkråka
Fällmossa
Gröngöling
Skogsödla
Blåsippa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c r="Z133">
        <f>HYPERLINK("https://klasma.github.io/Logging_0380/fåglar/A 27625-2023 prioriterade fågelarter.docx", "A 27625-2023")</f>
        <v/>
      </c>
    </row>
    <row r="134" ht="15" customHeight="1">
      <c r="A134" t="inlineStr">
        <is>
          <t>A 32759-2023</t>
        </is>
      </c>
      <c r="B134" s="1" t="n">
        <v>45123</v>
      </c>
      <c r="C134" s="1" t="n">
        <v>46098</v>
      </c>
      <c r="D134" t="inlineStr">
        <is>
          <t>UPPSALA LÄN</t>
        </is>
      </c>
      <c r="E134" t="inlineStr">
        <is>
          <t>HEBY</t>
        </is>
      </c>
      <c r="G134" t="n">
        <v>23.9</v>
      </c>
      <c r="H134" t="n">
        <v>4</v>
      </c>
      <c r="I134" t="n">
        <v>2</v>
      </c>
      <c r="J134" t="n">
        <v>0</v>
      </c>
      <c r="K134" t="n">
        <v>1</v>
      </c>
      <c r="L134" t="n">
        <v>0</v>
      </c>
      <c r="M134" t="n">
        <v>0</v>
      </c>
      <c r="N134" t="n">
        <v>0</v>
      </c>
      <c r="O134" t="n">
        <v>1</v>
      </c>
      <c r="P134" t="n">
        <v>1</v>
      </c>
      <c r="Q134" t="n">
        <v>5</v>
      </c>
      <c r="R134" s="2" t="inlineStr">
        <is>
          <t>Knärot
Grön sköldmossa
Vedticka
Kungsfågel
Sparvuggla</t>
        </is>
      </c>
      <c r="S134">
        <f>HYPERLINK("https://klasma.github.io/Logging_0331/artfynd/A 32759-2023 artfynd.xlsx", "A 32759-2023")</f>
        <v/>
      </c>
      <c r="T134">
        <f>HYPERLINK("https://klasma.github.io/Logging_0331/kartor/A 32759-2023 karta.png", "A 32759-2023")</f>
        <v/>
      </c>
      <c r="U134">
        <f>HYPERLINK("https://klasma.github.io/Logging_0331/knärot/A 32759-2023 karta knärot.png", "A 32759-2023")</f>
        <v/>
      </c>
      <c r="V134">
        <f>HYPERLINK("https://klasma.github.io/Logging_0331/klagomål/A 32759-2023 FSC-klagomål.docx", "A 32759-2023")</f>
        <v/>
      </c>
      <c r="W134">
        <f>HYPERLINK("https://klasma.github.io/Logging_0331/klagomålsmail/A 32759-2023 FSC-klagomål mail.docx", "A 32759-2023")</f>
        <v/>
      </c>
      <c r="X134">
        <f>HYPERLINK("https://klasma.github.io/Logging_0331/tillsyn/A 32759-2023 tillsynsbegäran.docx", "A 32759-2023")</f>
        <v/>
      </c>
      <c r="Y134">
        <f>HYPERLINK("https://klasma.github.io/Logging_0331/tillsynsmail/A 32759-2023 tillsynsbegäran mail.docx", "A 32759-2023")</f>
        <v/>
      </c>
      <c r="Z134">
        <f>HYPERLINK("https://klasma.github.io/Logging_0331/fåglar/A 32759-2023 prioriterade fågelarter.docx", "A 32759-2023")</f>
        <v/>
      </c>
    </row>
    <row r="135" ht="15" customHeight="1">
      <c r="A135" t="inlineStr">
        <is>
          <t>A 26056-2025</t>
        </is>
      </c>
      <c r="B135" s="1" t="n">
        <v>45804.79280092593</v>
      </c>
      <c r="C135" s="1" t="n">
        <v>46098</v>
      </c>
      <c r="D135" t="inlineStr">
        <is>
          <t>UPPSALA LÄN</t>
        </is>
      </c>
      <c r="E135" t="inlineStr">
        <is>
          <t>ÖSTHAMMAR</t>
        </is>
      </c>
      <c r="F135" t="inlineStr">
        <is>
          <t>Bergvik skog väst AB</t>
        </is>
      </c>
      <c r="G135" t="n">
        <v>4.7</v>
      </c>
      <c r="H135" t="n">
        <v>0</v>
      </c>
      <c r="I135" t="n">
        <v>0</v>
      </c>
      <c r="J135" t="n">
        <v>4</v>
      </c>
      <c r="K135" t="n">
        <v>1</v>
      </c>
      <c r="L135" t="n">
        <v>0</v>
      </c>
      <c r="M135" t="n">
        <v>0</v>
      </c>
      <c r="N135" t="n">
        <v>0</v>
      </c>
      <c r="O135" t="n">
        <v>5</v>
      </c>
      <c r="P135" t="n">
        <v>1</v>
      </c>
      <c r="Q135" t="n">
        <v>5</v>
      </c>
      <c r="R135" s="2" t="inlineStr">
        <is>
          <t>Skägglavmätare
Jungfrulinspraktmal
Mindre träfjäril
Piltecknad fältmätare
Större borstspinnare</t>
        </is>
      </c>
      <c r="S135">
        <f>HYPERLINK("https://klasma.github.io/Logging_0382/artfynd/A 26056-2025 artfynd.xlsx", "A 26056-2025")</f>
        <v/>
      </c>
      <c r="T135">
        <f>HYPERLINK("https://klasma.github.io/Logging_0382/kartor/A 26056-2025 karta.png", "A 26056-2025")</f>
        <v/>
      </c>
      <c r="V135">
        <f>HYPERLINK("https://klasma.github.io/Logging_0382/klagomål/A 26056-2025 FSC-klagomål.docx", "A 26056-2025")</f>
        <v/>
      </c>
      <c r="W135">
        <f>HYPERLINK("https://klasma.github.io/Logging_0382/klagomålsmail/A 26056-2025 FSC-klagomål mail.docx", "A 26056-2025")</f>
        <v/>
      </c>
      <c r="X135">
        <f>HYPERLINK("https://klasma.github.io/Logging_0382/tillsyn/A 26056-2025 tillsynsbegäran.docx", "A 26056-2025")</f>
        <v/>
      </c>
      <c r="Y135">
        <f>HYPERLINK("https://klasma.github.io/Logging_0382/tillsynsmail/A 26056-2025 tillsynsbegäran mail.docx", "A 26056-2025")</f>
        <v/>
      </c>
    </row>
    <row r="136" ht="15" customHeight="1">
      <c r="A136" t="inlineStr">
        <is>
          <t>A 21809-2024</t>
        </is>
      </c>
      <c r="B136" s="1" t="n">
        <v>45442</v>
      </c>
      <c r="C136" s="1" t="n">
        <v>46098</v>
      </c>
      <c r="D136" t="inlineStr">
        <is>
          <t>UPPSALA LÄN</t>
        </is>
      </c>
      <c r="E136" t="inlineStr">
        <is>
          <t>UPPSALA</t>
        </is>
      </c>
      <c r="F136" t="inlineStr">
        <is>
          <t>Övriga statliga verk och myndigheter</t>
        </is>
      </c>
      <c r="G136" t="n">
        <v>6.6</v>
      </c>
      <c r="H136" t="n">
        <v>3</v>
      </c>
      <c r="I136" t="n">
        <v>1</v>
      </c>
      <c r="J136" t="n">
        <v>2</v>
      </c>
      <c r="K136" t="n">
        <v>0</v>
      </c>
      <c r="L136" t="n">
        <v>0</v>
      </c>
      <c r="M136" t="n">
        <v>0</v>
      </c>
      <c r="N136" t="n">
        <v>0</v>
      </c>
      <c r="O136" t="n">
        <v>2</v>
      </c>
      <c r="P136" t="n">
        <v>0</v>
      </c>
      <c r="Q136" t="n">
        <v>5</v>
      </c>
      <c r="R136" s="2" t="inlineStr">
        <is>
          <t>Igelkott
Nordfladdermus
Vågbandad barkbock
Dvärgpipistrell
Blåsippa</t>
        </is>
      </c>
      <c r="S136">
        <f>HYPERLINK("https://klasma.github.io/Logging_0380/artfynd/A 21809-2024 artfynd.xlsx", "A 21809-2024")</f>
        <v/>
      </c>
      <c r="T136">
        <f>HYPERLINK("https://klasma.github.io/Logging_0380/kartor/A 21809-2024 karta.png", "A 21809-2024")</f>
        <v/>
      </c>
      <c r="V136">
        <f>HYPERLINK("https://klasma.github.io/Logging_0380/klagomål/A 21809-2024 FSC-klagomål.docx", "A 21809-2024")</f>
        <v/>
      </c>
      <c r="W136">
        <f>HYPERLINK("https://klasma.github.io/Logging_0380/klagomålsmail/A 21809-2024 FSC-klagomål mail.docx", "A 21809-2024")</f>
        <v/>
      </c>
      <c r="X136">
        <f>HYPERLINK("https://klasma.github.io/Logging_0380/tillsyn/A 21809-2024 tillsynsbegäran.docx", "A 21809-2024")</f>
        <v/>
      </c>
      <c r="Y136">
        <f>HYPERLINK("https://klasma.github.io/Logging_0380/tillsynsmail/A 21809-2024 tillsynsbegäran mail.docx", "A 21809-2024")</f>
        <v/>
      </c>
    </row>
    <row r="137" ht="15" customHeight="1">
      <c r="A137" t="inlineStr">
        <is>
          <t>A 44601-2025</t>
        </is>
      </c>
      <c r="B137" s="1" t="n">
        <v>45917.43857638889</v>
      </c>
      <c r="C137" s="1" t="n">
        <v>46098</v>
      </c>
      <c r="D137" t="inlineStr">
        <is>
          <t>UPPSALA LÄN</t>
        </is>
      </c>
      <c r="E137" t="inlineStr">
        <is>
          <t>UPPSALA</t>
        </is>
      </c>
      <c r="G137" t="n">
        <v>5.5</v>
      </c>
      <c r="H137" t="n">
        <v>1</v>
      </c>
      <c r="I137" t="n">
        <v>1</v>
      </c>
      <c r="J137" t="n">
        <v>1</v>
      </c>
      <c r="K137" t="n">
        <v>0</v>
      </c>
      <c r="L137" t="n">
        <v>1</v>
      </c>
      <c r="M137" t="n">
        <v>1</v>
      </c>
      <c r="N137" t="n">
        <v>0</v>
      </c>
      <c r="O137" t="n">
        <v>3</v>
      </c>
      <c r="P137" t="n">
        <v>2</v>
      </c>
      <c r="Q137" t="n">
        <v>5</v>
      </c>
      <c r="R137" s="2" t="inlineStr">
        <is>
          <t>Skogsalm
Ask
Igelkott
Fjällig taggsvamp s.str.
Blåsippa</t>
        </is>
      </c>
      <c r="S137">
        <f>HYPERLINK("https://klasma.github.io/Logging_0380/artfynd/A 44601-2025 artfynd.xlsx", "A 44601-2025")</f>
        <v/>
      </c>
      <c r="T137">
        <f>HYPERLINK("https://klasma.github.io/Logging_0380/kartor/A 44601-2025 karta.png", "A 44601-2025")</f>
        <v/>
      </c>
      <c r="V137">
        <f>HYPERLINK("https://klasma.github.io/Logging_0380/klagomål/A 44601-2025 FSC-klagomål.docx", "A 44601-2025")</f>
        <v/>
      </c>
      <c r="W137">
        <f>HYPERLINK("https://klasma.github.io/Logging_0380/klagomålsmail/A 44601-2025 FSC-klagomål mail.docx", "A 44601-2025")</f>
        <v/>
      </c>
      <c r="X137">
        <f>HYPERLINK("https://klasma.github.io/Logging_0380/tillsyn/A 44601-2025 tillsynsbegäran.docx", "A 44601-2025")</f>
        <v/>
      </c>
      <c r="Y137">
        <f>HYPERLINK("https://klasma.github.io/Logging_0380/tillsynsmail/A 44601-2025 tillsynsbegäran mail.docx", "A 44601-2025")</f>
        <v/>
      </c>
    </row>
    <row r="138" ht="15" customHeight="1">
      <c r="A138" t="inlineStr">
        <is>
          <t>A 53870-2025</t>
        </is>
      </c>
      <c r="B138" s="1" t="n">
        <v>45961.38690972222</v>
      </c>
      <c r="C138" s="1" t="n">
        <v>46098</v>
      </c>
      <c r="D138" t="inlineStr">
        <is>
          <t>UPPSALA LÄN</t>
        </is>
      </c>
      <c r="E138" t="inlineStr">
        <is>
          <t>UPPSALA</t>
        </is>
      </c>
      <c r="G138" t="n">
        <v>2.3</v>
      </c>
      <c r="H138" t="n">
        <v>3</v>
      </c>
      <c r="I138" t="n">
        <v>0</v>
      </c>
      <c r="J138" t="n">
        <v>3</v>
      </c>
      <c r="K138" t="n">
        <v>1</v>
      </c>
      <c r="L138" t="n">
        <v>0</v>
      </c>
      <c r="M138" t="n">
        <v>0</v>
      </c>
      <c r="N138" t="n">
        <v>0</v>
      </c>
      <c r="O138" t="n">
        <v>4</v>
      </c>
      <c r="P138" t="n">
        <v>1</v>
      </c>
      <c r="Q138" t="n">
        <v>5</v>
      </c>
      <c r="R138" s="2" t="inlineStr">
        <is>
          <t>Knärot
Spillkråka
Vedtrappmossa
Vitplätt
Revlummer</t>
        </is>
      </c>
      <c r="S138">
        <f>HYPERLINK("https://klasma.github.io/Logging_0380/artfynd/A 53870-2025 artfynd.xlsx", "A 53870-2025")</f>
        <v/>
      </c>
      <c r="T138">
        <f>HYPERLINK("https://klasma.github.io/Logging_0380/kartor/A 53870-2025 karta.png", "A 53870-2025")</f>
        <v/>
      </c>
      <c r="U138">
        <f>HYPERLINK("https://klasma.github.io/Logging_0380/knärot/A 53870-2025 karta knärot.png", "A 53870-2025")</f>
        <v/>
      </c>
      <c r="V138">
        <f>HYPERLINK("https://klasma.github.io/Logging_0380/klagomål/A 53870-2025 FSC-klagomål.docx", "A 53870-2025")</f>
        <v/>
      </c>
      <c r="W138">
        <f>HYPERLINK("https://klasma.github.io/Logging_0380/klagomålsmail/A 53870-2025 FSC-klagomål mail.docx", "A 53870-2025")</f>
        <v/>
      </c>
      <c r="X138">
        <f>HYPERLINK("https://klasma.github.io/Logging_0380/tillsyn/A 53870-2025 tillsynsbegäran.docx", "A 53870-2025")</f>
        <v/>
      </c>
      <c r="Y138">
        <f>HYPERLINK("https://klasma.github.io/Logging_0380/tillsynsmail/A 53870-2025 tillsynsbegäran mail.docx", "A 53870-2025")</f>
        <v/>
      </c>
      <c r="Z138">
        <f>HYPERLINK("https://klasma.github.io/Logging_0380/fåglar/A 53870-2025 prioriterade fågelarter.docx", "A 53870-2025")</f>
        <v/>
      </c>
    </row>
    <row r="139" ht="15" customHeight="1">
      <c r="A139" t="inlineStr">
        <is>
          <t>A 53851-2025</t>
        </is>
      </c>
      <c r="B139" s="1" t="n">
        <v>45961.37217592593</v>
      </c>
      <c r="C139" s="1" t="n">
        <v>46098</v>
      </c>
      <c r="D139" t="inlineStr">
        <is>
          <t>UPPSALA LÄN</t>
        </is>
      </c>
      <c r="E139" t="inlineStr">
        <is>
          <t>UPPSALA</t>
        </is>
      </c>
      <c r="G139" t="n">
        <v>2.6</v>
      </c>
      <c r="H139" t="n">
        <v>3</v>
      </c>
      <c r="I139" t="n">
        <v>1</v>
      </c>
      <c r="J139" t="n">
        <v>2</v>
      </c>
      <c r="K139" t="n">
        <v>1</v>
      </c>
      <c r="L139" t="n">
        <v>0</v>
      </c>
      <c r="M139" t="n">
        <v>0</v>
      </c>
      <c r="N139" t="n">
        <v>0</v>
      </c>
      <c r="O139" t="n">
        <v>3</v>
      </c>
      <c r="P139" t="n">
        <v>1</v>
      </c>
      <c r="Q139" t="n">
        <v>5</v>
      </c>
      <c r="R139" s="2" t="inlineStr">
        <is>
          <t>Knärot
Spillkråka
Vedtrappmossa
Jättesvampmal
Revlummer</t>
        </is>
      </c>
      <c r="S139">
        <f>HYPERLINK("https://klasma.github.io/Logging_0380/artfynd/A 53851-2025 artfynd.xlsx", "A 53851-2025")</f>
        <v/>
      </c>
      <c r="T139">
        <f>HYPERLINK("https://klasma.github.io/Logging_0380/kartor/A 53851-2025 karta.png", "A 53851-2025")</f>
        <v/>
      </c>
      <c r="U139">
        <f>HYPERLINK("https://klasma.github.io/Logging_0380/knärot/A 53851-2025 karta knärot.png", "A 53851-2025")</f>
        <v/>
      </c>
      <c r="V139">
        <f>HYPERLINK("https://klasma.github.io/Logging_0380/klagomål/A 53851-2025 FSC-klagomål.docx", "A 53851-2025")</f>
        <v/>
      </c>
      <c r="W139">
        <f>HYPERLINK("https://klasma.github.io/Logging_0380/klagomålsmail/A 53851-2025 FSC-klagomål mail.docx", "A 53851-2025")</f>
        <v/>
      </c>
      <c r="X139">
        <f>HYPERLINK("https://klasma.github.io/Logging_0380/tillsyn/A 53851-2025 tillsynsbegäran.docx", "A 53851-2025")</f>
        <v/>
      </c>
      <c r="Y139">
        <f>HYPERLINK("https://klasma.github.io/Logging_0380/tillsynsmail/A 53851-2025 tillsynsbegäran mail.docx", "A 53851-2025")</f>
        <v/>
      </c>
      <c r="Z139">
        <f>HYPERLINK("https://klasma.github.io/Logging_0380/fåglar/A 53851-2025 prioriterade fågelarter.docx", "A 53851-2025")</f>
        <v/>
      </c>
    </row>
    <row r="140" ht="15" customHeight="1">
      <c r="A140" t="inlineStr">
        <is>
          <t>A 56075-2023</t>
        </is>
      </c>
      <c r="B140" s="1" t="n">
        <v>45240</v>
      </c>
      <c r="C140" s="1" t="n">
        <v>46098</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46508-2025</t>
        </is>
      </c>
      <c r="B141" s="1" t="n">
        <v>45925.91729166666</v>
      </c>
      <c r="C141" s="1" t="n">
        <v>46098</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15556-2022</t>
        </is>
      </c>
      <c r="B142" s="1" t="n">
        <v>44662</v>
      </c>
      <c r="C142" s="1" t="n">
        <v>46098</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64002-2025</t>
        </is>
      </c>
      <c r="B143" s="1" t="n">
        <v>46021.40372685185</v>
      </c>
      <c r="C143" s="1" t="n">
        <v>46098</v>
      </c>
      <c r="D143" t="inlineStr">
        <is>
          <t>UPPSALA LÄN</t>
        </is>
      </c>
      <c r="E143" t="inlineStr">
        <is>
          <t>TIERP</t>
        </is>
      </c>
      <c r="F143" t="inlineStr">
        <is>
          <t>Bergvik skog öst AB</t>
        </is>
      </c>
      <c r="G143" t="n">
        <v>6.2</v>
      </c>
      <c r="H143" t="n">
        <v>1</v>
      </c>
      <c r="I143" t="n">
        <v>4</v>
      </c>
      <c r="J143" t="n">
        <v>1</v>
      </c>
      <c r="K143" t="n">
        <v>0</v>
      </c>
      <c r="L143" t="n">
        <v>0</v>
      </c>
      <c r="M143" t="n">
        <v>0</v>
      </c>
      <c r="N143" t="n">
        <v>0</v>
      </c>
      <c r="O143" t="n">
        <v>1</v>
      </c>
      <c r="P143" t="n">
        <v>0</v>
      </c>
      <c r="Q143" t="n">
        <v>5</v>
      </c>
      <c r="R143" s="2" t="inlineStr">
        <is>
          <t>Loppstarr
Axag
Nästrot
Svart trolldruva
Tibast</t>
        </is>
      </c>
      <c r="S143">
        <f>HYPERLINK("https://klasma.github.io/Logging_0360/artfynd/A 64002-2025 artfynd.xlsx", "A 64002-2025")</f>
        <v/>
      </c>
      <c r="T143">
        <f>HYPERLINK("https://klasma.github.io/Logging_0360/kartor/A 64002-2025 karta.png", "A 64002-2025")</f>
        <v/>
      </c>
      <c r="V143">
        <f>HYPERLINK("https://klasma.github.io/Logging_0360/klagomål/A 64002-2025 FSC-klagomål.docx", "A 64002-2025")</f>
        <v/>
      </c>
      <c r="W143">
        <f>HYPERLINK("https://klasma.github.io/Logging_0360/klagomålsmail/A 64002-2025 FSC-klagomål mail.docx", "A 64002-2025")</f>
        <v/>
      </c>
      <c r="X143">
        <f>HYPERLINK("https://klasma.github.io/Logging_0360/tillsyn/A 64002-2025 tillsynsbegäran.docx", "A 64002-2025")</f>
        <v/>
      </c>
      <c r="Y143">
        <f>HYPERLINK("https://klasma.github.io/Logging_0360/tillsynsmail/A 64002-2025 tillsynsbegäran mail.docx", "A 64002-2025")</f>
        <v/>
      </c>
    </row>
    <row r="144" ht="15" customHeight="1">
      <c r="A144" t="inlineStr">
        <is>
          <t>A 59538-2025</t>
        </is>
      </c>
      <c r="B144" s="1" t="n">
        <v>45989.96568287037</v>
      </c>
      <c r="C144" s="1" t="n">
        <v>46098</v>
      </c>
      <c r="D144" t="inlineStr">
        <is>
          <t>UPPSALA LÄN</t>
        </is>
      </c>
      <c r="E144" t="inlineStr">
        <is>
          <t>UPPSALA</t>
        </is>
      </c>
      <c r="G144" t="n">
        <v>4.3</v>
      </c>
      <c r="H144" t="n">
        <v>3</v>
      </c>
      <c r="I144" t="n">
        <v>1</v>
      </c>
      <c r="J144" t="n">
        <v>3</v>
      </c>
      <c r="K144" t="n">
        <v>0</v>
      </c>
      <c r="L144" t="n">
        <v>0</v>
      </c>
      <c r="M144" t="n">
        <v>0</v>
      </c>
      <c r="N144" t="n">
        <v>0</v>
      </c>
      <c r="O144" t="n">
        <v>3</v>
      </c>
      <c r="P144" t="n">
        <v>0</v>
      </c>
      <c r="Q144" t="n">
        <v>5</v>
      </c>
      <c r="R144" s="2" t="inlineStr">
        <is>
          <t>Spillkråka
Talltita
Ullticka
Vågbandad barkbock
Lopplummer (aggregat)</t>
        </is>
      </c>
      <c r="S144">
        <f>HYPERLINK("https://klasma.github.io/Logging_0380/artfynd/A 59538-2025 artfynd.xlsx", "A 59538-2025")</f>
        <v/>
      </c>
      <c r="T144">
        <f>HYPERLINK("https://klasma.github.io/Logging_0380/kartor/A 59538-2025 karta.png", "A 59538-2025")</f>
        <v/>
      </c>
      <c r="U144">
        <f>HYPERLINK("https://klasma.github.io/Logging_0380/knärot/A 59538-2025 karta knärot.png", "A 59538-2025")</f>
        <v/>
      </c>
      <c r="V144">
        <f>HYPERLINK("https://klasma.github.io/Logging_0380/klagomål/A 59538-2025 FSC-klagomål.docx", "A 59538-2025")</f>
        <v/>
      </c>
      <c r="W144">
        <f>HYPERLINK("https://klasma.github.io/Logging_0380/klagomålsmail/A 59538-2025 FSC-klagomål mail.docx", "A 59538-2025")</f>
        <v/>
      </c>
      <c r="X144">
        <f>HYPERLINK("https://klasma.github.io/Logging_0380/tillsyn/A 59538-2025 tillsynsbegäran.docx", "A 59538-2025")</f>
        <v/>
      </c>
      <c r="Y144">
        <f>HYPERLINK("https://klasma.github.io/Logging_0380/tillsynsmail/A 59538-2025 tillsynsbegäran mail.docx", "A 59538-2025")</f>
        <v/>
      </c>
      <c r="Z144">
        <f>HYPERLINK("https://klasma.github.io/Logging_0380/fåglar/A 59538-2025 prioriterade fågelarter.docx", "A 59538-2025")</f>
        <v/>
      </c>
    </row>
    <row r="145" ht="15" customHeight="1">
      <c r="A145" t="inlineStr">
        <is>
          <t>A 1101-2026</t>
        </is>
      </c>
      <c r="B145" s="1" t="n">
        <v>46030.66722222222</v>
      </c>
      <c r="C145" s="1" t="n">
        <v>46098</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29803-2023</t>
        </is>
      </c>
      <c r="B146" s="1" t="n">
        <v>45107</v>
      </c>
      <c r="C146" s="1" t="n">
        <v>46098</v>
      </c>
      <c r="D146" t="inlineStr">
        <is>
          <t>UPPSALA LÄN</t>
        </is>
      </c>
      <c r="E146" t="inlineStr">
        <is>
          <t>UPPSALA</t>
        </is>
      </c>
      <c r="G146" t="n">
        <v>2.5</v>
      </c>
      <c r="H146" t="n">
        <v>0</v>
      </c>
      <c r="I146" t="n">
        <v>3</v>
      </c>
      <c r="J146" t="n">
        <v>2</v>
      </c>
      <c r="K146" t="n">
        <v>0</v>
      </c>
      <c r="L146" t="n">
        <v>0</v>
      </c>
      <c r="M146" t="n">
        <v>0</v>
      </c>
      <c r="N146" t="n">
        <v>0</v>
      </c>
      <c r="O146" t="n">
        <v>2</v>
      </c>
      <c r="P146" t="n">
        <v>0</v>
      </c>
      <c r="Q146" t="n">
        <v>5</v>
      </c>
      <c r="R146" s="2" t="inlineStr">
        <is>
          <t>Barrviolspindling
Flattoppad klubbsvamp
Blomkålssvamp
Fjällig taggsvamp s.str.
Svavelriska</t>
        </is>
      </c>
      <c r="S146">
        <f>HYPERLINK("https://klasma.github.io/Logging_0380/artfynd/A 29803-2023 artfynd.xlsx", "A 29803-2023")</f>
        <v/>
      </c>
      <c r="T146">
        <f>HYPERLINK("https://klasma.github.io/Logging_0380/kartor/A 29803-2023 karta.png", "A 29803-2023")</f>
        <v/>
      </c>
      <c r="V146">
        <f>HYPERLINK("https://klasma.github.io/Logging_0380/klagomål/A 29803-2023 FSC-klagomål.docx", "A 29803-2023")</f>
        <v/>
      </c>
      <c r="W146">
        <f>HYPERLINK("https://klasma.github.io/Logging_0380/klagomålsmail/A 29803-2023 FSC-klagomål mail.docx", "A 29803-2023")</f>
        <v/>
      </c>
      <c r="X146">
        <f>HYPERLINK("https://klasma.github.io/Logging_0380/tillsyn/A 29803-2023 tillsynsbegäran.docx", "A 29803-2023")</f>
        <v/>
      </c>
      <c r="Y146">
        <f>HYPERLINK("https://klasma.github.io/Logging_0380/tillsynsmail/A 29803-2023 tillsynsbegäran mail.docx", "A 29803-2023")</f>
        <v/>
      </c>
    </row>
    <row r="147" ht="15" customHeight="1">
      <c r="A147" t="inlineStr">
        <is>
          <t>A 12958-2026</t>
        </is>
      </c>
      <c r="B147" s="1" t="n">
        <v>46092.63871527778</v>
      </c>
      <c r="C147" s="1" t="n">
        <v>46098</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43056-2025</t>
        </is>
      </c>
      <c r="B148" s="1" t="n">
        <v>45909.57565972222</v>
      </c>
      <c r="C148" s="1" t="n">
        <v>46098</v>
      </c>
      <c r="D148" t="inlineStr">
        <is>
          <t>UPPSALA LÄN</t>
        </is>
      </c>
      <c r="E148" t="inlineStr">
        <is>
          <t>UPPSALA</t>
        </is>
      </c>
      <c r="F148" t="inlineStr">
        <is>
          <t>Allmännings- och besparingsskogar</t>
        </is>
      </c>
      <c r="G148" t="n">
        <v>11.8</v>
      </c>
      <c r="H148" t="n">
        <v>2</v>
      </c>
      <c r="I148" t="n">
        <v>1</v>
      </c>
      <c r="J148" t="n">
        <v>2</v>
      </c>
      <c r="K148" t="n">
        <v>1</v>
      </c>
      <c r="L148" t="n">
        <v>0</v>
      </c>
      <c r="M148" t="n">
        <v>0</v>
      </c>
      <c r="N148" t="n">
        <v>0</v>
      </c>
      <c r="O148" t="n">
        <v>3</v>
      </c>
      <c r="P148" t="n">
        <v>1</v>
      </c>
      <c r="Q148" t="n">
        <v>5</v>
      </c>
      <c r="R148" s="2" t="inlineStr">
        <is>
          <t>Rynkskinn
Spillkråka
Ullticka
Trådticka
Sparvuggla</t>
        </is>
      </c>
      <c r="S148">
        <f>HYPERLINK("https://klasma.github.io/Logging_0380/artfynd/A 43056-2025 artfynd.xlsx", "A 43056-2025")</f>
        <v/>
      </c>
      <c r="T148">
        <f>HYPERLINK("https://klasma.github.io/Logging_0380/kartor/A 43056-2025 karta.png", "A 43056-2025")</f>
        <v/>
      </c>
      <c r="V148">
        <f>HYPERLINK("https://klasma.github.io/Logging_0380/klagomål/A 43056-2025 FSC-klagomål.docx", "A 43056-2025")</f>
        <v/>
      </c>
      <c r="W148">
        <f>HYPERLINK("https://klasma.github.io/Logging_0380/klagomålsmail/A 43056-2025 FSC-klagomål mail.docx", "A 43056-2025")</f>
        <v/>
      </c>
      <c r="X148">
        <f>HYPERLINK("https://klasma.github.io/Logging_0380/tillsyn/A 43056-2025 tillsynsbegäran.docx", "A 43056-2025")</f>
        <v/>
      </c>
      <c r="Y148">
        <f>HYPERLINK("https://klasma.github.io/Logging_0380/tillsynsmail/A 43056-2025 tillsynsbegäran mail.docx", "A 43056-2025")</f>
        <v/>
      </c>
      <c r="Z148">
        <f>HYPERLINK("https://klasma.github.io/Logging_0380/fåglar/A 43056-2025 prioriterade fågelarter.docx", "A 43056-2025")</f>
        <v/>
      </c>
    </row>
    <row r="149" ht="15" customHeight="1">
      <c r="A149" t="inlineStr">
        <is>
          <t>A 1988-2022</t>
        </is>
      </c>
      <c r="B149" s="1" t="n">
        <v>44575</v>
      </c>
      <c r="C149" s="1" t="n">
        <v>46098</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20997-2022</t>
        </is>
      </c>
      <c r="B150" s="1" t="n">
        <v>44701</v>
      </c>
      <c r="C150" s="1" t="n">
        <v>46098</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7125-2023</t>
        </is>
      </c>
      <c r="B151" s="1" t="n">
        <v>44970</v>
      </c>
      <c r="C151" s="1" t="n">
        <v>46098</v>
      </c>
      <c r="D151" t="inlineStr">
        <is>
          <t>UPPSALA LÄN</t>
        </is>
      </c>
      <c r="E151" t="inlineStr">
        <is>
          <t>TIERP</t>
        </is>
      </c>
      <c r="F151" t="inlineStr">
        <is>
          <t>Bergvik skog öst AB</t>
        </is>
      </c>
      <c r="G151" t="n">
        <v>23.2</v>
      </c>
      <c r="H151" t="n">
        <v>4</v>
      </c>
      <c r="I151" t="n">
        <v>2</v>
      </c>
      <c r="J151" t="n">
        <v>0</v>
      </c>
      <c r="K151" t="n">
        <v>1</v>
      </c>
      <c r="L151" t="n">
        <v>0</v>
      </c>
      <c r="M151" t="n">
        <v>0</v>
      </c>
      <c r="N151" t="n">
        <v>0</v>
      </c>
      <c r="O151" t="n">
        <v>1</v>
      </c>
      <c r="P151" t="n">
        <v>1</v>
      </c>
      <c r="Q151" t="n">
        <v>5</v>
      </c>
      <c r="R151" s="2" t="inlineStr">
        <is>
          <t>Knärot
Rödgul trumpetsvamp
Skogsknipprot
Blåsippa
Revlummer</t>
        </is>
      </c>
      <c r="S151">
        <f>HYPERLINK("https://klasma.github.io/Logging_0360/artfynd/A 7125-2023 artfynd.xlsx", "A 7125-2023")</f>
        <v/>
      </c>
      <c r="T151">
        <f>HYPERLINK("https://klasma.github.io/Logging_0360/kartor/A 7125-2023 karta.png", "A 7125-2023")</f>
        <v/>
      </c>
      <c r="U151">
        <f>HYPERLINK("https://klasma.github.io/Logging_0360/knärot/A 7125-2023 karta knärot.png", "A 7125-2023")</f>
        <v/>
      </c>
      <c r="V151">
        <f>HYPERLINK("https://klasma.github.io/Logging_0360/klagomål/A 7125-2023 FSC-klagomål.docx", "A 7125-2023")</f>
        <v/>
      </c>
      <c r="W151">
        <f>HYPERLINK("https://klasma.github.io/Logging_0360/klagomålsmail/A 7125-2023 FSC-klagomål mail.docx", "A 7125-2023")</f>
        <v/>
      </c>
      <c r="X151">
        <f>HYPERLINK("https://klasma.github.io/Logging_0360/tillsyn/A 7125-2023 tillsynsbegäran.docx", "A 7125-2023")</f>
        <v/>
      </c>
      <c r="Y151">
        <f>HYPERLINK("https://klasma.github.io/Logging_0360/tillsynsmail/A 7125-2023 tillsynsbegäran mail.docx", "A 7125-2023")</f>
        <v/>
      </c>
    </row>
    <row r="152" ht="15" customHeight="1">
      <c r="A152" t="inlineStr">
        <is>
          <t>A 24563-2022</t>
        </is>
      </c>
      <c r="B152" s="1" t="n">
        <v>44727</v>
      </c>
      <c r="C152" s="1" t="n">
        <v>46098</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43992-2022</t>
        </is>
      </c>
      <c r="B153" s="1" t="n">
        <v>44837</v>
      </c>
      <c r="C153" s="1" t="n">
        <v>46098</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3511-2023</t>
        </is>
      </c>
      <c r="B154" s="1" t="n">
        <v>44950</v>
      </c>
      <c r="C154" s="1" t="n">
        <v>46098</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23498-2023</t>
        </is>
      </c>
      <c r="B155" s="1" t="n">
        <v>45076</v>
      </c>
      <c r="C155" s="1" t="n">
        <v>46098</v>
      </c>
      <c r="D155" t="inlineStr">
        <is>
          <t>UPPSALA LÄN</t>
        </is>
      </c>
      <c r="E155" t="inlineStr">
        <is>
          <t>ÖSTHAMMAR</t>
        </is>
      </c>
      <c r="F155" t="inlineStr">
        <is>
          <t>Sveaskog</t>
        </is>
      </c>
      <c r="G155" t="n">
        <v>1.4</v>
      </c>
      <c r="H155" t="n">
        <v>5</v>
      </c>
      <c r="I155" t="n">
        <v>0</v>
      </c>
      <c r="J155" t="n">
        <v>3</v>
      </c>
      <c r="K155" t="n">
        <v>1</v>
      </c>
      <c r="L155" t="n">
        <v>1</v>
      </c>
      <c r="M155" t="n">
        <v>0</v>
      </c>
      <c r="N155" t="n">
        <v>0</v>
      </c>
      <c r="O155" t="n">
        <v>5</v>
      </c>
      <c r="P155" t="n">
        <v>2</v>
      </c>
      <c r="Q155" t="n">
        <v>5</v>
      </c>
      <c r="R155" s="2" t="inlineStr">
        <is>
          <t>Grönfink
Gråtrut
Gulsparv
Svartvit flugsnappare
Talltita</t>
        </is>
      </c>
      <c r="S155">
        <f>HYPERLINK("https://klasma.github.io/Logging_0382/artfynd/A 23498-2023 artfynd.xlsx", "A 23498-2023")</f>
        <v/>
      </c>
      <c r="T155">
        <f>HYPERLINK("https://klasma.github.io/Logging_0382/kartor/A 23498-2023 karta.png", "A 23498-2023")</f>
        <v/>
      </c>
      <c r="V155">
        <f>HYPERLINK("https://klasma.github.io/Logging_0382/klagomål/A 23498-2023 FSC-klagomål.docx", "A 23498-2023")</f>
        <v/>
      </c>
      <c r="W155">
        <f>HYPERLINK("https://klasma.github.io/Logging_0382/klagomålsmail/A 23498-2023 FSC-klagomål mail.docx", "A 23498-2023")</f>
        <v/>
      </c>
      <c r="X155">
        <f>HYPERLINK("https://klasma.github.io/Logging_0382/tillsyn/A 23498-2023 tillsynsbegäran.docx", "A 23498-2023")</f>
        <v/>
      </c>
      <c r="Y155">
        <f>HYPERLINK("https://klasma.github.io/Logging_0382/tillsynsmail/A 23498-2023 tillsynsbegäran mail.docx", "A 23498-2023")</f>
        <v/>
      </c>
      <c r="Z155">
        <f>HYPERLINK("https://klasma.github.io/Logging_0382/fåglar/A 23498-2023 prioriterade fågelarter.docx", "A 23498-2023")</f>
        <v/>
      </c>
    </row>
    <row r="156" ht="15" customHeight="1">
      <c r="A156" t="inlineStr">
        <is>
          <t>A 74364-2021</t>
        </is>
      </c>
      <c r="B156" s="1" t="n">
        <v>44559</v>
      </c>
      <c r="C156" s="1" t="n">
        <v>46098</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60284-2022</t>
        </is>
      </c>
      <c r="B157" s="1" t="n">
        <v>44910</v>
      </c>
      <c r="C157" s="1" t="n">
        <v>46098</v>
      </c>
      <c r="D157" t="inlineStr">
        <is>
          <t>UPPSALA LÄN</t>
        </is>
      </c>
      <c r="E157" t="inlineStr">
        <is>
          <t>ENKÖPING</t>
        </is>
      </c>
      <c r="G157" t="n">
        <v>2.9</v>
      </c>
      <c r="H157" t="n">
        <v>2</v>
      </c>
      <c r="I157" t="n">
        <v>4</v>
      </c>
      <c r="J157" t="n">
        <v>0</v>
      </c>
      <c r="K157" t="n">
        <v>0</v>
      </c>
      <c r="L157" t="n">
        <v>0</v>
      </c>
      <c r="M157" t="n">
        <v>0</v>
      </c>
      <c r="N157" t="n">
        <v>0</v>
      </c>
      <c r="O157" t="n">
        <v>0</v>
      </c>
      <c r="P157" t="n">
        <v>0</v>
      </c>
      <c r="Q157" t="n">
        <v>5</v>
      </c>
      <c r="R157" s="2" t="inlineStr">
        <is>
          <t>Fjällig taggsvamp s.str.
Nästrot
Olivspindling
Strimspindling
Gullviva</t>
        </is>
      </c>
      <c r="S157">
        <f>HYPERLINK("https://klasma.github.io/Logging_0381/artfynd/A 60284-2022 artfynd.xlsx", "A 60284-2022")</f>
        <v/>
      </c>
      <c r="T157">
        <f>HYPERLINK("https://klasma.github.io/Logging_0381/kartor/A 60284-2022 karta.png", "A 60284-2022")</f>
        <v/>
      </c>
      <c r="V157">
        <f>HYPERLINK("https://klasma.github.io/Logging_0381/klagomål/A 60284-2022 FSC-klagomål.docx", "A 60284-2022")</f>
        <v/>
      </c>
      <c r="W157">
        <f>HYPERLINK("https://klasma.github.io/Logging_0381/klagomålsmail/A 60284-2022 FSC-klagomål mail.docx", "A 60284-2022")</f>
        <v/>
      </c>
      <c r="X157">
        <f>HYPERLINK("https://klasma.github.io/Logging_0381/tillsyn/A 60284-2022 tillsynsbegäran.docx", "A 60284-2022")</f>
        <v/>
      </c>
      <c r="Y157">
        <f>HYPERLINK("https://klasma.github.io/Logging_0381/tillsynsmail/A 60284-2022 tillsynsbegäran mail.docx", "A 60284-2022")</f>
        <v/>
      </c>
    </row>
    <row r="158" ht="15" customHeight="1">
      <c r="A158" t="inlineStr">
        <is>
          <t>A 31572-2023</t>
        </is>
      </c>
      <c r="B158" s="1" t="n">
        <v>45117</v>
      </c>
      <c r="C158" s="1" t="n">
        <v>46098</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1725-2022</t>
        </is>
      </c>
      <c r="B159" s="1" t="n">
        <v>44574</v>
      </c>
      <c r="C159" s="1" t="n">
        <v>46098</v>
      </c>
      <c r="D159" t="inlineStr">
        <is>
          <t>UPPSALA LÄN</t>
        </is>
      </c>
      <c r="E159" t="inlineStr">
        <is>
          <t>UPPSALA</t>
        </is>
      </c>
      <c r="G159" t="n">
        <v>6.1</v>
      </c>
      <c r="H159" t="n">
        <v>1</v>
      </c>
      <c r="I159" t="n">
        <v>4</v>
      </c>
      <c r="J159" t="n">
        <v>1</v>
      </c>
      <c r="K159" t="n">
        <v>0</v>
      </c>
      <c r="L159" t="n">
        <v>0</v>
      </c>
      <c r="M159" t="n">
        <v>0</v>
      </c>
      <c r="N159" t="n">
        <v>0</v>
      </c>
      <c r="O159" t="n">
        <v>1</v>
      </c>
      <c r="P159" t="n">
        <v>0</v>
      </c>
      <c r="Q159" t="n">
        <v>5</v>
      </c>
      <c r="R159" s="2" t="inlineStr">
        <is>
          <t>Järpe
Fjällig taggsvamp s.str.
Fällmossa
Platt fjädermossa
Stubbspretmossa</t>
        </is>
      </c>
      <c r="S159">
        <f>HYPERLINK("https://klasma.github.io/Logging_0380/artfynd/A 1725-2022 artfynd.xlsx", "A 1725-2022")</f>
        <v/>
      </c>
      <c r="T159">
        <f>HYPERLINK("https://klasma.github.io/Logging_0380/kartor/A 1725-2022 karta.png", "A 1725-2022")</f>
        <v/>
      </c>
      <c r="V159">
        <f>HYPERLINK("https://klasma.github.io/Logging_0380/klagomål/A 1725-2022 FSC-klagomål.docx", "A 1725-2022")</f>
        <v/>
      </c>
      <c r="W159">
        <f>HYPERLINK("https://klasma.github.io/Logging_0380/klagomålsmail/A 1725-2022 FSC-klagomål mail.docx", "A 1725-2022")</f>
        <v/>
      </c>
      <c r="X159">
        <f>HYPERLINK("https://klasma.github.io/Logging_0380/tillsyn/A 1725-2022 tillsynsbegäran.docx", "A 1725-2022")</f>
        <v/>
      </c>
      <c r="Y159">
        <f>HYPERLINK("https://klasma.github.io/Logging_0380/tillsynsmail/A 1725-2022 tillsynsbegäran mail.docx", "A 1725-2022")</f>
        <v/>
      </c>
      <c r="Z159">
        <f>HYPERLINK("https://klasma.github.io/Logging_0380/fåglar/A 1725-2022 prioriterade fågelarter.docx", "A 1725-2022")</f>
        <v/>
      </c>
    </row>
    <row r="160" ht="15" customHeight="1">
      <c r="A160" t="inlineStr">
        <is>
          <t>A 27389-2021</t>
        </is>
      </c>
      <c r="B160" s="1" t="n">
        <v>44351</v>
      </c>
      <c r="C160" s="1" t="n">
        <v>46098</v>
      </c>
      <c r="D160" t="inlineStr">
        <is>
          <t>UPPSALA LÄN</t>
        </is>
      </c>
      <c r="E160" t="inlineStr">
        <is>
          <t>UPPSALA</t>
        </is>
      </c>
      <c r="G160" t="n">
        <v>2.9</v>
      </c>
      <c r="H160" t="n">
        <v>1</v>
      </c>
      <c r="I160" t="n">
        <v>2</v>
      </c>
      <c r="J160" t="n">
        <v>2</v>
      </c>
      <c r="K160" t="n">
        <v>1</v>
      </c>
      <c r="L160" t="n">
        <v>0</v>
      </c>
      <c r="M160" t="n">
        <v>0</v>
      </c>
      <c r="N160" t="n">
        <v>0</v>
      </c>
      <c r="O160" t="n">
        <v>3</v>
      </c>
      <c r="P160" t="n">
        <v>1</v>
      </c>
      <c r="Q160" t="n">
        <v>5</v>
      </c>
      <c r="R160" s="2" t="inlineStr">
        <is>
          <t>Knärot
Rutskinn
Vedtrappmossa
Terpentinmossa
Vedticka</t>
        </is>
      </c>
      <c r="S160">
        <f>HYPERLINK("https://klasma.github.io/Logging_0380/artfynd/A 27389-2021 artfynd.xlsx", "A 27389-2021")</f>
        <v/>
      </c>
      <c r="T160">
        <f>HYPERLINK("https://klasma.github.io/Logging_0380/kartor/A 27389-2021 karta.png", "A 27389-2021")</f>
        <v/>
      </c>
      <c r="U160">
        <f>HYPERLINK("https://klasma.github.io/Logging_0380/knärot/A 27389-2021 karta knärot.png", "A 27389-2021")</f>
        <v/>
      </c>
      <c r="V160">
        <f>HYPERLINK("https://klasma.github.io/Logging_0380/klagomål/A 27389-2021 FSC-klagomål.docx", "A 27389-2021")</f>
        <v/>
      </c>
      <c r="W160">
        <f>HYPERLINK("https://klasma.github.io/Logging_0380/klagomålsmail/A 27389-2021 FSC-klagomål mail.docx", "A 27389-2021")</f>
        <v/>
      </c>
      <c r="X160">
        <f>HYPERLINK("https://klasma.github.io/Logging_0380/tillsyn/A 27389-2021 tillsynsbegäran.docx", "A 27389-2021")</f>
        <v/>
      </c>
      <c r="Y160">
        <f>HYPERLINK("https://klasma.github.io/Logging_0380/tillsynsmail/A 27389-2021 tillsynsbegäran mail.docx", "A 27389-2021")</f>
        <v/>
      </c>
    </row>
    <row r="161" ht="15" customHeight="1">
      <c r="A161" t="inlineStr">
        <is>
          <t>A 52808-2022</t>
        </is>
      </c>
      <c r="B161" s="1" t="n">
        <v>44875</v>
      </c>
      <c r="C161" s="1" t="n">
        <v>46098</v>
      </c>
      <c r="D161" t="inlineStr">
        <is>
          <t>UPPSALA LÄN</t>
        </is>
      </c>
      <c r="E161" t="inlineStr">
        <is>
          <t>ÖSTHAMMAR</t>
        </is>
      </c>
      <c r="G161" t="n">
        <v>4.8</v>
      </c>
      <c r="H161" t="n">
        <v>2</v>
      </c>
      <c r="I161" t="n">
        <v>3</v>
      </c>
      <c r="J161" t="n">
        <v>0</v>
      </c>
      <c r="K161" t="n">
        <v>0</v>
      </c>
      <c r="L161" t="n">
        <v>0</v>
      </c>
      <c r="M161" t="n">
        <v>0</v>
      </c>
      <c r="N161" t="n">
        <v>0</v>
      </c>
      <c r="O161" t="n">
        <v>0</v>
      </c>
      <c r="P161" t="n">
        <v>0</v>
      </c>
      <c r="Q161" t="n">
        <v>4</v>
      </c>
      <c r="R161" s="2" t="inlineStr">
        <is>
          <t>Hasselticka
Tibast
Tvåblad
Revlummer</t>
        </is>
      </c>
      <c r="S161">
        <f>HYPERLINK("https://klasma.github.io/Logging_0382/artfynd/A 52808-2022 artfynd.xlsx", "A 52808-2022")</f>
        <v/>
      </c>
      <c r="T161">
        <f>HYPERLINK("https://klasma.github.io/Logging_0382/kartor/A 52808-2022 karta.png", "A 52808-2022")</f>
        <v/>
      </c>
      <c r="V161">
        <f>HYPERLINK("https://klasma.github.io/Logging_0382/klagomål/A 52808-2022 FSC-klagomål.docx", "A 52808-2022")</f>
        <v/>
      </c>
      <c r="W161">
        <f>HYPERLINK("https://klasma.github.io/Logging_0382/klagomålsmail/A 52808-2022 FSC-klagomål mail.docx", "A 52808-2022")</f>
        <v/>
      </c>
      <c r="X161">
        <f>HYPERLINK("https://klasma.github.io/Logging_0382/tillsyn/A 52808-2022 tillsynsbegäran.docx", "A 52808-2022")</f>
        <v/>
      </c>
      <c r="Y161">
        <f>HYPERLINK("https://klasma.github.io/Logging_0382/tillsynsmail/A 52808-2022 tillsynsbegäran mail.docx", "A 52808-2022")</f>
        <v/>
      </c>
    </row>
    <row r="162" ht="15" customHeight="1">
      <c r="A162" t="inlineStr">
        <is>
          <t>A 68998-2021</t>
        </is>
      </c>
      <c r="B162" s="1" t="n">
        <v>44530</v>
      </c>
      <c r="C162" s="1" t="n">
        <v>46098</v>
      </c>
      <c r="D162" t="inlineStr">
        <is>
          <t>UPPSALA LÄN</t>
        </is>
      </c>
      <c r="E162" t="inlineStr">
        <is>
          <t>ENKÖPING</t>
        </is>
      </c>
      <c r="G162" t="n">
        <v>16.2</v>
      </c>
      <c r="H162" t="n">
        <v>1</v>
      </c>
      <c r="I162" t="n">
        <v>1</v>
      </c>
      <c r="J162" t="n">
        <v>2</v>
      </c>
      <c r="K162" t="n">
        <v>0</v>
      </c>
      <c r="L162" t="n">
        <v>0</v>
      </c>
      <c r="M162" t="n">
        <v>0</v>
      </c>
      <c r="N162" t="n">
        <v>0</v>
      </c>
      <c r="O162" t="n">
        <v>2</v>
      </c>
      <c r="P162" t="n">
        <v>0</v>
      </c>
      <c r="Q162" t="n">
        <v>4</v>
      </c>
      <c r="R162" s="2" t="inlineStr">
        <is>
          <t>Krusfrö
Svinrot
Svart trolldruva
Nattviol</t>
        </is>
      </c>
      <c r="S162">
        <f>HYPERLINK("https://klasma.github.io/Logging_0381/artfynd/A 68998-2021 artfynd.xlsx", "A 68998-2021")</f>
        <v/>
      </c>
      <c r="T162">
        <f>HYPERLINK("https://klasma.github.io/Logging_0381/kartor/A 68998-2021 karta.png", "A 68998-2021")</f>
        <v/>
      </c>
      <c r="V162">
        <f>HYPERLINK("https://klasma.github.io/Logging_0381/klagomål/A 68998-2021 FSC-klagomål.docx", "A 68998-2021")</f>
        <v/>
      </c>
      <c r="W162">
        <f>HYPERLINK("https://klasma.github.io/Logging_0381/klagomålsmail/A 68998-2021 FSC-klagomål mail.docx", "A 68998-2021")</f>
        <v/>
      </c>
      <c r="X162">
        <f>HYPERLINK("https://klasma.github.io/Logging_0381/tillsyn/A 68998-2021 tillsynsbegäran.docx", "A 68998-2021")</f>
        <v/>
      </c>
      <c r="Y162">
        <f>HYPERLINK("https://klasma.github.io/Logging_0381/tillsynsmail/A 68998-2021 tillsynsbegäran mail.docx", "A 68998-2021")</f>
        <v/>
      </c>
    </row>
    <row r="163" ht="15" customHeight="1">
      <c r="A163" t="inlineStr">
        <is>
          <t>A 73761-2021</t>
        </is>
      </c>
      <c r="B163" s="1" t="n">
        <v>44552</v>
      </c>
      <c r="C163" s="1" t="n">
        <v>46098</v>
      </c>
      <c r="D163" t="inlineStr">
        <is>
          <t>UPPSALA LÄN</t>
        </is>
      </c>
      <c r="E163" t="inlineStr">
        <is>
          <t>TIERP</t>
        </is>
      </c>
      <c r="F163" t="inlineStr">
        <is>
          <t>Bergvik skog väst AB</t>
        </is>
      </c>
      <c r="G163" t="n">
        <v>1.9</v>
      </c>
      <c r="H163" t="n">
        <v>2</v>
      </c>
      <c r="I163" t="n">
        <v>2</v>
      </c>
      <c r="J163" t="n">
        <v>1</v>
      </c>
      <c r="K163" t="n">
        <v>0</v>
      </c>
      <c r="L163" t="n">
        <v>0</v>
      </c>
      <c r="M163" t="n">
        <v>0</v>
      </c>
      <c r="N163" t="n">
        <v>0</v>
      </c>
      <c r="O163" t="n">
        <v>1</v>
      </c>
      <c r="P163" t="n">
        <v>0</v>
      </c>
      <c r="Q163" t="n">
        <v>4</v>
      </c>
      <c r="R163" s="2" t="inlineStr">
        <is>
          <t>Vedtrappmossa
Brandticka
Skogsknipprot
Fläcknycklar</t>
        </is>
      </c>
      <c r="S163">
        <f>HYPERLINK("https://klasma.github.io/Logging_0360/artfynd/A 73761-2021 artfynd.xlsx", "A 73761-2021")</f>
        <v/>
      </c>
      <c r="T163">
        <f>HYPERLINK("https://klasma.github.io/Logging_0360/kartor/A 73761-2021 karta.png", "A 73761-2021")</f>
        <v/>
      </c>
      <c r="V163">
        <f>HYPERLINK("https://klasma.github.io/Logging_0360/klagomål/A 73761-2021 FSC-klagomål.docx", "A 73761-2021")</f>
        <v/>
      </c>
      <c r="W163">
        <f>HYPERLINK("https://klasma.github.io/Logging_0360/klagomålsmail/A 73761-2021 FSC-klagomål mail.docx", "A 73761-2021")</f>
        <v/>
      </c>
      <c r="X163">
        <f>HYPERLINK("https://klasma.github.io/Logging_0360/tillsyn/A 73761-2021 tillsynsbegäran.docx", "A 73761-2021")</f>
        <v/>
      </c>
      <c r="Y163">
        <f>HYPERLINK("https://klasma.github.io/Logging_0360/tillsynsmail/A 73761-2021 tillsynsbegäran mail.docx", "A 73761-2021")</f>
        <v/>
      </c>
    </row>
    <row r="164" ht="15" customHeight="1">
      <c r="A164" t="inlineStr">
        <is>
          <t>A 23153-2022</t>
        </is>
      </c>
      <c r="B164" s="1" t="n">
        <v>44719</v>
      </c>
      <c r="C164" s="1" t="n">
        <v>46098</v>
      </c>
      <c r="D164" t="inlineStr">
        <is>
          <t>UPPSALA LÄN</t>
        </is>
      </c>
      <c r="E164" t="inlineStr">
        <is>
          <t>UPPSALA</t>
        </is>
      </c>
      <c r="G164" t="n">
        <v>5.4</v>
      </c>
      <c r="H164" t="n">
        <v>0</v>
      </c>
      <c r="I164" t="n">
        <v>3</v>
      </c>
      <c r="J164" t="n">
        <v>1</v>
      </c>
      <c r="K164" t="n">
        <v>0</v>
      </c>
      <c r="L164" t="n">
        <v>0</v>
      </c>
      <c r="M164" t="n">
        <v>0</v>
      </c>
      <c r="N164" t="n">
        <v>0</v>
      </c>
      <c r="O164" t="n">
        <v>1</v>
      </c>
      <c r="P164" t="n">
        <v>0</v>
      </c>
      <c r="Q164" t="n">
        <v>4</v>
      </c>
      <c r="R164" s="2" t="inlineStr">
        <is>
          <t>Större flatbagge
Bronshjon
Thomsons trägnagare
Trådticka</t>
        </is>
      </c>
      <c r="S164">
        <f>HYPERLINK("https://klasma.github.io/Logging_0380/artfynd/A 23153-2022 artfynd.xlsx", "A 23153-2022")</f>
        <v/>
      </c>
      <c r="T164">
        <f>HYPERLINK("https://klasma.github.io/Logging_0380/kartor/A 23153-2022 karta.png", "A 23153-2022")</f>
        <v/>
      </c>
      <c r="V164">
        <f>HYPERLINK("https://klasma.github.io/Logging_0380/klagomål/A 23153-2022 FSC-klagomål.docx", "A 23153-2022")</f>
        <v/>
      </c>
      <c r="W164">
        <f>HYPERLINK("https://klasma.github.io/Logging_0380/klagomålsmail/A 23153-2022 FSC-klagomål mail.docx", "A 23153-2022")</f>
        <v/>
      </c>
      <c r="X164">
        <f>HYPERLINK("https://klasma.github.io/Logging_0380/tillsyn/A 23153-2022 tillsynsbegäran.docx", "A 23153-2022")</f>
        <v/>
      </c>
      <c r="Y164">
        <f>HYPERLINK("https://klasma.github.io/Logging_0380/tillsynsmail/A 23153-2022 tillsynsbegäran mail.docx", "A 23153-2022")</f>
        <v/>
      </c>
    </row>
    <row r="165" ht="15" customHeight="1">
      <c r="A165" t="inlineStr">
        <is>
          <t>A 15956-2022</t>
        </is>
      </c>
      <c r="B165" s="1" t="n">
        <v>44664</v>
      </c>
      <c r="C165" s="1" t="n">
        <v>46098</v>
      </c>
      <c r="D165" t="inlineStr">
        <is>
          <t>UPPSALA LÄN</t>
        </is>
      </c>
      <c r="E165" t="inlineStr">
        <is>
          <t>UPPSALA</t>
        </is>
      </c>
      <c r="G165" t="n">
        <v>0.8</v>
      </c>
      <c r="H165" t="n">
        <v>0</v>
      </c>
      <c r="I165" t="n">
        <v>1</v>
      </c>
      <c r="J165" t="n">
        <v>2</v>
      </c>
      <c r="K165" t="n">
        <v>1</v>
      </c>
      <c r="L165" t="n">
        <v>0</v>
      </c>
      <c r="M165" t="n">
        <v>0</v>
      </c>
      <c r="N165" t="n">
        <v>0</v>
      </c>
      <c r="O165" t="n">
        <v>3</v>
      </c>
      <c r="P165" t="n">
        <v>1</v>
      </c>
      <c r="Q165" t="n">
        <v>4</v>
      </c>
      <c r="R165" s="2" t="inlineStr">
        <is>
          <t>Koppartaggsvamp
Orange taggsvamp
Svart taggsvamp agg.
Mandelriska</t>
        </is>
      </c>
      <c r="S165">
        <f>HYPERLINK("https://klasma.github.io/Logging_0380/artfynd/A 15956-2022 artfynd.xlsx", "A 15956-2022")</f>
        <v/>
      </c>
      <c r="T165">
        <f>HYPERLINK("https://klasma.github.io/Logging_0380/kartor/A 15956-2022 karta.png", "A 15956-2022")</f>
        <v/>
      </c>
      <c r="V165">
        <f>HYPERLINK("https://klasma.github.io/Logging_0380/klagomål/A 15956-2022 FSC-klagomål.docx", "A 15956-2022")</f>
        <v/>
      </c>
      <c r="W165">
        <f>HYPERLINK("https://klasma.github.io/Logging_0380/klagomålsmail/A 15956-2022 FSC-klagomål mail.docx", "A 15956-2022")</f>
        <v/>
      </c>
      <c r="X165">
        <f>HYPERLINK("https://klasma.github.io/Logging_0380/tillsyn/A 15956-2022 tillsynsbegäran.docx", "A 15956-2022")</f>
        <v/>
      </c>
      <c r="Y165">
        <f>HYPERLINK("https://klasma.github.io/Logging_0380/tillsynsmail/A 15956-2022 tillsynsbegäran mail.docx", "A 15956-2022")</f>
        <v/>
      </c>
    </row>
    <row r="166" ht="15" customHeight="1">
      <c r="A166" t="inlineStr">
        <is>
          <t>A 18150-2022</t>
        </is>
      </c>
      <c r="B166" s="1" t="n">
        <v>44684</v>
      </c>
      <c r="C166" s="1" t="n">
        <v>46098</v>
      </c>
      <c r="D166" t="inlineStr">
        <is>
          <t>UPPSALA LÄN</t>
        </is>
      </c>
      <c r="E166" t="inlineStr">
        <is>
          <t>ÖSTHAMMAR</t>
        </is>
      </c>
      <c r="G166" t="n">
        <v>0.8</v>
      </c>
      <c r="H166" t="n">
        <v>3</v>
      </c>
      <c r="I166" t="n">
        <v>1</v>
      </c>
      <c r="J166" t="n">
        <v>1</v>
      </c>
      <c r="K166" t="n">
        <v>1</v>
      </c>
      <c r="L166" t="n">
        <v>0</v>
      </c>
      <c r="M166" t="n">
        <v>0</v>
      </c>
      <c r="N166" t="n">
        <v>0</v>
      </c>
      <c r="O166" t="n">
        <v>2</v>
      </c>
      <c r="P166" t="n">
        <v>1</v>
      </c>
      <c r="Q166" t="n">
        <v>4</v>
      </c>
      <c r="R166" s="2" t="inlineStr">
        <is>
          <t>Knärot
Talltita
Bronshjon
Blåsippa</t>
        </is>
      </c>
      <c r="S166">
        <f>HYPERLINK("https://klasma.github.io/Logging_0382/artfynd/A 18150-2022 artfynd.xlsx", "A 18150-2022")</f>
        <v/>
      </c>
      <c r="T166">
        <f>HYPERLINK("https://klasma.github.io/Logging_0382/kartor/A 18150-2022 karta.png", "A 18150-2022")</f>
        <v/>
      </c>
      <c r="U166">
        <f>HYPERLINK("https://klasma.github.io/Logging_0382/knärot/A 18150-2022 karta knärot.png", "A 18150-2022")</f>
        <v/>
      </c>
      <c r="V166">
        <f>HYPERLINK("https://klasma.github.io/Logging_0382/klagomål/A 18150-2022 FSC-klagomål.docx", "A 18150-2022")</f>
        <v/>
      </c>
      <c r="W166">
        <f>HYPERLINK("https://klasma.github.io/Logging_0382/klagomålsmail/A 18150-2022 FSC-klagomål mail.docx", "A 18150-2022")</f>
        <v/>
      </c>
      <c r="X166">
        <f>HYPERLINK("https://klasma.github.io/Logging_0382/tillsyn/A 18150-2022 tillsynsbegäran.docx", "A 18150-2022")</f>
        <v/>
      </c>
      <c r="Y166">
        <f>HYPERLINK("https://klasma.github.io/Logging_0382/tillsynsmail/A 18150-2022 tillsynsbegäran mail.docx", "A 18150-2022")</f>
        <v/>
      </c>
      <c r="Z166">
        <f>HYPERLINK("https://klasma.github.io/Logging_0382/fåglar/A 18150-2022 prioriterade fågelarter.docx", "A 18150-2022")</f>
        <v/>
      </c>
    </row>
    <row r="167" ht="15" customHeight="1">
      <c r="A167" t="inlineStr">
        <is>
          <t>A 32785-2023</t>
        </is>
      </c>
      <c r="B167" s="1" t="n">
        <v>45124</v>
      </c>
      <c r="C167" s="1" t="n">
        <v>46098</v>
      </c>
      <c r="D167" t="inlineStr">
        <is>
          <t>UPPSALA LÄN</t>
        </is>
      </c>
      <c r="E167" t="inlineStr">
        <is>
          <t>HEBY</t>
        </is>
      </c>
      <c r="G167" t="n">
        <v>3.1</v>
      </c>
      <c r="H167" t="n">
        <v>3</v>
      </c>
      <c r="I167" t="n">
        <v>0</v>
      </c>
      <c r="J167" t="n">
        <v>3</v>
      </c>
      <c r="K167" t="n">
        <v>0</v>
      </c>
      <c r="L167" t="n">
        <v>0</v>
      </c>
      <c r="M167" t="n">
        <v>0</v>
      </c>
      <c r="N167" t="n">
        <v>0</v>
      </c>
      <c r="O167" t="n">
        <v>3</v>
      </c>
      <c r="P167" t="n">
        <v>0</v>
      </c>
      <c r="Q167" t="n">
        <v>4</v>
      </c>
      <c r="R167" s="2" t="inlineStr">
        <is>
          <t>Garnlav
Spillkråka
Talltita
Huggorm</t>
        </is>
      </c>
      <c r="S167">
        <f>HYPERLINK("https://klasma.github.io/Logging_0331/artfynd/A 32785-2023 artfynd.xlsx", "A 32785-2023")</f>
        <v/>
      </c>
      <c r="T167">
        <f>HYPERLINK("https://klasma.github.io/Logging_0331/kartor/A 32785-2023 karta.png", "A 32785-2023")</f>
        <v/>
      </c>
      <c r="V167">
        <f>HYPERLINK("https://klasma.github.io/Logging_0331/klagomål/A 32785-2023 FSC-klagomål.docx", "A 32785-2023")</f>
        <v/>
      </c>
      <c r="W167">
        <f>HYPERLINK("https://klasma.github.io/Logging_0331/klagomålsmail/A 32785-2023 FSC-klagomål mail.docx", "A 32785-2023")</f>
        <v/>
      </c>
      <c r="X167">
        <f>HYPERLINK("https://klasma.github.io/Logging_0331/tillsyn/A 32785-2023 tillsynsbegäran.docx", "A 32785-2023")</f>
        <v/>
      </c>
      <c r="Y167">
        <f>HYPERLINK("https://klasma.github.io/Logging_0331/tillsynsmail/A 32785-2023 tillsynsbegäran mail.docx", "A 32785-2023")</f>
        <v/>
      </c>
      <c r="Z167">
        <f>HYPERLINK("https://klasma.github.io/Logging_0331/fåglar/A 32785-2023 prioriterade fågelarter.docx", "A 32785-2023")</f>
        <v/>
      </c>
    </row>
    <row r="168" ht="15" customHeight="1">
      <c r="A168" t="inlineStr">
        <is>
          <t>A 51875-2025</t>
        </is>
      </c>
      <c r="B168" s="1" t="n">
        <v>45952.39770833333</v>
      </c>
      <c r="C168" s="1" t="n">
        <v>46098</v>
      </c>
      <c r="D168" t="inlineStr">
        <is>
          <t>UPPSALA LÄN</t>
        </is>
      </c>
      <c r="E168" t="inlineStr">
        <is>
          <t>UPPSALA</t>
        </is>
      </c>
      <c r="G168" t="n">
        <v>15.5</v>
      </c>
      <c r="H168" t="n">
        <v>0</v>
      </c>
      <c r="I168" t="n">
        <v>1</v>
      </c>
      <c r="J168" t="n">
        <v>3</v>
      </c>
      <c r="K168" t="n">
        <v>0</v>
      </c>
      <c r="L168" t="n">
        <v>0</v>
      </c>
      <c r="M168" t="n">
        <v>0</v>
      </c>
      <c r="N168" t="n">
        <v>0</v>
      </c>
      <c r="O168" t="n">
        <v>3</v>
      </c>
      <c r="P168" t="n">
        <v>0</v>
      </c>
      <c r="Q168" t="n">
        <v>4</v>
      </c>
      <c r="R168" s="2" t="inlineStr">
        <is>
          <t>Kortskaftad ärgspik
Orange taggsvamp
Vedtrappmossa
Källpraktmossa</t>
        </is>
      </c>
      <c r="S168">
        <f>HYPERLINK("https://klasma.github.io/Logging_0380/artfynd/A 51875-2025 artfynd.xlsx", "A 51875-2025")</f>
        <v/>
      </c>
      <c r="T168">
        <f>HYPERLINK("https://klasma.github.io/Logging_0380/kartor/A 51875-2025 karta.png", "A 51875-2025")</f>
        <v/>
      </c>
      <c r="V168">
        <f>HYPERLINK("https://klasma.github.io/Logging_0380/klagomål/A 51875-2025 FSC-klagomål.docx", "A 51875-2025")</f>
        <v/>
      </c>
      <c r="W168">
        <f>HYPERLINK("https://klasma.github.io/Logging_0380/klagomålsmail/A 51875-2025 FSC-klagomål mail.docx", "A 51875-2025")</f>
        <v/>
      </c>
      <c r="X168">
        <f>HYPERLINK("https://klasma.github.io/Logging_0380/tillsyn/A 51875-2025 tillsynsbegäran.docx", "A 51875-2025")</f>
        <v/>
      </c>
      <c r="Y168">
        <f>HYPERLINK("https://klasma.github.io/Logging_0380/tillsynsmail/A 51875-2025 tillsynsbegäran mail.docx", "A 51875-2025")</f>
        <v/>
      </c>
    </row>
    <row r="169" ht="15" customHeight="1">
      <c r="A169" t="inlineStr">
        <is>
          <t>A 16618-2024</t>
        </is>
      </c>
      <c r="B169" s="1" t="n">
        <v>45408</v>
      </c>
      <c r="C169" s="1" t="n">
        <v>46098</v>
      </c>
      <c r="D169" t="inlineStr">
        <is>
          <t>UPPSALA LÄN</t>
        </is>
      </c>
      <c r="E169" t="inlineStr">
        <is>
          <t>HÅBO</t>
        </is>
      </c>
      <c r="G169" t="n">
        <v>3.5</v>
      </c>
      <c r="H169" t="n">
        <v>2</v>
      </c>
      <c r="I169" t="n">
        <v>1</v>
      </c>
      <c r="J169" t="n">
        <v>1</v>
      </c>
      <c r="K169" t="n">
        <v>0</v>
      </c>
      <c r="L169" t="n">
        <v>1</v>
      </c>
      <c r="M169" t="n">
        <v>0</v>
      </c>
      <c r="N169" t="n">
        <v>0</v>
      </c>
      <c r="O169" t="n">
        <v>2</v>
      </c>
      <c r="P169" t="n">
        <v>1</v>
      </c>
      <c r="Q169" t="n">
        <v>4</v>
      </c>
      <c r="R169" s="2" t="inlineStr">
        <is>
          <t>Prakttagging
Backklöver
Nästrot
Blåsippa</t>
        </is>
      </c>
      <c r="S169">
        <f>HYPERLINK("https://klasma.github.io/Logging_0305/artfynd/A 16618-2024 artfynd.xlsx", "A 16618-2024")</f>
        <v/>
      </c>
      <c r="T169">
        <f>HYPERLINK("https://klasma.github.io/Logging_0305/kartor/A 16618-2024 karta.png", "A 16618-2024")</f>
        <v/>
      </c>
      <c r="V169">
        <f>HYPERLINK("https://klasma.github.io/Logging_0305/klagomål/A 16618-2024 FSC-klagomål.docx", "A 16618-2024")</f>
        <v/>
      </c>
      <c r="W169">
        <f>HYPERLINK("https://klasma.github.io/Logging_0305/klagomålsmail/A 16618-2024 FSC-klagomål mail.docx", "A 16618-2024")</f>
        <v/>
      </c>
      <c r="X169">
        <f>HYPERLINK("https://klasma.github.io/Logging_0305/tillsyn/A 16618-2024 tillsynsbegäran.docx", "A 16618-2024")</f>
        <v/>
      </c>
      <c r="Y169">
        <f>HYPERLINK("https://klasma.github.io/Logging_0305/tillsynsmail/A 16618-2024 tillsynsbegäran mail.docx", "A 16618-2024")</f>
        <v/>
      </c>
    </row>
    <row r="170" ht="15" customHeight="1">
      <c r="A170" t="inlineStr">
        <is>
          <t>A 42581-2025</t>
        </is>
      </c>
      <c r="B170" s="1" t="n">
        <v>45905.62541666667</v>
      </c>
      <c r="C170" s="1" t="n">
        <v>46098</v>
      </c>
      <c r="D170" t="inlineStr">
        <is>
          <t>UPPSALA LÄN</t>
        </is>
      </c>
      <c r="E170" t="inlineStr">
        <is>
          <t>UPPSALA</t>
        </is>
      </c>
      <c r="F170" t="inlineStr">
        <is>
          <t>Kyrkan</t>
        </is>
      </c>
      <c r="G170" t="n">
        <v>2.3</v>
      </c>
      <c r="H170" t="n">
        <v>0</v>
      </c>
      <c r="I170" t="n">
        <v>4</v>
      </c>
      <c r="J170" t="n">
        <v>0</v>
      </c>
      <c r="K170" t="n">
        <v>0</v>
      </c>
      <c r="L170" t="n">
        <v>0</v>
      </c>
      <c r="M170" t="n">
        <v>0</v>
      </c>
      <c r="N170" t="n">
        <v>0</v>
      </c>
      <c r="O170" t="n">
        <v>0</v>
      </c>
      <c r="P170" t="n">
        <v>0</v>
      </c>
      <c r="Q170" t="n">
        <v>4</v>
      </c>
      <c r="R170" s="2" t="inlineStr">
        <is>
          <t>Dropptaggsvamp
Fjällig taggsvamp s.str.
Svavelriska
Trådticka</t>
        </is>
      </c>
      <c r="S170">
        <f>HYPERLINK("https://klasma.github.io/Logging_0380/artfynd/A 42581-2025 artfynd.xlsx", "A 42581-2025")</f>
        <v/>
      </c>
      <c r="T170">
        <f>HYPERLINK("https://klasma.github.io/Logging_0380/kartor/A 42581-2025 karta.png", "A 42581-2025")</f>
        <v/>
      </c>
      <c r="V170">
        <f>HYPERLINK("https://klasma.github.io/Logging_0380/klagomål/A 42581-2025 FSC-klagomål.docx", "A 42581-2025")</f>
        <v/>
      </c>
      <c r="W170">
        <f>HYPERLINK("https://klasma.github.io/Logging_0380/klagomålsmail/A 42581-2025 FSC-klagomål mail.docx", "A 42581-2025")</f>
        <v/>
      </c>
      <c r="X170">
        <f>HYPERLINK("https://klasma.github.io/Logging_0380/tillsyn/A 42581-2025 tillsynsbegäran.docx", "A 42581-2025")</f>
        <v/>
      </c>
      <c r="Y170">
        <f>HYPERLINK("https://klasma.github.io/Logging_0380/tillsynsmail/A 42581-2025 tillsynsbegäran mail.docx", "A 42581-2025")</f>
        <v/>
      </c>
    </row>
    <row r="171" ht="15" customHeight="1">
      <c r="A171" t="inlineStr">
        <is>
          <t>A 42583-2025</t>
        </is>
      </c>
      <c r="B171" s="1" t="n">
        <v>45905.62641203704</v>
      </c>
      <c r="C171" s="1" t="n">
        <v>46098</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42583-2025 artfynd.xlsx", "A 42583-2025")</f>
        <v/>
      </c>
      <c r="T171">
        <f>HYPERLINK("https://klasma.github.io/Logging_0380/kartor/A 42583-2025 karta.png", "A 42583-2025")</f>
        <v/>
      </c>
      <c r="V171">
        <f>HYPERLINK("https://klasma.github.io/Logging_0380/klagomål/A 42583-2025 FSC-klagomål.docx", "A 42583-2025")</f>
        <v/>
      </c>
      <c r="W171">
        <f>HYPERLINK("https://klasma.github.io/Logging_0380/klagomålsmail/A 42583-2025 FSC-klagomål mail.docx", "A 42583-2025")</f>
        <v/>
      </c>
      <c r="X171">
        <f>HYPERLINK("https://klasma.github.io/Logging_0380/tillsyn/A 42583-2025 tillsynsbegäran.docx", "A 42583-2025")</f>
        <v/>
      </c>
      <c r="Y171">
        <f>HYPERLINK("https://klasma.github.io/Logging_0380/tillsynsmail/A 42583-2025 tillsynsbegäran mail.docx", "A 42583-2025")</f>
        <v/>
      </c>
    </row>
    <row r="172" ht="15" customHeight="1">
      <c r="A172" t="inlineStr">
        <is>
          <t>A 56545-2025</t>
        </is>
      </c>
      <c r="B172" s="1" t="n">
        <v>45975.4800462963</v>
      </c>
      <c r="C172" s="1" t="n">
        <v>46098</v>
      </c>
      <c r="D172" t="inlineStr">
        <is>
          <t>UPPSALA LÄN</t>
        </is>
      </c>
      <c r="E172" t="inlineStr">
        <is>
          <t>TIERP</t>
        </is>
      </c>
      <c r="F172" t="inlineStr">
        <is>
          <t>Bergvik skog öst AB</t>
        </is>
      </c>
      <c r="G172" t="n">
        <v>3</v>
      </c>
      <c r="H172" t="n">
        <v>3</v>
      </c>
      <c r="I172" t="n">
        <v>2</v>
      </c>
      <c r="J172" t="n">
        <v>1</v>
      </c>
      <c r="K172" t="n">
        <v>0</v>
      </c>
      <c r="L172" t="n">
        <v>0</v>
      </c>
      <c r="M172" t="n">
        <v>0</v>
      </c>
      <c r="N172" t="n">
        <v>0</v>
      </c>
      <c r="O172" t="n">
        <v>1</v>
      </c>
      <c r="P172" t="n">
        <v>0</v>
      </c>
      <c r="Q172" t="n">
        <v>4</v>
      </c>
      <c r="R172" s="2" t="inlineStr">
        <is>
          <t>Majviva
Flugblomster
Tvåblad
Brudsporre</t>
        </is>
      </c>
      <c r="S172">
        <f>HYPERLINK("https://klasma.github.io/Logging_0360/artfynd/A 56545-2025 artfynd.xlsx", "A 56545-2025")</f>
        <v/>
      </c>
      <c r="T172">
        <f>HYPERLINK("https://klasma.github.io/Logging_0360/kartor/A 56545-2025 karta.png", "A 56545-2025")</f>
        <v/>
      </c>
      <c r="V172">
        <f>HYPERLINK("https://klasma.github.io/Logging_0360/klagomål/A 56545-2025 FSC-klagomål.docx", "A 56545-2025")</f>
        <v/>
      </c>
      <c r="W172">
        <f>HYPERLINK("https://klasma.github.io/Logging_0360/klagomålsmail/A 56545-2025 FSC-klagomål mail.docx", "A 56545-2025")</f>
        <v/>
      </c>
      <c r="X172">
        <f>HYPERLINK("https://klasma.github.io/Logging_0360/tillsyn/A 56545-2025 tillsynsbegäran.docx", "A 56545-2025")</f>
        <v/>
      </c>
      <c r="Y172">
        <f>HYPERLINK("https://klasma.github.io/Logging_0360/tillsynsmail/A 56545-2025 tillsynsbegäran mail.docx", "A 56545-2025")</f>
        <v/>
      </c>
    </row>
    <row r="173" ht="15" customHeight="1">
      <c r="A173" t="inlineStr">
        <is>
          <t>A 60889-2025</t>
        </is>
      </c>
      <c r="B173" s="1" t="n">
        <v>45999.56931712963</v>
      </c>
      <c r="C173" s="1" t="n">
        <v>46098</v>
      </c>
      <c r="D173" t="inlineStr">
        <is>
          <t>UPPSALA LÄN</t>
        </is>
      </c>
      <c r="E173" t="inlineStr">
        <is>
          <t>ÖSTHAMMAR</t>
        </is>
      </c>
      <c r="G173" t="n">
        <v>10.8</v>
      </c>
      <c r="H173" t="n">
        <v>0</v>
      </c>
      <c r="I173" t="n">
        <v>4</v>
      </c>
      <c r="J173" t="n">
        <v>0</v>
      </c>
      <c r="K173" t="n">
        <v>0</v>
      </c>
      <c r="L173" t="n">
        <v>0</v>
      </c>
      <c r="M173" t="n">
        <v>0</v>
      </c>
      <c r="N173" t="n">
        <v>0</v>
      </c>
      <c r="O173" t="n">
        <v>0</v>
      </c>
      <c r="P173" t="n">
        <v>0</v>
      </c>
      <c r="Q173" t="n">
        <v>4</v>
      </c>
      <c r="R173" s="2" t="inlineStr">
        <is>
          <t>Fjällig taggsvamp s.str.
Guldkremla
Skarp dropptaggsvamp
Sårläka</t>
        </is>
      </c>
      <c r="S173">
        <f>HYPERLINK("https://klasma.github.io/Logging_0382/artfynd/A 60889-2025 artfynd.xlsx", "A 60889-2025")</f>
        <v/>
      </c>
      <c r="T173">
        <f>HYPERLINK("https://klasma.github.io/Logging_0382/kartor/A 60889-2025 karta.png", "A 60889-2025")</f>
        <v/>
      </c>
      <c r="V173">
        <f>HYPERLINK("https://klasma.github.io/Logging_0382/klagomål/A 60889-2025 FSC-klagomål.docx", "A 60889-2025")</f>
        <v/>
      </c>
      <c r="W173">
        <f>HYPERLINK("https://klasma.github.io/Logging_0382/klagomålsmail/A 60889-2025 FSC-klagomål mail.docx", "A 60889-2025")</f>
        <v/>
      </c>
      <c r="X173">
        <f>HYPERLINK("https://klasma.github.io/Logging_0382/tillsyn/A 60889-2025 tillsynsbegäran.docx", "A 60889-2025")</f>
        <v/>
      </c>
      <c r="Y173">
        <f>HYPERLINK("https://klasma.github.io/Logging_0382/tillsynsmail/A 60889-2025 tillsynsbegäran mail.docx", "A 60889-2025")</f>
        <v/>
      </c>
    </row>
    <row r="174" ht="15" customHeight="1">
      <c r="A174" t="inlineStr">
        <is>
          <t>A 54831-2025</t>
        </is>
      </c>
      <c r="B174" s="1" t="n">
        <v>45966.67679398148</v>
      </c>
      <c r="C174" s="1" t="n">
        <v>46098</v>
      </c>
      <c r="D174" t="inlineStr">
        <is>
          <t>UPPSALA LÄN</t>
        </is>
      </c>
      <c r="E174" t="inlineStr">
        <is>
          <t>TIERP</t>
        </is>
      </c>
      <c r="F174" t="inlineStr">
        <is>
          <t>Bergvik skog öst AB</t>
        </is>
      </c>
      <c r="G174" t="n">
        <v>5.3</v>
      </c>
      <c r="H174" t="n">
        <v>2</v>
      </c>
      <c r="I174" t="n">
        <v>1</v>
      </c>
      <c r="J174" t="n">
        <v>2</v>
      </c>
      <c r="K174" t="n">
        <v>0</v>
      </c>
      <c r="L174" t="n">
        <v>0</v>
      </c>
      <c r="M174" t="n">
        <v>0</v>
      </c>
      <c r="N174" t="n">
        <v>0</v>
      </c>
      <c r="O174" t="n">
        <v>2</v>
      </c>
      <c r="P174" t="n">
        <v>0</v>
      </c>
      <c r="Q174" t="n">
        <v>4</v>
      </c>
      <c r="R174" s="2" t="inlineStr">
        <is>
          <t>Spillkråka
Ullticka
Blodticka
Tjäder</t>
        </is>
      </c>
      <c r="S174">
        <f>HYPERLINK("https://klasma.github.io/Logging_0360/artfynd/A 54831-2025 artfynd.xlsx", "A 54831-2025")</f>
        <v/>
      </c>
      <c r="T174">
        <f>HYPERLINK("https://klasma.github.io/Logging_0360/kartor/A 54831-2025 karta.png", "A 54831-2025")</f>
        <v/>
      </c>
      <c r="V174">
        <f>HYPERLINK("https://klasma.github.io/Logging_0360/klagomål/A 54831-2025 FSC-klagomål.docx", "A 54831-2025")</f>
        <v/>
      </c>
      <c r="W174">
        <f>HYPERLINK("https://klasma.github.io/Logging_0360/klagomålsmail/A 54831-2025 FSC-klagomål mail.docx", "A 54831-2025")</f>
        <v/>
      </c>
      <c r="X174">
        <f>HYPERLINK("https://klasma.github.io/Logging_0360/tillsyn/A 54831-2025 tillsynsbegäran.docx", "A 54831-2025")</f>
        <v/>
      </c>
      <c r="Y174">
        <f>HYPERLINK("https://klasma.github.io/Logging_0360/tillsynsmail/A 54831-2025 tillsynsbegäran mail.docx", "A 54831-2025")</f>
        <v/>
      </c>
      <c r="Z174">
        <f>HYPERLINK("https://klasma.github.io/Logging_0360/fåglar/A 54831-2025 prioriterade fågelarter.docx", "A 54831-2025")</f>
        <v/>
      </c>
    </row>
    <row r="175" ht="15" customHeight="1">
      <c r="A175" t="inlineStr">
        <is>
          <t>A 62004-2025</t>
        </is>
      </c>
      <c r="B175" s="1" t="n">
        <v>46003.66043981481</v>
      </c>
      <c r="C175" s="1" t="n">
        <v>46098</v>
      </c>
      <c r="D175" t="inlineStr">
        <is>
          <t>UPPSALA LÄN</t>
        </is>
      </c>
      <c r="E175" t="inlineStr">
        <is>
          <t>UPPSALA</t>
        </is>
      </c>
      <c r="G175" t="n">
        <v>7.2</v>
      </c>
      <c r="H175" t="n">
        <v>3</v>
      </c>
      <c r="I175" t="n">
        <v>0</v>
      </c>
      <c r="J175" t="n">
        <v>2</v>
      </c>
      <c r="K175" t="n">
        <v>1</v>
      </c>
      <c r="L175" t="n">
        <v>0</v>
      </c>
      <c r="M175" t="n">
        <v>0</v>
      </c>
      <c r="N175" t="n">
        <v>0</v>
      </c>
      <c r="O175" t="n">
        <v>3</v>
      </c>
      <c r="P175" t="n">
        <v>1</v>
      </c>
      <c r="Q175" t="n">
        <v>4</v>
      </c>
      <c r="R175" s="2" t="inlineStr">
        <is>
          <t>Knärot
Spillkråka
Vedtrappmossa
Revlummer</t>
        </is>
      </c>
      <c r="S175">
        <f>HYPERLINK("https://klasma.github.io/Logging_0380/artfynd/A 62004-2025 artfynd.xlsx", "A 62004-2025")</f>
        <v/>
      </c>
      <c r="T175">
        <f>HYPERLINK("https://klasma.github.io/Logging_0380/kartor/A 62004-2025 karta.png", "A 62004-2025")</f>
        <v/>
      </c>
      <c r="U175">
        <f>HYPERLINK("https://klasma.github.io/Logging_0380/knärot/A 62004-2025 karta knärot.png", "A 62004-2025")</f>
        <v/>
      </c>
      <c r="V175">
        <f>HYPERLINK("https://klasma.github.io/Logging_0380/klagomål/A 62004-2025 FSC-klagomål.docx", "A 62004-2025")</f>
        <v/>
      </c>
      <c r="W175">
        <f>HYPERLINK("https://klasma.github.io/Logging_0380/klagomålsmail/A 62004-2025 FSC-klagomål mail.docx", "A 62004-2025")</f>
        <v/>
      </c>
      <c r="X175">
        <f>HYPERLINK("https://klasma.github.io/Logging_0380/tillsyn/A 62004-2025 tillsynsbegäran.docx", "A 62004-2025")</f>
        <v/>
      </c>
      <c r="Y175">
        <f>HYPERLINK("https://klasma.github.io/Logging_0380/tillsynsmail/A 62004-2025 tillsynsbegäran mail.docx", "A 62004-2025")</f>
        <v/>
      </c>
      <c r="Z175">
        <f>HYPERLINK("https://klasma.github.io/Logging_0380/fåglar/A 62004-2025 prioriterade fågelarter.docx", "A 62004-2025")</f>
        <v/>
      </c>
    </row>
    <row r="176" ht="15" customHeight="1">
      <c r="A176" t="inlineStr">
        <is>
          <t>A 30596-2025</t>
        </is>
      </c>
      <c r="B176" s="1" t="n">
        <v>45831.4458912037</v>
      </c>
      <c r="C176" s="1" t="n">
        <v>46098</v>
      </c>
      <c r="D176" t="inlineStr">
        <is>
          <t>UPPSALA LÄN</t>
        </is>
      </c>
      <c r="E176" t="inlineStr">
        <is>
          <t>TIERP</t>
        </is>
      </c>
      <c r="F176" t="inlineStr">
        <is>
          <t>Bergvik skog väst AB</t>
        </is>
      </c>
      <c r="G176" t="n">
        <v>32.1</v>
      </c>
      <c r="H176" t="n">
        <v>0</v>
      </c>
      <c r="I176" t="n">
        <v>2</v>
      </c>
      <c r="J176" t="n">
        <v>1</v>
      </c>
      <c r="K176" t="n">
        <v>0</v>
      </c>
      <c r="L176" t="n">
        <v>1</v>
      </c>
      <c r="M176" t="n">
        <v>0</v>
      </c>
      <c r="N176" t="n">
        <v>0</v>
      </c>
      <c r="O176" t="n">
        <v>2</v>
      </c>
      <c r="P176" t="n">
        <v>1</v>
      </c>
      <c r="Q176" t="n">
        <v>4</v>
      </c>
      <c r="R176" s="2" t="inlineStr">
        <is>
          <t>Ask
Rödbrun blekspik
Brun nållav
Kamjordstjärna</t>
        </is>
      </c>
      <c r="S176">
        <f>HYPERLINK("https://klasma.github.io/Logging_0360/artfynd/A 30596-2025 artfynd.xlsx", "A 30596-2025")</f>
        <v/>
      </c>
      <c r="T176">
        <f>HYPERLINK("https://klasma.github.io/Logging_0360/kartor/A 30596-2025 karta.png", "A 30596-2025")</f>
        <v/>
      </c>
      <c r="V176">
        <f>HYPERLINK("https://klasma.github.io/Logging_0360/klagomål/A 30596-2025 FSC-klagomål.docx", "A 30596-2025")</f>
        <v/>
      </c>
      <c r="W176">
        <f>HYPERLINK("https://klasma.github.io/Logging_0360/klagomålsmail/A 30596-2025 FSC-klagomål mail.docx", "A 30596-2025")</f>
        <v/>
      </c>
      <c r="X176">
        <f>HYPERLINK("https://klasma.github.io/Logging_0360/tillsyn/A 30596-2025 tillsynsbegäran.docx", "A 30596-2025")</f>
        <v/>
      </c>
      <c r="Y176">
        <f>HYPERLINK("https://klasma.github.io/Logging_0360/tillsynsmail/A 30596-2025 tillsynsbegäran mail.docx", "A 30596-2025")</f>
        <v/>
      </c>
    </row>
    <row r="177" ht="15" customHeight="1">
      <c r="A177" t="inlineStr">
        <is>
          <t>A 20503-2025</t>
        </is>
      </c>
      <c r="B177" s="1" t="n">
        <v>45775</v>
      </c>
      <c r="C177" s="1" t="n">
        <v>46098</v>
      </c>
      <c r="D177" t="inlineStr">
        <is>
          <t>UPPSALA LÄN</t>
        </is>
      </c>
      <c r="E177" t="inlineStr">
        <is>
          <t>TIERP</t>
        </is>
      </c>
      <c r="F177" t="inlineStr">
        <is>
          <t>Bergvik skog väst AB</t>
        </is>
      </c>
      <c r="G177" t="n">
        <v>29.8</v>
      </c>
      <c r="H177" t="n">
        <v>0</v>
      </c>
      <c r="I177" t="n">
        <v>2</v>
      </c>
      <c r="J177" t="n">
        <v>2</v>
      </c>
      <c r="K177" t="n">
        <v>0</v>
      </c>
      <c r="L177" t="n">
        <v>0</v>
      </c>
      <c r="M177" t="n">
        <v>0</v>
      </c>
      <c r="N177" t="n">
        <v>0</v>
      </c>
      <c r="O177" t="n">
        <v>2</v>
      </c>
      <c r="P177" t="n">
        <v>0</v>
      </c>
      <c r="Q177" t="n">
        <v>4</v>
      </c>
      <c r="R177" s="2" t="inlineStr">
        <is>
          <t>Rutskinn
Rödbrun blekspik
Sotlav
Vätteros</t>
        </is>
      </c>
      <c r="S177">
        <f>HYPERLINK("https://klasma.github.io/Logging_0360/artfynd/A 20503-2025 artfynd.xlsx", "A 20503-2025")</f>
        <v/>
      </c>
      <c r="T177">
        <f>HYPERLINK("https://klasma.github.io/Logging_0360/kartor/A 20503-2025 karta.png", "A 20503-2025")</f>
        <v/>
      </c>
      <c r="V177">
        <f>HYPERLINK("https://klasma.github.io/Logging_0360/klagomål/A 20503-2025 FSC-klagomål.docx", "A 20503-2025")</f>
        <v/>
      </c>
      <c r="W177">
        <f>HYPERLINK("https://klasma.github.io/Logging_0360/klagomålsmail/A 20503-2025 FSC-klagomål mail.docx", "A 20503-2025")</f>
        <v/>
      </c>
      <c r="X177">
        <f>HYPERLINK("https://klasma.github.io/Logging_0360/tillsyn/A 20503-2025 tillsynsbegäran.docx", "A 20503-2025")</f>
        <v/>
      </c>
      <c r="Y177">
        <f>HYPERLINK("https://klasma.github.io/Logging_0360/tillsynsmail/A 20503-2025 tillsynsbegäran mail.docx", "A 20503-2025")</f>
        <v/>
      </c>
    </row>
    <row r="178" ht="15" customHeight="1">
      <c r="A178" t="inlineStr">
        <is>
          <t>A 37004-2025</t>
        </is>
      </c>
      <c r="B178" s="1" t="n">
        <v>45874.69282407407</v>
      </c>
      <c r="C178" s="1" t="n">
        <v>46098</v>
      </c>
      <c r="D178" t="inlineStr">
        <is>
          <t>UPPSALA LÄN</t>
        </is>
      </c>
      <c r="E178" t="inlineStr">
        <is>
          <t>UPPSALA</t>
        </is>
      </c>
      <c r="G178" t="n">
        <v>15.8</v>
      </c>
      <c r="H178" t="n">
        <v>2</v>
      </c>
      <c r="I178" t="n">
        <v>1</v>
      </c>
      <c r="J178" t="n">
        <v>2</v>
      </c>
      <c r="K178" t="n">
        <v>0</v>
      </c>
      <c r="L178" t="n">
        <v>0</v>
      </c>
      <c r="M178" t="n">
        <v>0</v>
      </c>
      <c r="N178" t="n">
        <v>0</v>
      </c>
      <c r="O178" t="n">
        <v>2</v>
      </c>
      <c r="P178" t="n">
        <v>0</v>
      </c>
      <c r="Q178" t="n">
        <v>4</v>
      </c>
      <c r="R178" s="2" t="inlineStr">
        <is>
          <t>Gulsparv
Skogshare
Mindre märgborre
Vanlig padda</t>
        </is>
      </c>
      <c r="S178">
        <f>HYPERLINK("https://klasma.github.io/Logging_0380/artfynd/A 37004-2025 artfynd.xlsx", "A 37004-2025")</f>
        <v/>
      </c>
      <c r="T178">
        <f>HYPERLINK("https://klasma.github.io/Logging_0380/kartor/A 37004-2025 karta.png", "A 37004-2025")</f>
        <v/>
      </c>
      <c r="V178">
        <f>HYPERLINK("https://klasma.github.io/Logging_0380/klagomål/A 37004-2025 FSC-klagomål.docx", "A 37004-2025")</f>
        <v/>
      </c>
      <c r="W178">
        <f>HYPERLINK("https://klasma.github.io/Logging_0380/klagomålsmail/A 37004-2025 FSC-klagomål mail.docx", "A 37004-2025")</f>
        <v/>
      </c>
      <c r="X178">
        <f>HYPERLINK("https://klasma.github.io/Logging_0380/tillsyn/A 37004-2025 tillsynsbegäran.docx", "A 37004-2025")</f>
        <v/>
      </c>
      <c r="Y178">
        <f>HYPERLINK("https://klasma.github.io/Logging_0380/tillsynsmail/A 37004-2025 tillsynsbegäran mail.docx", "A 37004-2025")</f>
        <v/>
      </c>
      <c r="Z178">
        <f>HYPERLINK("https://klasma.github.io/Logging_0380/fåglar/A 37004-2025 prioriterade fågelarter.docx", "A 37004-2025")</f>
        <v/>
      </c>
    </row>
    <row r="179" ht="15" customHeight="1">
      <c r="A179" t="inlineStr">
        <is>
          <t>A 54350-2025</t>
        </is>
      </c>
      <c r="B179" s="1" t="n">
        <v>45965</v>
      </c>
      <c r="C179" s="1" t="n">
        <v>46098</v>
      </c>
      <c r="D179" t="inlineStr">
        <is>
          <t>UPPSALA LÄN</t>
        </is>
      </c>
      <c r="E179" t="inlineStr">
        <is>
          <t>HEBY</t>
        </is>
      </c>
      <c r="G179" t="n">
        <v>2.1</v>
      </c>
      <c r="H179" t="n">
        <v>2</v>
      </c>
      <c r="I179" t="n">
        <v>0</v>
      </c>
      <c r="J179" t="n">
        <v>3</v>
      </c>
      <c r="K179" t="n">
        <v>1</v>
      </c>
      <c r="L179" t="n">
        <v>0</v>
      </c>
      <c r="M179" t="n">
        <v>0</v>
      </c>
      <c r="N179" t="n">
        <v>0</v>
      </c>
      <c r="O179" t="n">
        <v>4</v>
      </c>
      <c r="P179" t="n">
        <v>1</v>
      </c>
      <c r="Q179" t="n">
        <v>4</v>
      </c>
      <c r="R179" s="2" t="inlineStr">
        <is>
          <t>Knärot
Granticka
Gropticka
Spillkråka</t>
        </is>
      </c>
      <c r="S179">
        <f>HYPERLINK("https://klasma.github.io/Logging_0331/artfynd/A 54350-2025 artfynd.xlsx", "A 54350-2025")</f>
        <v/>
      </c>
      <c r="T179">
        <f>HYPERLINK("https://klasma.github.io/Logging_0331/kartor/A 54350-2025 karta.png", "A 54350-2025")</f>
        <v/>
      </c>
      <c r="U179">
        <f>HYPERLINK("https://klasma.github.io/Logging_0331/knärot/A 54350-2025 karta knärot.png", "A 54350-2025")</f>
        <v/>
      </c>
      <c r="V179">
        <f>HYPERLINK("https://klasma.github.io/Logging_0331/klagomål/A 54350-2025 FSC-klagomål.docx", "A 54350-2025")</f>
        <v/>
      </c>
      <c r="W179">
        <f>HYPERLINK("https://klasma.github.io/Logging_0331/klagomålsmail/A 54350-2025 FSC-klagomål mail.docx", "A 54350-2025")</f>
        <v/>
      </c>
      <c r="X179">
        <f>HYPERLINK("https://klasma.github.io/Logging_0331/tillsyn/A 54350-2025 tillsynsbegäran.docx", "A 54350-2025")</f>
        <v/>
      </c>
      <c r="Y179">
        <f>HYPERLINK("https://klasma.github.io/Logging_0331/tillsynsmail/A 54350-2025 tillsynsbegäran mail.docx", "A 54350-2025")</f>
        <v/>
      </c>
      <c r="Z179">
        <f>HYPERLINK("https://klasma.github.io/Logging_0331/fåglar/A 54350-2025 prioriterade fågelarter.docx", "A 54350-2025")</f>
        <v/>
      </c>
    </row>
    <row r="180" ht="15" customHeight="1">
      <c r="A180" t="inlineStr">
        <is>
          <t>A 54352-2025</t>
        </is>
      </c>
      <c r="B180" s="1" t="n">
        <v>45965.3762037037</v>
      </c>
      <c r="C180" s="1" t="n">
        <v>46098</v>
      </c>
      <c r="D180" t="inlineStr">
        <is>
          <t>UPPSALA LÄN</t>
        </is>
      </c>
      <c r="E180" t="inlineStr">
        <is>
          <t>HEBY</t>
        </is>
      </c>
      <c r="G180" t="n">
        <v>1.7</v>
      </c>
      <c r="H180" t="n">
        <v>3</v>
      </c>
      <c r="I180" t="n">
        <v>0</v>
      </c>
      <c r="J180" t="n">
        <v>2</v>
      </c>
      <c r="K180" t="n">
        <v>1</v>
      </c>
      <c r="L180" t="n">
        <v>0</v>
      </c>
      <c r="M180" t="n">
        <v>0</v>
      </c>
      <c r="N180" t="n">
        <v>0</v>
      </c>
      <c r="O180" t="n">
        <v>3</v>
      </c>
      <c r="P180" t="n">
        <v>1</v>
      </c>
      <c r="Q180" t="n">
        <v>4</v>
      </c>
      <c r="R180" s="2" t="inlineStr">
        <is>
          <t>Knärot
Garnlav
Spillkråka
Kungsfågel</t>
        </is>
      </c>
      <c r="S180">
        <f>HYPERLINK("https://klasma.github.io/Logging_0331/artfynd/A 54352-2025 artfynd.xlsx", "A 54352-2025")</f>
        <v/>
      </c>
      <c r="T180">
        <f>HYPERLINK("https://klasma.github.io/Logging_0331/kartor/A 54352-2025 karta.png", "A 54352-2025")</f>
        <v/>
      </c>
      <c r="U180">
        <f>HYPERLINK("https://klasma.github.io/Logging_0331/knärot/A 54352-2025 karta knärot.png", "A 54352-2025")</f>
        <v/>
      </c>
      <c r="V180">
        <f>HYPERLINK("https://klasma.github.io/Logging_0331/klagomål/A 54352-2025 FSC-klagomål.docx", "A 54352-2025")</f>
        <v/>
      </c>
      <c r="W180">
        <f>HYPERLINK("https://klasma.github.io/Logging_0331/klagomålsmail/A 54352-2025 FSC-klagomål mail.docx", "A 54352-2025")</f>
        <v/>
      </c>
      <c r="X180">
        <f>HYPERLINK("https://klasma.github.io/Logging_0331/tillsyn/A 54352-2025 tillsynsbegäran.docx", "A 54352-2025")</f>
        <v/>
      </c>
      <c r="Y180">
        <f>HYPERLINK("https://klasma.github.io/Logging_0331/tillsynsmail/A 54352-2025 tillsynsbegäran mail.docx", "A 54352-2025")</f>
        <v/>
      </c>
      <c r="Z180">
        <f>HYPERLINK("https://klasma.github.io/Logging_0331/fåglar/A 54352-2025 prioriterade fågelarter.docx", "A 54352-2025")</f>
        <v/>
      </c>
    </row>
    <row r="181" ht="15" customHeight="1">
      <c r="A181" t="inlineStr">
        <is>
          <t>A 4610-2025</t>
        </is>
      </c>
      <c r="B181" s="1" t="n">
        <v>45687.57645833334</v>
      </c>
      <c r="C181" s="1" t="n">
        <v>46098</v>
      </c>
      <c r="D181" t="inlineStr">
        <is>
          <t>UPPSALA LÄN</t>
        </is>
      </c>
      <c r="E181" t="inlineStr">
        <is>
          <t>HEBY</t>
        </is>
      </c>
      <c r="G181" t="n">
        <v>25.1</v>
      </c>
      <c r="H181" t="n">
        <v>0</v>
      </c>
      <c r="I181" t="n">
        <v>3</v>
      </c>
      <c r="J181" t="n">
        <v>1</v>
      </c>
      <c r="K181" t="n">
        <v>0</v>
      </c>
      <c r="L181" t="n">
        <v>0</v>
      </c>
      <c r="M181" t="n">
        <v>0</v>
      </c>
      <c r="N181" t="n">
        <v>0</v>
      </c>
      <c r="O181" t="n">
        <v>1</v>
      </c>
      <c r="P181" t="n">
        <v>0</v>
      </c>
      <c r="Q181" t="n">
        <v>4</v>
      </c>
      <c r="R181" s="2" t="inlineStr">
        <is>
          <t>Större flatbagge
Granbräken
Gulnål
Jättesvampmal</t>
        </is>
      </c>
      <c r="S181">
        <f>HYPERLINK("https://klasma.github.io/Logging_0331/artfynd/A 4610-2025 artfynd.xlsx", "A 4610-2025")</f>
        <v/>
      </c>
      <c r="T181">
        <f>HYPERLINK("https://klasma.github.io/Logging_0331/kartor/A 4610-2025 karta.png", "A 4610-2025")</f>
        <v/>
      </c>
      <c r="V181">
        <f>HYPERLINK("https://klasma.github.io/Logging_0331/klagomål/A 4610-2025 FSC-klagomål.docx", "A 4610-2025")</f>
        <v/>
      </c>
      <c r="W181">
        <f>HYPERLINK("https://klasma.github.io/Logging_0331/klagomålsmail/A 4610-2025 FSC-klagomål mail.docx", "A 4610-2025")</f>
        <v/>
      </c>
      <c r="X181">
        <f>HYPERLINK("https://klasma.github.io/Logging_0331/tillsyn/A 4610-2025 tillsynsbegäran.docx", "A 4610-2025")</f>
        <v/>
      </c>
      <c r="Y181">
        <f>HYPERLINK("https://klasma.github.io/Logging_0331/tillsynsmail/A 4610-2025 tillsynsbegäran mail.docx", "A 4610-2025")</f>
        <v/>
      </c>
    </row>
    <row r="182" ht="15" customHeight="1">
      <c r="A182" t="inlineStr">
        <is>
          <t>A 8323-2023</t>
        </is>
      </c>
      <c r="B182" s="1" t="n">
        <v>44974</v>
      </c>
      <c r="C182" s="1" t="n">
        <v>46098</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Tallkötticka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9354-2026</t>
        </is>
      </c>
      <c r="B183" s="1" t="n">
        <v>46070</v>
      </c>
      <c r="C183" s="1" t="n">
        <v>46098</v>
      </c>
      <c r="D183" t="inlineStr">
        <is>
          <t>UPPSALA LÄN</t>
        </is>
      </c>
      <c r="E183" t="inlineStr">
        <is>
          <t>HEBY</t>
        </is>
      </c>
      <c r="G183" t="n">
        <v>9.6</v>
      </c>
      <c r="H183" t="n">
        <v>2</v>
      </c>
      <c r="I183" t="n">
        <v>0</v>
      </c>
      <c r="J183" t="n">
        <v>1</v>
      </c>
      <c r="K183" t="n">
        <v>0</v>
      </c>
      <c r="L183" t="n">
        <v>1</v>
      </c>
      <c r="M183" t="n">
        <v>0</v>
      </c>
      <c r="N183" t="n">
        <v>0</v>
      </c>
      <c r="O183" t="n">
        <v>2</v>
      </c>
      <c r="P183" t="n">
        <v>1</v>
      </c>
      <c r="Q183" t="n">
        <v>4</v>
      </c>
      <c r="R183" s="2" t="inlineStr">
        <is>
          <t>Ask
Vårstarr
Blåsippa
Gullviva</t>
        </is>
      </c>
      <c r="S183">
        <f>HYPERLINK("https://klasma.github.io/Logging_0331/artfynd/A 9354-2026 artfynd.xlsx", "A 9354-2026")</f>
        <v/>
      </c>
      <c r="T183">
        <f>HYPERLINK("https://klasma.github.io/Logging_0331/kartor/A 9354-2026 karta.png", "A 9354-2026")</f>
        <v/>
      </c>
      <c r="V183">
        <f>HYPERLINK("https://klasma.github.io/Logging_0331/klagomål/A 9354-2026 FSC-klagomål.docx", "A 9354-2026")</f>
        <v/>
      </c>
      <c r="W183">
        <f>HYPERLINK("https://klasma.github.io/Logging_0331/klagomålsmail/A 9354-2026 FSC-klagomål mail.docx", "A 9354-2026")</f>
        <v/>
      </c>
      <c r="X183">
        <f>HYPERLINK("https://klasma.github.io/Logging_0331/tillsyn/A 9354-2026 tillsynsbegäran.docx", "A 9354-2026")</f>
        <v/>
      </c>
      <c r="Y183">
        <f>HYPERLINK("https://klasma.github.io/Logging_0331/tillsynsmail/A 9354-2026 tillsynsbegäran mail.docx", "A 9354-2026")</f>
        <v/>
      </c>
    </row>
    <row r="184" ht="15" customHeight="1">
      <c r="A184" t="inlineStr">
        <is>
          <t>A 2524-2026</t>
        </is>
      </c>
      <c r="B184" s="1" t="n">
        <v>46037.42877314815</v>
      </c>
      <c r="C184" s="1" t="n">
        <v>46098</v>
      </c>
      <c r="D184" t="inlineStr">
        <is>
          <t>UPPSALA LÄN</t>
        </is>
      </c>
      <c r="E184" t="inlineStr">
        <is>
          <t>UPPSALA</t>
        </is>
      </c>
      <c r="F184" t="inlineStr">
        <is>
          <t>Allmännings- och besparingsskogar</t>
        </is>
      </c>
      <c r="G184" t="n">
        <v>13.4</v>
      </c>
      <c r="H184" t="n">
        <v>2</v>
      </c>
      <c r="I184" t="n">
        <v>1</v>
      </c>
      <c r="J184" t="n">
        <v>1</v>
      </c>
      <c r="K184" t="n">
        <v>1</v>
      </c>
      <c r="L184" t="n">
        <v>0</v>
      </c>
      <c r="M184" t="n">
        <v>0</v>
      </c>
      <c r="N184" t="n">
        <v>0</v>
      </c>
      <c r="O184" t="n">
        <v>2</v>
      </c>
      <c r="P184" t="n">
        <v>1</v>
      </c>
      <c r="Q184" t="n">
        <v>4</v>
      </c>
      <c r="R184" s="2" t="inlineStr">
        <is>
          <t>Vågticka
Spillkråka
Blodticka
Tjäder</t>
        </is>
      </c>
      <c r="S184">
        <f>HYPERLINK("https://klasma.github.io/Logging_0380/artfynd/A 2524-2026 artfynd.xlsx", "A 2524-2026")</f>
        <v/>
      </c>
      <c r="T184">
        <f>HYPERLINK("https://klasma.github.io/Logging_0380/kartor/A 2524-2026 karta.png", "A 2524-2026")</f>
        <v/>
      </c>
      <c r="V184">
        <f>HYPERLINK("https://klasma.github.io/Logging_0380/klagomål/A 2524-2026 FSC-klagomål.docx", "A 2524-2026")</f>
        <v/>
      </c>
      <c r="W184">
        <f>HYPERLINK("https://klasma.github.io/Logging_0380/klagomålsmail/A 2524-2026 FSC-klagomål mail.docx", "A 2524-2026")</f>
        <v/>
      </c>
      <c r="X184">
        <f>HYPERLINK("https://klasma.github.io/Logging_0380/tillsyn/A 2524-2026 tillsynsbegäran.docx", "A 2524-2026")</f>
        <v/>
      </c>
      <c r="Y184">
        <f>HYPERLINK("https://klasma.github.io/Logging_0380/tillsynsmail/A 2524-2026 tillsynsbegäran mail.docx", "A 2524-2026")</f>
        <v/>
      </c>
      <c r="Z184">
        <f>HYPERLINK("https://klasma.github.io/Logging_0380/fåglar/A 2524-2026 prioriterade fågelarter.docx", "A 2524-2026")</f>
        <v/>
      </c>
    </row>
    <row r="185" ht="15" customHeight="1">
      <c r="A185" t="inlineStr">
        <is>
          <t>A 26758-2022</t>
        </is>
      </c>
      <c r="B185" s="1" t="n">
        <v>44740</v>
      </c>
      <c r="C185" s="1" t="n">
        <v>46098</v>
      </c>
      <c r="D185" t="inlineStr">
        <is>
          <t>UPPSALA LÄN</t>
        </is>
      </c>
      <c r="E185" t="inlineStr">
        <is>
          <t>UPPSALA</t>
        </is>
      </c>
      <c r="G185" t="n">
        <v>21.5</v>
      </c>
      <c r="H185" t="n">
        <v>0</v>
      </c>
      <c r="I185" t="n">
        <v>3</v>
      </c>
      <c r="J185" t="n">
        <v>1</v>
      </c>
      <c r="K185" t="n">
        <v>0</v>
      </c>
      <c r="L185" t="n">
        <v>0</v>
      </c>
      <c r="M185" t="n">
        <v>0</v>
      </c>
      <c r="N185" t="n">
        <v>0</v>
      </c>
      <c r="O185" t="n">
        <v>1</v>
      </c>
      <c r="P185" t="n">
        <v>0</v>
      </c>
      <c r="Q185" t="n">
        <v>4</v>
      </c>
      <c r="R185" s="2" t="inlineStr">
        <is>
          <t>Vedtrappmossa
Blåmossa
Bronshjon
Trådticka</t>
        </is>
      </c>
      <c r="S185">
        <f>HYPERLINK("https://klasma.github.io/Logging_0380/artfynd/A 26758-2022 artfynd.xlsx", "A 26758-2022")</f>
        <v/>
      </c>
      <c r="T185">
        <f>HYPERLINK("https://klasma.github.io/Logging_0380/kartor/A 26758-2022 karta.png", "A 26758-2022")</f>
        <v/>
      </c>
      <c r="V185">
        <f>HYPERLINK("https://klasma.github.io/Logging_0380/klagomål/A 26758-2022 FSC-klagomål.docx", "A 26758-2022")</f>
        <v/>
      </c>
      <c r="W185">
        <f>HYPERLINK("https://klasma.github.io/Logging_0380/klagomålsmail/A 26758-2022 FSC-klagomål mail.docx", "A 26758-2022")</f>
        <v/>
      </c>
      <c r="X185">
        <f>HYPERLINK("https://klasma.github.io/Logging_0380/tillsyn/A 26758-2022 tillsynsbegäran.docx", "A 26758-2022")</f>
        <v/>
      </c>
      <c r="Y185">
        <f>HYPERLINK("https://klasma.github.io/Logging_0380/tillsynsmail/A 26758-2022 tillsynsbegäran mail.docx", "A 26758-2022")</f>
        <v/>
      </c>
    </row>
    <row r="186" ht="15" customHeight="1">
      <c r="A186" t="inlineStr">
        <is>
          <t>A 22258-2022</t>
        </is>
      </c>
      <c r="B186" s="1" t="n">
        <v>44712</v>
      </c>
      <c r="C186" s="1" t="n">
        <v>46098</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15297-2022</t>
        </is>
      </c>
      <c r="B187" s="1" t="n">
        <v>44659</v>
      </c>
      <c r="C187" s="1" t="n">
        <v>46098</v>
      </c>
      <c r="D187" t="inlineStr">
        <is>
          <t>UPPSALA LÄN</t>
        </is>
      </c>
      <c r="E187" t="inlineStr">
        <is>
          <t>UPPSALA</t>
        </is>
      </c>
      <c r="F187" t="inlineStr">
        <is>
          <t>Övriga Aktiebolag</t>
        </is>
      </c>
      <c r="G187" t="n">
        <v>6.6</v>
      </c>
      <c r="H187" t="n">
        <v>0</v>
      </c>
      <c r="I187" t="n">
        <v>2</v>
      </c>
      <c r="J187" t="n">
        <v>2</v>
      </c>
      <c r="K187" t="n">
        <v>0</v>
      </c>
      <c r="L187" t="n">
        <v>0</v>
      </c>
      <c r="M187" t="n">
        <v>0</v>
      </c>
      <c r="N187" t="n">
        <v>0</v>
      </c>
      <c r="O187" t="n">
        <v>2</v>
      </c>
      <c r="P187" t="n">
        <v>0</v>
      </c>
      <c r="Q187" t="n">
        <v>4</v>
      </c>
      <c r="R187" s="2" t="inlineStr">
        <is>
          <t>Blekticka
Ekticka
Fällmossa
Stor aspticka</t>
        </is>
      </c>
      <c r="S187">
        <f>HYPERLINK("https://klasma.github.io/Logging_0380/artfynd/A 15297-2022 artfynd.xlsx", "A 15297-2022")</f>
        <v/>
      </c>
      <c r="T187">
        <f>HYPERLINK("https://klasma.github.io/Logging_0380/kartor/A 15297-2022 karta.png", "A 15297-2022")</f>
        <v/>
      </c>
      <c r="V187">
        <f>HYPERLINK("https://klasma.github.io/Logging_0380/klagomål/A 15297-2022 FSC-klagomål.docx", "A 15297-2022")</f>
        <v/>
      </c>
      <c r="W187">
        <f>HYPERLINK("https://klasma.github.io/Logging_0380/klagomålsmail/A 15297-2022 FSC-klagomål mail.docx", "A 15297-2022")</f>
        <v/>
      </c>
      <c r="X187">
        <f>HYPERLINK("https://klasma.github.io/Logging_0380/tillsyn/A 15297-2022 tillsynsbegäran.docx", "A 15297-2022")</f>
        <v/>
      </c>
      <c r="Y187">
        <f>HYPERLINK("https://klasma.github.io/Logging_0380/tillsynsmail/A 15297-2022 tillsynsbegäran mail.docx", "A 15297-2022")</f>
        <v/>
      </c>
    </row>
    <row r="188" ht="15" customHeight="1">
      <c r="A188" t="inlineStr">
        <is>
          <t>A 33051-2021</t>
        </is>
      </c>
      <c r="B188" s="1" t="n">
        <v>44376</v>
      </c>
      <c r="C188" s="1" t="n">
        <v>46098</v>
      </c>
      <c r="D188" t="inlineStr">
        <is>
          <t>UPPSALA LÄN</t>
        </is>
      </c>
      <c r="E188" t="inlineStr">
        <is>
          <t>ÖSTHAMMAR</t>
        </is>
      </c>
      <c r="G188" t="n">
        <v>3</v>
      </c>
      <c r="H188" t="n">
        <v>0</v>
      </c>
      <c r="I188" t="n">
        <v>3</v>
      </c>
      <c r="J188" t="n">
        <v>0</v>
      </c>
      <c r="K188" t="n">
        <v>1</v>
      </c>
      <c r="L188" t="n">
        <v>0</v>
      </c>
      <c r="M188" t="n">
        <v>0</v>
      </c>
      <c r="N188" t="n">
        <v>0</v>
      </c>
      <c r="O188" t="n">
        <v>1</v>
      </c>
      <c r="P188" t="n">
        <v>1</v>
      </c>
      <c r="Q188" t="n">
        <v>4</v>
      </c>
      <c r="R188" s="2" t="inlineStr">
        <is>
          <t>Gul lammticka
Anisspindling
Guldkremla
Kamjordstjärna</t>
        </is>
      </c>
      <c r="S188">
        <f>HYPERLINK("https://klasma.github.io/Logging_0382/artfynd/A 33051-2021 artfynd.xlsx", "A 33051-2021")</f>
        <v/>
      </c>
      <c r="T188">
        <f>HYPERLINK("https://klasma.github.io/Logging_0382/kartor/A 33051-2021 karta.png", "A 33051-2021")</f>
        <v/>
      </c>
      <c r="V188">
        <f>HYPERLINK("https://klasma.github.io/Logging_0382/klagomål/A 33051-2021 FSC-klagomål.docx", "A 33051-2021")</f>
        <v/>
      </c>
      <c r="W188">
        <f>HYPERLINK("https://klasma.github.io/Logging_0382/klagomålsmail/A 33051-2021 FSC-klagomål mail.docx", "A 33051-2021")</f>
        <v/>
      </c>
      <c r="X188">
        <f>HYPERLINK("https://klasma.github.io/Logging_0382/tillsyn/A 33051-2021 tillsynsbegäran.docx", "A 33051-2021")</f>
        <v/>
      </c>
      <c r="Y188">
        <f>HYPERLINK("https://klasma.github.io/Logging_0382/tillsynsmail/A 33051-2021 tillsynsbegäran mail.docx", "A 33051-2021")</f>
        <v/>
      </c>
    </row>
    <row r="189" ht="15" customHeight="1">
      <c r="A189" t="inlineStr">
        <is>
          <t>A 3952-2025</t>
        </is>
      </c>
      <c r="B189" s="1" t="n">
        <v>45684</v>
      </c>
      <c r="C189" s="1" t="n">
        <v>46098</v>
      </c>
      <c r="D189" t="inlineStr">
        <is>
          <t>UPPSALA LÄN</t>
        </is>
      </c>
      <c r="E189" t="inlineStr">
        <is>
          <t>ÄLVKARLEBY</t>
        </is>
      </c>
      <c r="G189" t="n">
        <v>1.5</v>
      </c>
      <c r="H189" t="n">
        <v>3</v>
      </c>
      <c r="I189" t="n">
        <v>2</v>
      </c>
      <c r="J189" t="n">
        <v>1</v>
      </c>
      <c r="K189" t="n">
        <v>0</v>
      </c>
      <c r="L189" t="n">
        <v>0</v>
      </c>
      <c r="M189" t="n">
        <v>0</v>
      </c>
      <c r="N189" t="n">
        <v>0</v>
      </c>
      <c r="O189" t="n">
        <v>1</v>
      </c>
      <c r="P189" t="n">
        <v>0</v>
      </c>
      <c r="Q189" t="n">
        <v>4</v>
      </c>
      <c r="R189" s="2" t="inlineStr">
        <is>
          <t>Mindre bastardsvärmare
Skogsknipprot
Tvåblad
Kärrknipprot</t>
        </is>
      </c>
      <c r="S189">
        <f>HYPERLINK("https://klasma.github.io/Logging_0319/artfynd/A 3952-2025 artfynd.xlsx", "A 3952-2025")</f>
        <v/>
      </c>
      <c r="T189">
        <f>HYPERLINK("https://klasma.github.io/Logging_0319/kartor/A 3952-2025 karta.png", "A 3952-2025")</f>
        <v/>
      </c>
      <c r="V189">
        <f>HYPERLINK("https://klasma.github.io/Logging_0319/klagomål/A 3952-2025 FSC-klagomål.docx", "A 3952-2025")</f>
        <v/>
      </c>
      <c r="W189">
        <f>HYPERLINK("https://klasma.github.io/Logging_0319/klagomålsmail/A 3952-2025 FSC-klagomål mail.docx", "A 3952-2025")</f>
        <v/>
      </c>
      <c r="X189">
        <f>HYPERLINK("https://klasma.github.io/Logging_0319/tillsyn/A 3952-2025 tillsynsbegäran.docx", "A 3952-2025")</f>
        <v/>
      </c>
      <c r="Y189">
        <f>HYPERLINK("https://klasma.github.io/Logging_0319/tillsynsmail/A 3952-2025 tillsynsbegäran mail.docx", "A 3952-2025")</f>
        <v/>
      </c>
    </row>
    <row r="190" ht="15" customHeight="1">
      <c r="A190" t="inlineStr">
        <is>
          <t>A 14523-2025</t>
        </is>
      </c>
      <c r="B190" s="1" t="n">
        <v>45741.64648148148</v>
      </c>
      <c r="C190" s="1" t="n">
        <v>46098</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26279-2024</t>
        </is>
      </c>
      <c r="B191" s="1" t="n">
        <v>45468</v>
      </c>
      <c r="C191" s="1" t="n">
        <v>46098</v>
      </c>
      <c r="D191" t="inlineStr">
        <is>
          <t>UPPSALA LÄN</t>
        </is>
      </c>
      <c r="E191" t="inlineStr">
        <is>
          <t>ÖSTHAMMAR</t>
        </is>
      </c>
      <c r="G191" t="n">
        <v>2.8</v>
      </c>
      <c r="H191" t="n">
        <v>2</v>
      </c>
      <c r="I191" t="n">
        <v>4</v>
      </c>
      <c r="J191" t="n">
        <v>0</v>
      </c>
      <c r="K191" t="n">
        <v>0</v>
      </c>
      <c r="L191" t="n">
        <v>0</v>
      </c>
      <c r="M191" t="n">
        <v>0</v>
      </c>
      <c r="N191" t="n">
        <v>0</v>
      </c>
      <c r="O191" t="n">
        <v>0</v>
      </c>
      <c r="P191" t="n">
        <v>0</v>
      </c>
      <c r="Q191" t="n">
        <v>4</v>
      </c>
      <c r="R191" s="2" t="inlineStr">
        <is>
          <t>Nästrot
Skogsknipprot
Sårläka
Vårärt</t>
        </is>
      </c>
      <c r="S191">
        <f>HYPERLINK("https://klasma.github.io/Logging_0382/artfynd/A 26279-2024 artfynd.xlsx", "A 26279-2024")</f>
        <v/>
      </c>
      <c r="T191">
        <f>HYPERLINK("https://klasma.github.io/Logging_0382/kartor/A 26279-2024 karta.png", "A 26279-2024")</f>
        <v/>
      </c>
      <c r="V191">
        <f>HYPERLINK("https://klasma.github.io/Logging_0382/klagomål/A 26279-2024 FSC-klagomål.docx", "A 26279-2024")</f>
        <v/>
      </c>
      <c r="W191">
        <f>HYPERLINK("https://klasma.github.io/Logging_0382/klagomålsmail/A 26279-2024 FSC-klagomål mail.docx", "A 26279-2024")</f>
        <v/>
      </c>
      <c r="X191">
        <f>HYPERLINK("https://klasma.github.io/Logging_0382/tillsyn/A 26279-2024 tillsynsbegäran.docx", "A 26279-2024")</f>
        <v/>
      </c>
      <c r="Y191">
        <f>HYPERLINK("https://klasma.github.io/Logging_0382/tillsynsmail/A 26279-2024 tillsynsbegäran mail.docx", "A 26279-2024")</f>
        <v/>
      </c>
    </row>
    <row r="192" ht="15" customHeight="1">
      <c r="A192" t="inlineStr">
        <is>
          <t>A 48352-2022</t>
        </is>
      </c>
      <c r="B192" s="1" t="n">
        <v>44858</v>
      </c>
      <c r="C192" s="1" t="n">
        <v>46098</v>
      </c>
      <c r="D192" t="inlineStr">
        <is>
          <t>UPPSALA LÄN</t>
        </is>
      </c>
      <c r="E192" t="inlineStr">
        <is>
          <t>ÖSTHAMMAR</t>
        </is>
      </c>
      <c r="G192" t="n">
        <v>4.8</v>
      </c>
      <c r="H192" t="n">
        <v>0</v>
      </c>
      <c r="I192" t="n">
        <v>2</v>
      </c>
      <c r="J192" t="n">
        <v>2</v>
      </c>
      <c r="K192" t="n">
        <v>0</v>
      </c>
      <c r="L192" t="n">
        <v>0</v>
      </c>
      <c r="M192" t="n">
        <v>0</v>
      </c>
      <c r="N192" t="n">
        <v>0</v>
      </c>
      <c r="O192" t="n">
        <v>2</v>
      </c>
      <c r="P192" t="n">
        <v>0</v>
      </c>
      <c r="Q192" t="n">
        <v>4</v>
      </c>
      <c r="R192" s="2" t="inlineStr">
        <is>
          <t>Gultoppig fingersvamp
Svart taggsvamp agg.
Anisspindling
Diskvaxskivling</t>
        </is>
      </c>
      <c r="S192">
        <f>HYPERLINK("https://klasma.github.io/Logging_0382/artfynd/A 48352-2022 artfynd.xlsx", "A 48352-2022")</f>
        <v/>
      </c>
      <c r="T192">
        <f>HYPERLINK("https://klasma.github.io/Logging_0382/kartor/A 48352-2022 karta.png", "A 48352-2022")</f>
        <v/>
      </c>
      <c r="V192">
        <f>HYPERLINK("https://klasma.github.io/Logging_0382/klagomål/A 48352-2022 FSC-klagomål.docx", "A 48352-2022")</f>
        <v/>
      </c>
      <c r="W192">
        <f>HYPERLINK("https://klasma.github.io/Logging_0382/klagomålsmail/A 48352-2022 FSC-klagomål mail.docx", "A 48352-2022")</f>
        <v/>
      </c>
      <c r="X192">
        <f>HYPERLINK("https://klasma.github.io/Logging_0382/tillsyn/A 48352-2022 tillsynsbegäran.docx", "A 48352-2022")</f>
        <v/>
      </c>
      <c r="Y192">
        <f>HYPERLINK("https://klasma.github.io/Logging_0382/tillsynsmail/A 48352-2022 tillsynsbegäran mail.docx", "A 48352-2022")</f>
        <v/>
      </c>
    </row>
    <row r="193" ht="15" customHeight="1">
      <c r="A193" t="inlineStr">
        <is>
          <t>A 51733-2023</t>
        </is>
      </c>
      <c r="B193" s="1" t="n">
        <v>45222</v>
      </c>
      <c r="C193" s="1" t="n">
        <v>46098</v>
      </c>
      <c r="D193" t="inlineStr">
        <is>
          <t>UPPSALA LÄN</t>
        </is>
      </c>
      <c r="E193" t="inlineStr">
        <is>
          <t>HEBY</t>
        </is>
      </c>
      <c r="F193" t="inlineStr">
        <is>
          <t>Allmännings- och besparingsskogar</t>
        </is>
      </c>
      <c r="G193" t="n">
        <v>17.7</v>
      </c>
      <c r="H193" t="n">
        <v>4</v>
      </c>
      <c r="I193" t="n">
        <v>0</v>
      </c>
      <c r="J193" t="n">
        <v>0</v>
      </c>
      <c r="K193" t="n">
        <v>1</v>
      </c>
      <c r="L193" t="n">
        <v>0</v>
      </c>
      <c r="M193" t="n">
        <v>0</v>
      </c>
      <c r="N193" t="n">
        <v>0</v>
      </c>
      <c r="O193" t="n">
        <v>1</v>
      </c>
      <c r="P193" t="n">
        <v>1</v>
      </c>
      <c r="Q193" t="n">
        <v>4</v>
      </c>
      <c r="R193" s="2" t="inlineStr">
        <is>
          <t>Knärot
Blåsippa
Lopplummer (aggregat)
Revlummer</t>
        </is>
      </c>
      <c r="S193">
        <f>HYPERLINK("https://klasma.github.io/Logging_0331/artfynd/A 51733-2023 artfynd.xlsx", "A 51733-2023")</f>
        <v/>
      </c>
      <c r="T193">
        <f>HYPERLINK("https://klasma.github.io/Logging_0331/kartor/A 51733-2023 karta.png", "A 51733-2023")</f>
        <v/>
      </c>
      <c r="U193">
        <f>HYPERLINK("https://klasma.github.io/Logging_0331/knärot/A 51733-2023 karta knärot.png", "A 51733-2023")</f>
        <v/>
      </c>
      <c r="V193">
        <f>HYPERLINK("https://klasma.github.io/Logging_0331/klagomål/A 51733-2023 FSC-klagomål.docx", "A 51733-2023")</f>
        <v/>
      </c>
      <c r="W193">
        <f>HYPERLINK("https://klasma.github.io/Logging_0331/klagomålsmail/A 51733-2023 FSC-klagomål mail.docx", "A 51733-2023")</f>
        <v/>
      </c>
      <c r="X193">
        <f>HYPERLINK("https://klasma.github.io/Logging_0331/tillsyn/A 51733-2023 tillsynsbegäran.docx", "A 51733-2023")</f>
        <v/>
      </c>
      <c r="Y193">
        <f>HYPERLINK("https://klasma.github.io/Logging_0331/tillsynsmail/A 51733-2023 tillsynsbegäran mail.docx", "A 51733-2023")</f>
        <v/>
      </c>
    </row>
    <row r="194" ht="15" customHeight="1">
      <c r="A194" t="inlineStr">
        <is>
          <t>A 54492-2024</t>
        </is>
      </c>
      <c r="B194" s="1" t="n">
        <v>45617</v>
      </c>
      <c r="C194" s="1" t="n">
        <v>46098</v>
      </c>
      <c r="D194" t="inlineStr">
        <is>
          <t>UPPSALA LÄN</t>
        </is>
      </c>
      <c r="E194" t="inlineStr">
        <is>
          <t>ÖSTHAMMAR</t>
        </is>
      </c>
      <c r="G194" t="n">
        <v>23.9</v>
      </c>
      <c r="H194" t="n">
        <v>1</v>
      </c>
      <c r="I194" t="n">
        <v>3</v>
      </c>
      <c r="J194" t="n">
        <v>0</v>
      </c>
      <c r="K194" t="n">
        <v>0</v>
      </c>
      <c r="L194" t="n">
        <v>0</v>
      </c>
      <c r="M194" t="n">
        <v>0</v>
      </c>
      <c r="N194" t="n">
        <v>0</v>
      </c>
      <c r="O194" t="n">
        <v>0</v>
      </c>
      <c r="P194" t="n">
        <v>0</v>
      </c>
      <c r="Q194" t="n">
        <v>4</v>
      </c>
      <c r="R194" s="2" t="inlineStr">
        <is>
          <t>Bårdlav
Hasselticka
Läderskål
Blåsippa</t>
        </is>
      </c>
      <c r="S194">
        <f>HYPERLINK("https://klasma.github.io/Logging_0382/artfynd/A 54492-2024 artfynd.xlsx", "A 54492-2024")</f>
        <v/>
      </c>
      <c r="T194">
        <f>HYPERLINK("https://klasma.github.io/Logging_0382/kartor/A 54492-2024 karta.png", "A 54492-2024")</f>
        <v/>
      </c>
      <c r="V194">
        <f>HYPERLINK("https://klasma.github.io/Logging_0382/klagomål/A 54492-2024 FSC-klagomål.docx", "A 54492-2024")</f>
        <v/>
      </c>
      <c r="W194">
        <f>HYPERLINK("https://klasma.github.io/Logging_0382/klagomålsmail/A 54492-2024 FSC-klagomål mail.docx", "A 54492-2024")</f>
        <v/>
      </c>
      <c r="X194">
        <f>HYPERLINK("https://klasma.github.io/Logging_0382/tillsyn/A 54492-2024 tillsynsbegäran.docx", "A 54492-2024")</f>
        <v/>
      </c>
      <c r="Y194">
        <f>HYPERLINK("https://klasma.github.io/Logging_0382/tillsynsmail/A 54492-2024 tillsynsbegäran mail.docx", "A 54492-2024")</f>
        <v/>
      </c>
    </row>
    <row r="195" ht="15" customHeight="1">
      <c r="A195" t="inlineStr">
        <is>
          <t>A 11217-2024</t>
        </is>
      </c>
      <c r="B195" s="1" t="n">
        <v>45371</v>
      </c>
      <c r="C195" s="1" t="n">
        <v>46098</v>
      </c>
      <c r="D195" t="inlineStr">
        <is>
          <t>UPPSALA LÄN</t>
        </is>
      </c>
      <c r="E195" t="inlineStr">
        <is>
          <t>UPPSALA</t>
        </is>
      </c>
      <c r="F195" t="inlineStr">
        <is>
          <t>Kommuner</t>
        </is>
      </c>
      <c r="G195" t="n">
        <v>1.5</v>
      </c>
      <c r="H195" t="n">
        <v>1</v>
      </c>
      <c r="I195" t="n">
        <v>4</v>
      </c>
      <c r="J195" t="n">
        <v>0</v>
      </c>
      <c r="K195" t="n">
        <v>0</v>
      </c>
      <c r="L195" t="n">
        <v>0</v>
      </c>
      <c r="M195" t="n">
        <v>0</v>
      </c>
      <c r="N195" t="n">
        <v>0</v>
      </c>
      <c r="O195" t="n">
        <v>0</v>
      </c>
      <c r="P195" t="n">
        <v>0</v>
      </c>
      <c r="Q195" t="n">
        <v>4</v>
      </c>
      <c r="R195" s="2" t="inlineStr">
        <is>
          <t>Fällmossa
Grön sköldmossa
Lönnlav
Stor aspticka</t>
        </is>
      </c>
      <c r="S195">
        <f>HYPERLINK("https://klasma.github.io/Logging_0380/artfynd/A 11217-2024 artfynd.xlsx", "A 11217-2024")</f>
        <v/>
      </c>
      <c r="T195">
        <f>HYPERLINK("https://klasma.github.io/Logging_0380/kartor/A 11217-2024 karta.png", "A 11217-2024")</f>
        <v/>
      </c>
      <c r="V195">
        <f>HYPERLINK("https://klasma.github.io/Logging_0380/klagomål/A 11217-2024 FSC-klagomål.docx", "A 11217-2024")</f>
        <v/>
      </c>
      <c r="W195">
        <f>HYPERLINK("https://klasma.github.io/Logging_0380/klagomålsmail/A 11217-2024 FSC-klagomål mail.docx", "A 11217-2024")</f>
        <v/>
      </c>
      <c r="X195">
        <f>HYPERLINK("https://klasma.github.io/Logging_0380/tillsyn/A 11217-2024 tillsynsbegäran.docx", "A 11217-2024")</f>
        <v/>
      </c>
      <c r="Y195">
        <f>HYPERLINK("https://klasma.github.io/Logging_0380/tillsynsmail/A 11217-2024 tillsynsbegäran mail.docx", "A 11217-2024")</f>
        <v/>
      </c>
    </row>
    <row r="196" ht="15" customHeight="1">
      <c r="A196" t="inlineStr">
        <is>
          <t>A 7896-2025</t>
        </is>
      </c>
      <c r="B196" s="1" t="n">
        <v>45707</v>
      </c>
      <c r="C196" s="1" t="n">
        <v>46098</v>
      </c>
      <c r="D196" t="inlineStr">
        <is>
          <t>UPPSALA LÄN</t>
        </is>
      </c>
      <c r="E196" t="inlineStr">
        <is>
          <t>TIERP</t>
        </is>
      </c>
      <c r="F196" t="inlineStr">
        <is>
          <t>Bergvik skog öst AB</t>
        </is>
      </c>
      <c r="G196" t="n">
        <v>23.9</v>
      </c>
      <c r="H196" t="n">
        <v>1</v>
      </c>
      <c r="I196" t="n">
        <v>1</v>
      </c>
      <c r="J196" t="n">
        <v>1</v>
      </c>
      <c r="K196" t="n">
        <v>1</v>
      </c>
      <c r="L196" t="n">
        <v>0</v>
      </c>
      <c r="M196" t="n">
        <v>0</v>
      </c>
      <c r="N196" t="n">
        <v>0</v>
      </c>
      <c r="O196" t="n">
        <v>2</v>
      </c>
      <c r="P196" t="n">
        <v>1</v>
      </c>
      <c r="Q196" t="n">
        <v>4</v>
      </c>
      <c r="R196" s="2" t="inlineStr">
        <is>
          <t>Rynkskinn
Ullticka
Grönpyrola
Blåsippa</t>
        </is>
      </c>
      <c r="S196">
        <f>HYPERLINK("https://klasma.github.io/Logging_0360/artfynd/A 7896-2025 artfynd.xlsx", "A 7896-2025")</f>
        <v/>
      </c>
      <c r="T196">
        <f>HYPERLINK("https://klasma.github.io/Logging_0360/kartor/A 7896-2025 karta.png", "A 7896-2025")</f>
        <v/>
      </c>
      <c r="V196">
        <f>HYPERLINK("https://klasma.github.io/Logging_0360/klagomål/A 7896-2025 FSC-klagomål.docx", "A 7896-2025")</f>
        <v/>
      </c>
      <c r="W196">
        <f>HYPERLINK("https://klasma.github.io/Logging_0360/klagomålsmail/A 7896-2025 FSC-klagomål mail.docx", "A 7896-2025")</f>
        <v/>
      </c>
      <c r="X196">
        <f>HYPERLINK("https://klasma.github.io/Logging_0360/tillsyn/A 7896-2025 tillsynsbegäran.docx", "A 7896-2025")</f>
        <v/>
      </c>
      <c r="Y196">
        <f>HYPERLINK("https://klasma.github.io/Logging_0360/tillsynsmail/A 7896-2025 tillsynsbegäran mail.docx", "A 7896-2025")</f>
        <v/>
      </c>
    </row>
    <row r="197" ht="15" customHeight="1">
      <c r="A197" t="inlineStr">
        <is>
          <t>A 44281-2024</t>
        </is>
      </c>
      <c r="B197" s="1" t="n">
        <v>45573.49663194444</v>
      </c>
      <c r="C197" s="1" t="n">
        <v>46098</v>
      </c>
      <c r="D197" t="inlineStr">
        <is>
          <t>UPPSALA LÄN</t>
        </is>
      </c>
      <c r="E197" t="inlineStr">
        <is>
          <t>HEBY</t>
        </is>
      </c>
      <c r="G197" t="n">
        <v>4.8</v>
      </c>
      <c r="H197" t="n">
        <v>0</v>
      </c>
      <c r="I197" t="n">
        <v>0</v>
      </c>
      <c r="J197" t="n">
        <v>4</v>
      </c>
      <c r="K197" t="n">
        <v>0</v>
      </c>
      <c r="L197" t="n">
        <v>0</v>
      </c>
      <c r="M197" t="n">
        <v>0</v>
      </c>
      <c r="N197" t="n">
        <v>0</v>
      </c>
      <c r="O197" t="n">
        <v>4</v>
      </c>
      <c r="P197" t="n">
        <v>0</v>
      </c>
      <c r="Q197" t="n">
        <v>4</v>
      </c>
      <c r="R197" s="2" t="inlineStr">
        <is>
          <t>Amphicyllis globiformis
Fläckstumpbagge
Granvivel
Skrovlig flatbagge</t>
        </is>
      </c>
      <c r="S197">
        <f>HYPERLINK("https://klasma.github.io/Logging_0331/artfynd/A 44281-2024 artfynd.xlsx", "A 44281-2024")</f>
        <v/>
      </c>
      <c r="T197">
        <f>HYPERLINK("https://klasma.github.io/Logging_0331/kartor/A 44281-2024 karta.png", "A 44281-2024")</f>
        <v/>
      </c>
      <c r="V197">
        <f>HYPERLINK("https://klasma.github.io/Logging_0331/klagomål/A 44281-2024 FSC-klagomål.docx", "A 44281-2024")</f>
        <v/>
      </c>
      <c r="W197">
        <f>HYPERLINK("https://klasma.github.io/Logging_0331/klagomålsmail/A 44281-2024 FSC-klagomål mail.docx", "A 44281-2024")</f>
        <v/>
      </c>
      <c r="X197">
        <f>HYPERLINK("https://klasma.github.io/Logging_0331/tillsyn/A 44281-2024 tillsynsbegäran.docx", "A 44281-2024")</f>
        <v/>
      </c>
      <c r="Y197">
        <f>HYPERLINK("https://klasma.github.io/Logging_0331/tillsynsmail/A 44281-2024 tillsynsbegäran mail.docx", "A 44281-2024")</f>
        <v/>
      </c>
    </row>
    <row r="198" ht="15" customHeight="1">
      <c r="A198" t="inlineStr">
        <is>
          <t>A 31552-2023</t>
        </is>
      </c>
      <c r="B198" s="1" t="n">
        <v>45104</v>
      </c>
      <c r="C198" s="1" t="n">
        <v>46098</v>
      </c>
      <c r="D198" t="inlineStr">
        <is>
          <t>UPPSALA LÄN</t>
        </is>
      </c>
      <c r="E198" t="inlineStr">
        <is>
          <t>ENKÖPING</t>
        </is>
      </c>
      <c r="G198" t="n">
        <v>2.6</v>
      </c>
      <c r="H198" t="n">
        <v>2</v>
      </c>
      <c r="I198" t="n">
        <v>2</v>
      </c>
      <c r="J198" t="n">
        <v>1</v>
      </c>
      <c r="K198" t="n">
        <v>1</v>
      </c>
      <c r="L198" t="n">
        <v>0</v>
      </c>
      <c r="M198" t="n">
        <v>0</v>
      </c>
      <c r="N198" t="n">
        <v>0</v>
      </c>
      <c r="O198" t="n">
        <v>2</v>
      </c>
      <c r="P198" t="n">
        <v>1</v>
      </c>
      <c r="Q198" t="n">
        <v>4</v>
      </c>
      <c r="R198" s="2" t="inlineStr">
        <is>
          <t>Bombmurkla
Fyrflikig jordstjärna
Grön sköldmossa
Grönpyrola</t>
        </is>
      </c>
      <c r="S198">
        <f>HYPERLINK("https://klasma.github.io/Logging_0381/artfynd/A 31552-2023 artfynd.xlsx", "A 31552-2023")</f>
        <v/>
      </c>
      <c r="T198">
        <f>HYPERLINK("https://klasma.github.io/Logging_0381/kartor/A 31552-2023 karta.png", "A 31552-2023")</f>
        <v/>
      </c>
      <c r="V198">
        <f>HYPERLINK("https://klasma.github.io/Logging_0381/klagomål/A 31552-2023 FSC-klagomål.docx", "A 31552-2023")</f>
        <v/>
      </c>
      <c r="W198">
        <f>HYPERLINK("https://klasma.github.io/Logging_0381/klagomålsmail/A 31552-2023 FSC-klagomål mail.docx", "A 31552-2023")</f>
        <v/>
      </c>
      <c r="X198">
        <f>HYPERLINK("https://klasma.github.io/Logging_0381/tillsyn/A 31552-2023 tillsynsbegäran.docx", "A 31552-2023")</f>
        <v/>
      </c>
      <c r="Y198">
        <f>HYPERLINK("https://klasma.github.io/Logging_0381/tillsynsmail/A 31552-2023 tillsynsbegäran mail.docx", "A 31552-2023")</f>
        <v/>
      </c>
    </row>
    <row r="199" ht="15" customHeight="1">
      <c r="A199" t="inlineStr">
        <is>
          <t>A 30090-2024</t>
        </is>
      </c>
      <c r="B199" s="1" t="n">
        <v>45485</v>
      </c>
      <c r="C199" s="1" t="n">
        <v>46098</v>
      </c>
      <c r="D199" t="inlineStr">
        <is>
          <t>UPPSALA LÄN</t>
        </is>
      </c>
      <c r="E199" t="inlineStr">
        <is>
          <t>HEBY</t>
        </is>
      </c>
      <c r="F199" t="inlineStr">
        <is>
          <t>Bergvik skog väst AB</t>
        </is>
      </c>
      <c r="G199" t="n">
        <v>2.1</v>
      </c>
      <c r="H199" t="n">
        <v>0</v>
      </c>
      <c r="I199" t="n">
        <v>3</v>
      </c>
      <c r="J199" t="n">
        <v>0</v>
      </c>
      <c r="K199" t="n">
        <v>1</v>
      </c>
      <c r="L199" t="n">
        <v>0</v>
      </c>
      <c r="M199" t="n">
        <v>0</v>
      </c>
      <c r="N199" t="n">
        <v>0</v>
      </c>
      <c r="O199" t="n">
        <v>1</v>
      </c>
      <c r="P199" t="n">
        <v>1</v>
      </c>
      <c r="Q199" t="n">
        <v>4</v>
      </c>
      <c r="R199" s="2" t="inlineStr">
        <is>
          <t>Aspsplintbock
Aspvedgnagare
Björksplintborre
Jättesvampmal</t>
        </is>
      </c>
      <c r="S199">
        <f>HYPERLINK("https://klasma.github.io/Logging_0331/artfynd/A 30090-2024 artfynd.xlsx", "A 30090-2024")</f>
        <v/>
      </c>
      <c r="T199">
        <f>HYPERLINK("https://klasma.github.io/Logging_0331/kartor/A 30090-2024 karta.png", "A 30090-2024")</f>
        <v/>
      </c>
      <c r="V199">
        <f>HYPERLINK("https://klasma.github.io/Logging_0331/klagomål/A 30090-2024 FSC-klagomål.docx", "A 30090-2024")</f>
        <v/>
      </c>
      <c r="W199">
        <f>HYPERLINK("https://klasma.github.io/Logging_0331/klagomålsmail/A 30090-2024 FSC-klagomål mail.docx", "A 30090-2024")</f>
        <v/>
      </c>
      <c r="X199">
        <f>HYPERLINK("https://klasma.github.io/Logging_0331/tillsyn/A 30090-2024 tillsynsbegäran.docx", "A 30090-2024")</f>
        <v/>
      </c>
      <c r="Y199">
        <f>HYPERLINK("https://klasma.github.io/Logging_0331/tillsynsmail/A 30090-2024 tillsynsbegäran mail.docx", "A 30090-2024")</f>
        <v/>
      </c>
    </row>
    <row r="200" ht="15" customHeight="1">
      <c r="A200" t="inlineStr">
        <is>
          <t>A 73903-2021</t>
        </is>
      </c>
      <c r="B200" s="1" t="n">
        <v>44552</v>
      </c>
      <c r="C200" s="1" t="n">
        <v>46098</v>
      </c>
      <c r="D200" t="inlineStr">
        <is>
          <t>UPPSALA LÄN</t>
        </is>
      </c>
      <c r="E200" t="inlineStr">
        <is>
          <t>ENKÖPING</t>
        </is>
      </c>
      <c r="F200" t="inlineStr">
        <is>
          <t>Kommuner</t>
        </is>
      </c>
      <c r="G200" t="n">
        <v>3.1</v>
      </c>
      <c r="H200" t="n">
        <v>0</v>
      </c>
      <c r="I200" t="n">
        <v>0</v>
      </c>
      <c r="J200" t="n">
        <v>2</v>
      </c>
      <c r="K200" t="n">
        <v>1</v>
      </c>
      <c r="L200" t="n">
        <v>0</v>
      </c>
      <c r="M200" t="n">
        <v>0</v>
      </c>
      <c r="N200" t="n">
        <v>0</v>
      </c>
      <c r="O200" t="n">
        <v>3</v>
      </c>
      <c r="P200" t="n">
        <v>1</v>
      </c>
      <c r="Q200" t="n">
        <v>3</v>
      </c>
      <c r="R200" s="2" t="inlineStr">
        <is>
          <t>Rynkskinn
Orange taggsvamp
Ullticka</t>
        </is>
      </c>
      <c r="S200">
        <f>HYPERLINK("https://klasma.github.io/Logging_0381/artfynd/A 73903-2021 artfynd.xlsx", "A 73903-2021")</f>
        <v/>
      </c>
      <c r="T200">
        <f>HYPERLINK("https://klasma.github.io/Logging_0381/kartor/A 73903-2021 karta.png", "A 73903-2021")</f>
        <v/>
      </c>
      <c r="V200">
        <f>HYPERLINK("https://klasma.github.io/Logging_0381/klagomål/A 73903-2021 FSC-klagomål.docx", "A 73903-2021")</f>
        <v/>
      </c>
      <c r="W200">
        <f>HYPERLINK("https://klasma.github.io/Logging_0381/klagomålsmail/A 73903-2021 FSC-klagomål mail.docx", "A 73903-2021")</f>
        <v/>
      </c>
      <c r="X200">
        <f>HYPERLINK("https://klasma.github.io/Logging_0381/tillsyn/A 73903-2021 tillsynsbegäran.docx", "A 73903-2021")</f>
        <v/>
      </c>
      <c r="Y200">
        <f>HYPERLINK("https://klasma.github.io/Logging_0381/tillsynsmail/A 73903-2021 tillsynsbegäran mail.docx", "A 73903-2021")</f>
        <v/>
      </c>
    </row>
    <row r="201" ht="15" customHeight="1">
      <c r="A201" t="inlineStr">
        <is>
          <t>A 34147-2022</t>
        </is>
      </c>
      <c r="B201" s="1" t="n">
        <v>44791</v>
      </c>
      <c r="C201" s="1" t="n">
        <v>46098</v>
      </c>
      <c r="D201" t="inlineStr">
        <is>
          <t>UPPSALA LÄN</t>
        </is>
      </c>
      <c r="E201" t="inlineStr">
        <is>
          <t>UPPSALA</t>
        </is>
      </c>
      <c r="G201" t="n">
        <v>1.9</v>
      </c>
      <c r="H201" t="n">
        <v>0</v>
      </c>
      <c r="I201" t="n">
        <v>2</v>
      </c>
      <c r="J201" t="n">
        <v>1</v>
      </c>
      <c r="K201" t="n">
        <v>0</v>
      </c>
      <c r="L201" t="n">
        <v>0</v>
      </c>
      <c r="M201" t="n">
        <v>0</v>
      </c>
      <c r="N201" t="n">
        <v>0</v>
      </c>
      <c r="O201" t="n">
        <v>1</v>
      </c>
      <c r="P201" t="n">
        <v>0</v>
      </c>
      <c r="Q201" t="n">
        <v>3</v>
      </c>
      <c r="R201" s="2" t="inlineStr">
        <is>
          <t>Granticka
Kamjordstjärna
Stor aspticka</t>
        </is>
      </c>
      <c r="S201">
        <f>HYPERLINK("https://klasma.github.io/Logging_0380/artfynd/A 34147-2022 artfynd.xlsx", "A 34147-2022")</f>
        <v/>
      </c>
      <c r="T201">
        <f>HYPERLINK("https://klasma.github.io/Logging_0380/kartor/A 34147-2022 karta.png", "A 34147-2022")</f>
        <v/>
      </c>
      <c r="V201">
        <f>HYPERLINK("https://klasma.github.io/Logging_0380/klagomål/A 34147-2022 FSC-klagomål.docx", "A 34147-2022")</f>
        <v/>
      </c>
      <c r="W201">
        <f>HYPERLINK("https://klasma.github.io/Logging_0380/klagomålsmail/A 34147-2022 FSC-klagomål mail.docx", "A 34147-2022")</f>
        <v/>
      </c>
      <c r="X201">
        <f>HYPERLINK("https://klasma.github.io/Logging_0380/tillsyn/A 34147-2022 tillsynsbegäran.docx", "A 34147-2022")</f>
        <v/>
      </c>
      <c r="Y201">
        <f>HYPERLINK("https://klasma.github.io/Logging_0380/tillsynsmail/A 34147-2022 tillsynsbegäran mail.docx", "A 34147-2022")</f>
        <v/>
      </c>
    </row>
    <row r="202" ht="15" customHeight="1">
      <c r="A202" t="inlineStr">
        <is>
          <t>A 2711-2022</t>
        </is>
      </c>
      <c r="B202" s="1" t="n">
        <v>44552</v>
      </c>
      <c r="C202" s="1" t="n">
        <v>46098</v>
      </c>
      <c r="D202" t="inlineStr">
        <is>
          <t>UPPSALA LÄN</t>
        </is>
      </c>
      <c r="E202" t="inlineStr">
        <is>
          <t>ENKÖPING</t>
        </is>
      </c>
      <c r="F202" t="inlineStr">
        <is>
          <t>Kommuner</t>
        </is>
      </c>
      <c r="G202" t="n">
        <v>2</v>
      </c>
      <c r="H202" t="n">
        <v>0</v>
      </c>
      <c r="I202" t="n">
        <v>2</v>
      </c>
      <c r="J202" t="n">
        <v>0</v>
      </c>
      <c r="K202" t="n">
        <v>1</v>
      </c>
      <c r="L202" t="n">
        <v>0</v>
      </c>
      <c r="M202" t="n">
        <v>0</v>
      </c>
      <c r="N202" t="n">
        <v>0</v>
      </c>
      <c r="O202" t="n">
        <v>1</v>
      </c>
      <c r="P202" t="n">
        <v>1</v>
      </c>
      <c r="Q202" t="n">
        <v>3</v>
      </c>
      <c r="R202" s="2" t="inlineStr">
        <is>
          <t>Grangråticka
Skarp dropptaggsvamp
Strimspindling</t>
        </is>
      </c>
      <c r="S202">
        <f>HYPERLINK("https://klasma.github.io/Logging_0381/artfynd/A 2711-2022 artfynd.xlsx", "A 2711-2022")</f>
        <v/>
      </c>
      <c r="T202">
        <f>HYPERLINK("https://klasma.github.io/Logging_0381/kartor/A 2711-2022 karta.png", "A 2711-2022")</f>
        <v/>
      </c>
      <c r="V202">
        <f>HYPERLINK("https://klasma.github.io/Logging_0381/klagomål/A 2711-2022 FSC-klagomål.docx", "A 2711-2022")</f>
        <v/>
      </c>
      <c r="W202">
        <f>HYPERLINK("https://klasma.github.io/Logging_0381/klagomålsmail/A 2711-2022 FSC-klagomål mail.docx", "A 2711-2022")</f>
        <v/>
      </c>
      <c r="X202">
        <f>HYPERLINK("https://klasma.github.io/Logging_0381/tillsyn/A 2711-2022 tillsynsbegäran.docx", "A 2711-2022")</f>
        <v/>
      </c>
      <c r="Y202">
        <f>HYPERLINK("https://klasma.github.io/Logging_0381/tillsynsmail/A 2711-2022 tillsynsbegäran mail.docx", "A 2711-2022")</f>
        <v/>
      </c>
    </row>
    <row r="203" ht="15" customHeight="1">
      <c r="A203" t="inlineStr">
        <is>
          <t>A 1396-2022</t>
        </is>
      </c>
      <c r="B203" s="1" t="n">
        <v>44573</v>
      </c>
      <c r="C203" s="1" t="n">
        <v>46098</v>
      </c>
      <c r="D203" t="inlineStr">
        <is>
          <t>UPPSALA LÄN</t>
        </is>
      </c>
      <c r="E203" t="inlineStr">
        <is>
          <t>HEBY</t>
        </is>
      </c>
      <c r="F203" t="inlineStr">
        <is>
          <t>Allmännings- och besparingsskogar</t>
        </is>
      </c>
      <c r="G203" t="n">
        <v>2</v>
      </c>
      <c r="H203" t="n">
        <v>3</v>
      </c>
      <c r="I203" t="n">
        <v>0</v>
      </c>
      <c r="J203" t="n">
        <v>0</v>
      </c>
      <c r="K203" t="n">
        <v>0</v>
      </c>
      <c r="L203" t="n">
        <v>0</v>
      </c>
      <c r="M203" t="n">
        <v>0</v>
      </c>
      <c r="N203" t="n">
        <v>0</v>
      </c>
      <c r="O203" t="n">
        <v>0</v>
      </c>
      <c r="P203" t="n">
        <v>0</v>
      </c>
      <c r="Q203" t="n">
        <v>3</v>
      </c>
      <c r="R203" s="2" t="inlineStr">
        <is>
          <t>Åkergroda
Vanlig groda
Vanlig padda</t>
        </is>
      </c>
      <c r="S203">
        <f>HYPERLINK("https://klasma.github.io/Logging_0331/artfynd/A 1396-2022 artfynd.xlsx", "A 1396-2022")</f>
        <v/>
      </c>
      <c r="T203">
        <f>HYPERLINK("https://klasma.github.io/Logging_0331/kartor/A 1396-2022 karta.png", "A 1396-2022")</f>
        <v/>
      </c>
      <c r="V203">
        <f>HYPERLINK("https://klasma.github.io/Logging_0331/klagomål/A 1396-2022 FSC-klagomål.docx", "A 1396-2022")</f>
        <v/>
      </c>
      <c r="W203">
        <f>HYPERLINK("https://klasma.github.io/Logging_0331/klagomålsmail/A 1396-2022 FSC-klagomål mail.docx", "A 1396-2022")</f>
        <v/>
      </c>
      <c r="X203">
        <f>HYPERLINK("https://klasma.github.io/Logging_0331/tillsyn/A 1396-2022 tillsynsbegäran.docx", "A 1396-2022")</f>
        <v/>
      </c>
      <c r="Y203">
        <f>HYPERLINK("https://klasma.github.io/Logging_0331/tillsynsmail/A 1396-2022 tillsynsbegäran mail.docx", "A 1396-2022")</f>
        <v/>
      </c>
    </row>
    <row r="204" ht="15" customHeight="1">
      <c r="A204" t="inlineStr">
        <is>
          <t>A 33441-2021</t>
        </is>
      </c>
      <c r="B204" s="1" t="n">
        <v>44377</v>
      </c>
      <c r="C204" s="1" t="n">
        <v>46098</v>
      </c>
      <c r="D204" t="inlineStr">
        <is>
          <t>UPPSALA LÄN</t>
        </is>
      </c>
      <c r="E204" t="inlineStr">
        <is>
          <t>ÄLVKARLEBY</t>
        </is>
      </c>
      <c r="F204" t="inlineStr">
        <is>
          <t>Bergvik skog väst AB</t>
        </is>
      </c>
      <c r="G204" t="n">
        <v>12</v>
      </c>
      <c r="H204" t="n">
        <v>1</v>
      </c>
      <c r="I204" t="n">
        <v>2</v>
      </c>
      <c r="J204" t="n">
        <v>1</v>
      </c>
      <c r="K204" t="n">
        <v>0</v>
      </c>
      <c r="L204" t="n">
        <v>0</v>
      </c>
      <c r="M204" t="n">
        <v>0</v>
      </c>
      <c r="N204" t="n">
        <v>0</v>
      </c>
      <c r="O204" t="n">
        <v>1</v>
      </c>
      <c r="P204" t="n">
        <v>0</v>
      </c>
      <c r="Q204" t="n">
        <v>3</v>
      </c>
      <c r="R204" s="2" t="inlineStr">
        <is>
          <t>Kalkkärrsgrynsnäcka
Nästrot
Ögonpyrola</t>
        </is>
      </c>
      <c r="S204">
        <f>HYPERLINK("https://klasma.github.io/Logging_0319/artfynd/A 33441-2021 artfynd.xlsx", "A 33441-2021")</f>
        <v/>
      </c>
      <c r="T204">
        <f>HYPERLINK("https://klasma.github.io/Logging_0319/kartor/A 33441-2021 karta.png", "A 33441-2021")</f>
        <v/>
      </c>
      <c r="V204">
        <f>HYPERLINK("https://klasma.github.io/Logging_0319/klagomål/A 33441-2021 FSC-klagomål.docx", "A 33441-2021")</f>
        <v/>
      </c>
      <c r="W204">
        <f>HYPERLINK("https://klasma.github.io/Logging_0319/klagomålsmail/A 33441-2021 FSC-klagomål mail.docx", "A 33441-2021")</f>
        <v/>
      </c>
      <c r="X204">
        <f>HYPERLINK("https://klasma.github.io/Logging_0319/tillsyn/A 33441-2021 tillsynsbegäran.docx", "A 33441-2021")</f>
        <v/>
      </c>
      <c r="Y204">
        <f>HYPERLINK("https://klasma.github.io/Logging_0319/tillsynsmail/A 33441-2021 tillsynsbegäran mail.docx", "A 33441-2021")</f>
        <v/>
      </c>
    </row>
    <row r="205" ht="15" customHeight="1">
      <c r="A205" t="inlineStr">
        <is>
          <t>A 21007-2025</t>
        </is>
      </c>
      <c r="B205" s="1" t="n">
        <v>45777</v>
      </c>
      <c r="C205" s="1" t="n">
        <v>46098</v>
      </c>
      <c r="D205" t="inlineStr">
        <is>
          <t>UPPSALA LÄN</t>
        </is>
      </c>
      <c r="E205" t="inlineStr">
        <is>
          <t>ÄLVKARLEBY</t>
        </is>
      </c>
      <c r="F205" t="inlineStr">
        <is>
          <t>Bergvik skog väst AB</t>
        </is>
      </c>
      <c r="G205" t="n">
        <v>5.2</v>
      </c>
      <c r="H205" t="n">
        <v>1</v>
      </c>
      <c r="I205" t="n">
        <v>2</v>
      </c>
      <c r="J205" t="n">
        <v>0</v>
      </c>
      <c r="K205" t="n">
        <v>0</v>
      </c>
      <c r="L205" t="n">
        <v>0</v>
      </c>
      <c r="M205" t="n">
        <v>0</v>
      </c>
      <c r="N205" t="n">
        <v>0</v>
      </c>
      <c r="O205" t="n">
        <v>0</v>
      </c>
      <c r="P205" t="n">
        <v>0</v>
      </c>
      <c r="Q205" t="n">
        <v>3</v>
      </c>
      <c r="R205" s="2" t="inlineStr">
        <is>
          <t>Svart trolldruva
Tibast
Lopplummer (aggregat)</t>
        </is>
      </c>
      <c r="S205">
        <f>HYPERLINK("https://klasma.github.io/Logging_0319/artfynd/A 21007-2025 artfynd.xlsx", "A 21007-2025")</f>
        <v/>
      </c>
      <c r="T205">
        <f>HYPERLINK("https://klasma.github.io/Logging_0319/kartor/A 21007-2025 karta.png", "A 21007-2025")</f>
        <v/>
      </c>
      <c r="V205">
        <f>HYPERLINK("https://klasma.github.io/Logging_0319/klagomål/A 21007-2025 FSC-klagomål.docx", "A 21007-2025")</f>
        <v/>
      </c>
      <c r="W205">
        <f>HYPERLINK("https://klasma.github.io/Logging_0319/klagomålsmail/A 21007-2025 FSC-klagomål mail.docx", "A 21007-2025")</f>
        <v/>
      </c>
      <c r="X205">
        <f>HYPERLINK("https://klasma.github.io/Logging_0319/tillsyn/A 21007-2025 tillsynsbegäran.docx", "A 21007-2025")</f>
        <v/>
      </c>
      <c r="Y205">
        <f>HYPERLINK("https://klasma.github.io/Logging_0319/tillsynsmail/A 21007-2025 tillsynsbegäran mail.docx", "A 21007-2025")</f>
        <v/>
      </c>
    </row>
    <row r="206" ht="15" customHeight="1">
      <c r="A206" t="inlineStr">
        <is>
          <t>A 25943-2023</t>
        </is>
      </c>
      <c r="B206" s="1" t="n">
        <v>45090</v>
      </c>
      <c r="C206" s="1" t="n">
        <v>46098</v>
      </c>
      <c r="D206" t="inlineStr">
        <is>
          <t>UPPSALA LÄN</t>
        </is>
      </c>
      <c r="E206" t="inlineStr">
        <is>
          <t>UPPSALA</t>
        </is>
      </c>
      <c r="F206" t="inlineStr">
        <is>
          <t>Holmen skog AB</t>
        </is>
      </c>
      <c r="G206" t="n">
        <v>2.7</v>
      </c>
      <c r="H206" t="n">
        <v>1</v>
      </c>
      <c r="I206" t="n">
        <v>1</v>
      </c>
      <c r="J206" t="n">
        <v>2</v>
      </c>
      <c r="K206" t="n">
        <v>0</v>
      </c>
      <c r="L206" t="n">
        <v>0</v>
      </c>
      <c r="M206" t="n">
        <v>0</v>
      </c>
      <c r="N206" t="n">
        <v>0</v>
      </c>
      <c r="O206" t="n">
        <v>2</v>
      </c>
      <c r="P206" t="n">
        <v>0</v>
      </c>
      <c r="Q206" t="n">
        <v>3</v>
      </c>
      <c r="R206" s="2" t="inlineStr">
        <is>
          <t>Mindre hackspett
Vedtrappmossa
Vedticka</t>
        </is>
      </c>
      <c r="S206">
        <f>HYPERLINK("https://klasma.github.io/Logging_0380/artfynd/A 25943-2023 artfynd.xlsx", "A 25943-2023")</f>
        <v/>
      </c>
      <c r="T206">
        <f>HYPERLINK("https://klasma.github.io/Logging_0380/kartor/A 25943-2023 karta.png", "A 25943-2023")</f>
        <v/>
      </c>
      <c r="V206">
        <f>HYPERLINK("https://klasma.github.io/Logging_0380/klagomål/A 25943-2023 FSC-klagomål.docx", "A 25943-2023")</f>
        <v/>
      </c>
      <c r="W206">
        <f>HYPERLINK("https://klasma.github.io/Logging_0380/klagomålsmail/A 25943-2023 FSC-klagomål mail.docx", "A 25943-2023")</f>
        <v/>
      </c>
      <c r="X206">
        <f>HYPERLINK("https://klasma.github.io/Logging_0380/tillsyn/A 25943-2023 tillsynsbegäran.docx", "A 25943-2023")</f>
        <v/>
      </c>
      <c r="Y206">
        <f>HYPERLINK("https://klasma.github.io/Logging_0380/tillsynsmail/A 25943-2023 tillsynsbegäran mail.docx", "A 25943-2023")</f>
        <v/>
      </c>
      <c r="Z206">
        <f>HYPERLINK("https://klasma.github.io/Logging_0380/fåglar/A 25943-2023 prioriterade fågelarter.docx", "A 25943-2023")</f>
        <v/>
      </c>
    </row>
    <row r="207" ht="15" customHeight="1">
      <c r="A207" t="inlineStr">
        <is>
          <t>A 50814-2025</t>
        </is>
      </c>
      <c r="B207" s="1" t="n">
        <v>45946.52922453704</v>
      </c>
      <c r="C207" s="1" t="n">
        <v>46098</v>
      </c>
      <c r="D207" t="inlineStr">
        <is>
          <t>UPPSALA LÄN</t>
        </is>
      </c>
      <c r="E207" t="inlineStr">
        <is>
          <t>TIERP</t>
        </is>
      </c>
      <c r="G207" t="n">
        <v>3.4</v>
      </c>
      <c r="H207" t="n">
        <v>0</v>
      </c>
      <c r="I207" t="n">
        <v>3</v>
      </c>
      <c r="J207" t="n">
        <v>0</v>
      </c>
      <c r="K207" t="n">
        <v>0</v>
      </c>
      <c r="L207" t="n">
        <v>0</v>
      </c>
      <c r="M207" t="n">
        <v>0</v>
      </c>
      <c r="N207" t="n">
        <v>0</v>
      </c>
      <c r="O207" t="n">
        <v>0</v>
      </c>
      <c r="P207" t="n">
        <v>0</v>
      </c>
      <c r="Q207" t="n">
        <v>3</v>
      </c>
      <c r="R207" s="2" t="inlineStr">
        <is>
          <t>Anisspindling
Olivspindling
Sårläka</t>
        </is>
      </c>
      <c r="S207">
        <f>HYPERLINK("https://klasma.github.io/Logging_0360/artfynd/A 50814-2025 artfynd.xlsx", "A 50814-2025")</f>
        <v/>
      </c>
      <c r="T207">
        <f>HYPERLINK("https://klasma.github.io/Logging_0360/kartor/A 50814-2025 karta.png", "A 50814-2025")</f>
        <v/>
      </c>
      <c r="V207">
        <f>HYPERLINK("https://klasma.github.io/Logging_0360/klagomål/A 50814-2025 FSC-klagomål.docx", "A 50814-2025")</f>
        <v/>
      </c>
      <c r="W207">
        <f>HYPERLINK("https://klasma.github.io/Logging_0360/klagomålsmail/A 50814-2025 FSC-klagomål mail.docx", "A 50814-2025")</f>
        <v/>
      </c>
      <c r="X207">
        <f>HYPERLINK("https://klasma.github.io/Logging_0360/tillsyn/A 50814-2025 tillsynsbegäran.docx", "A 50814-2025")</f>
        <v/>
      </c>
      <c r="Y207">
        <f>HYPERLINK("https://klasma.github.io/Logging_0360/tillsynsmail/A 50814-2025 tillsynsbegäran mail.docx", "A 50814-2025")</f>
        <v/>
      </c>
    </row>
    <row r="208" ht="15" customHeight="1">
      <c r="A208" t="inlineStr">
        <is>
          <t>A 73325-2021</t>
        </is>
      </c>
      <c r="B208" s="1" t="n">
        <v>44551</v>
      </c>
      <c r="C208" s="1" t="n">
        <v>46098</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25044-2025</t>
        </is>
      </c>
      <c r="B209" s="1" t="n">
        <v>45799.66607638889</v>
      </c>
      <c r="C209" s="1" t="n">
        <v>46098</v>
      </c>
      <c r="D209" t="inlineStr">
        <is>
          <t>UPPSALA LÄN</t>
        </is>
      </c>
      <c r="E209" t="inlineStr">
        <is>
          <t>ÖSTHAMMAR</t>
        </is>
      </c>
      <c r="F209" t="inlineStr">
        <is>
          <t>Bergvik skog öst AB</t>
        </is>
      </c>
      <c r="G209" t="n">
        <v>8.199999999999999</v>
      </c>
      <c r="H209" t="n">
        <v>2</v>
      </c>
      <c r="I209" t="n">
        <v>2</v>
      </c>
      <c r="J209" t="n">
        <v>0</v>
      </c>
      <c r="K209" t="n">
        <v>0</v>
      </c>
      <c r="L209" t="n">
        <v>0</v>
      </c>
      <c r="M209" t="n">
        <v>0</v>
      </c>
      <c r="N209" t="n">
        <v>0</v>
      </c>
      <c r="O209" t="n">
        <v>0</v>
      </c>
      <c r="P209" t="n">
        <v>0</v>
      </c>
      <c r="Q209" t="n">
        <v>3</v>
      </c>
      <c r="R209" s="2" t="inlineStr">
        <is>
          <t>Tvåblad
Vårärt
Blåsippa</t>
        </is>
      </c>
      <c r="S209">
        <f>HYPERLINK("https://klasma.github.io/Logging_0382/artfynd/A 25044-2025 artfynd.xlsx", "A 25044-2025")</f>
        <v/>
      </c>
      <c r="T209">
        <f>HYPERLINK("https://klasma.github.io/Logging_0382/kartor/A 25044-2025 karta.png", "A 25044-2025")</f>
        <v/>
      </c>
      <c r="V209">
        <f>HYPERLINK("https://klasma.github.io/Logging_0382/klagomål/A 25044-2025 FSC-klagomål.docx", "A 25044-2025")</f>
        <v/>
      </c>
      <c r="W209">
        <f>HYPERLINK("https://klasma.github.io/Logging_0382/klagomålsmail/A 25044-2025 FSC-klagomål mail.docx", "A 25044-2025")</f>
        <v/>
      </c>
      <c r="X209">
        <f>HYPERLINK("https://klasma.github.io/Logging_0382/tillsyn/A 25044-2025 tillsynsbegäran.docx", "A 25044-2025")</f>
        <v/>
      </c>
      <c r="Y209">
        <f>HYPERLINK("https://klasma.github.io/Logging_0382/tillsynsmail/A 25044-2025 tillsynsbegäran mail.docx", "A 25044-2025")</f>
        <v/>
      </c>
    </row>
    <row r="210" ht="15" customHeight="1">
      <c r="A210" t="inlineStr">
        <is>
          <t>A 17004-2024</t>
        </is>
      </c>
      <c r="B210" s="1" t="n">
        <v>45412</v>
      </c>
      <c r="C210" s="1" t="n">
        <v>46098</v>
      </c>
      <c r="D210" t="inlineStr">
        <is>
          <t>UPPSALA LÄN</t>
        </is>
      </c>
      <c r="E210" t="inlineStr">
        <is>
          <t>ÖSTHAMMAR</t>
        </is>
      </c>
      <c r="F210" t="inlineStr">
        <is>
          <t>Bergvik skog öst AB</t>
        </is>
      </c>
      <c r="G210" t="n">
        <v>24.4</v>
      </c>
      <c r="H210" t="n">
        <v>0</v>
      </c>
      <c r="I210" t="n">
        <v>2</v>
      </c>
      <c r="J210" t="n">
        <v>0</v>
      </c>
      <c r="K210" t="n">
        <v>0</v>
      </c>
      <c r="L210" t="n">
        <v>0</v>
      </c>
      <c r="M210" t="n">
        <v>1</v>
      </c>
      <c r="N210" t="n">
        <v>0</v>
      </c>
      <c r="O210" t="n">
        <v>1</v>
      </c>
      <c r="P210" t="n">
        <v>1</v>
      </c>
      <c r="Q210" t="n">
        <v>3</v>
      </c>
      <c r="R210" s="2" t="inlineStr">
        <is>
          <t>Skogsalm
Myskmadra
Underviol</t>
        </is>
      </c>
      <c r="S210">
        <f>HYPERLINK("https://klasma.github.io/Logging_0382/artfynd/A 17004-2024 artfynd.xlsx", "A 17004-2024")</f>
        <v/>
      </c>
      <c r="T210">
        <f>HYPERLINK("https://klasma.github.io/Logging_0382/kartor/A 17004-2024 karta.png", "A 17004-2024")</f>
        <v/>
      </c>
      <c r="V210">
        <f>HYPERLINK("https://klasma.github.io/Logging_0382/klagomål/A 17004-2024 FSC-klagomål.docx", "A 17004-2024")</f>
        <v/>
      </c>
      <c r="W210">
        <f>HYPERLINK("https://klasma.github.io/Logging_0382/klagomålsmail/A 17004-2024 FSC-klagomål mail.docx", "A 17004-2024")</f>
        <v/>
      </c>
      <c r="X210">
        <f>HYPERLINK("https://klasma.github.io/Logging_0382/tillsyn/A 17004-2024 tillsynsbegäran.docx", "A 17004-2024")</f>
        <v/>
      </c>
      <c r="Y210">
        <f>HYPERLINK("https://klasma.github.io/Logging_0382/tillsynsmail/A 17004-2024 tillsynsbegäran mail.docx", "A 17004-2024")</f>
        <v/>
      </c>
    </row>
    <row r="211" ht="15" customHeight="1">
      <c r="A211" t="inlineStr">
        <is>
          <t>A 26043-2025</t>
        </is>
      </c>
      <c r="B211" s="1" t="n">
        <v>45804.70207175926</v>
      </c>
      <c r="C211" s="1" t="n">
        <v>46098</v>
      </c>
      <c r="D211" t="inlineStr">
        <is>
          <t>UPPSALA LÄN</t>
        </is>
      </c>
      <c r="E211" t="inlineStr">
        <is>
          <t>ENKÖPING</t>
        </is>
      </c>
      <c r="G211" t="n">
        <v>1.7</v>
      </c>
      <c r="H211" t="n">
        <v>2</v>
      </c>
      <c r="I211" t="n">
        <v>1</v>
      </c>
      <c r="J211" t="n">
        <v>2</v>
      </c>
      <c r="K211" t="n">
        <v>0</v>
      </c>
      <c r="L211" t="n">
        <v>0</v>
      </c>
      <c r="M211" t="n">
        <v>0</v>
      </c>
      <c r="N211" t="n">
        <v>0</v>
      </c>
      <c r="O211" t="n">
        <v>2</v>
      </c>
      <c r="P211" t="n">
        <v>0</v>
      </c>
      <c r="Q211" t="n">
        <v>3</v>
      </c>
      <c r="R211" s="2" t="inlineStr">
        <is>
          <t>Spillkråka
Talltita
Bårdlav</t>
        </is>
      </c>
      <c r="S211">
        <f>HYPERLINK("https://klasma.github.io/Logging_0381/artfynd/A 26043-2025 artfynd.xlsx", "A 26043-2025")</f>
        <v/>
      </c>
      <c r="T211">
        <f>HYPERLINK("https://klasma.github.io/Logging_0381/kartor/A 26043-2025 karta.png", "A 26043-2025")</f>
        <v/>
      </c>
      <c r="V211">
        <f>HYPERLINK("https://klasma.github.io/Logging_0381/klagomål/A 26043-2025 FSC-klagomål.docx", "A 26043-2025")</f>
        <v/>
      </c>
      <c r="W211">
        <f>HYPERLINK("https://klasma.github.io/Logging_0381/klagomålsmail/A 26043-2025 FSC-klagomål mail.docx", "A 26043-2025")</f>
        <v/>
      </c>
      <c r="X211">
        <f>HYPERLINK("https://klasma.github.io/Logging_0381/tillsyn/A 26043-2025 tillsynsbegäran.docx", "A 26043-2025")</f>
        <v/>
      </c>
      <c r="Y211">
        <f>HYPERLINK("https://klasma.github.io/Logging_0381/tillsynsmail/A 26043-2025 tillsynsbegäran mail.docx", "A 26043-2025")</f>
        <v/>
      </c>
      <c r="Z211">
        <f>HYPERLINK("https://klasma.github.io/Logging_0381/fåglar/A 26043-2025 prioriterade fågelarter.docx", "A 26043-2025")</f>
        <v/>
      </c>
    </row>
    <row r="212" ht="15" customHeight="1">
      <c r="A212" t="inlineStr">
        <is>
          <t>A 55788-2025</t>
        </is>
      </c>
      <c r="B212" s="1" t="n">
        <v>45972.64483796297</v>
      </c>
      <c r="C212" s="1" t="n">
        <v>46098</v>
      </c>
      <c r="D212" t="inlineStr">
        <is>
          <t>UPPSALA LÄN</t>
        </is>
      </c>
      <c r="E212" t="inlineStr">
        <is>
          <t>UPPSALA</t>
        </is>
      </c>
      <c r="F212" t="inlineStr">
        <is>
          <t>Holmen skog AB</t>
        </is>
      </c>
      <c r="G212" t="n">
        <v>6.9</v>
      </c>
      <c r="H212" t="n">
        <v>3</v>
      </c>
      <c r="I212" t="n">
        <v>0</v>
      </c>
      <c r="J212" t="n">
        <v>1</v>
      </c>
      <c r="K212" t="n">
        <v>0</v>
      </c>
      <c r="L212" t="n">
        <v>0</v>
      </c>
      <c r="M212" t="n">
        <v>0</v>
      </c>
      <c r="N212" t="n">
        <v>0</v>
      </c>
      <c r="O212" t="n">
        <v>1</v>
      </c>
      <c r="P212" t="n">
        <v>0</v>
      </c>
      <c r="Q212" t="n">
        <v>3</v>
      </c>
      <c r="R212" s="2" t="inlineStr">
        <is>
          <t>Talltita
Kungsfågel
Gullviva</t>
        </is>
      </c>
      <c r="S212">
        <f>HYPERLINK("https://klasma.github.io/Logging_0380/artfynd/A 55788-2025 artfynd.xlsx", "A 55788-2025")</f>
        <v/>
      </c>
      <c r="T212">
        <f>HYPERLINK("https://klasma.github.io/Logging_0380/kartor/A 55788-2025 karta.png", "A 55788-2025")</f>
        <v/>
      </c>
      <c r="V212">
        <f>HYPERLINK("https://klasma.github.io/Logging_0380/klagomål/A 55788-2025 FSC-klagomål.docx", "A 55788-2025")</f>
        <v/>
      </c>
      <c r="W212">
        <f>HYPERLINK("https://klasma.github.io/Logging_0380/klagomålsmail/A 55788-2025 FSC-klagomål mail.docx", "A 55788-2025")</f>
        <v/>
      </c>
      <c r="X212">
        <f>HYPERLINK("https://klasma.github.io/Logging_0380/tillsyn/A 55788-2025 tillsynsbegäran.docx", "A 55788-2025")</f>
        <v/>
      </c>
      <c r="Y212">
        <f>HYPERLINK("https://klasma.github.io/Logging_0380/tillsynsmail/A 55788-2025 tillsynsbegäran mail.docx", "A 55788-2025")</f>
        <v/>
      </c>
      <c r="Z212">
        <f>HYPERLINK("https://klasma.github.io/Logging_0380/fåglar/A 55788-2025 prioriterade fågelarter.docx", "A 55788-2025")</f>
        <v/>
      </c>
    </row>
    <row r="213" ht="15" customHeight="1">
      <c r="A213" t="inlineStr">
        <is>
          <t>A 43280-2025</t>
        </is>
      </c>
      <c r="B213" s="1" t="n">
        <v>45910.59475694445</v>
      </c>
      <c r="C213" s="1" t="n">
        <v>46098</v>
      </c>
      <c r="D213" t="inlineStr">
        <is>
          <t>UPPSALA LÄN</t>
        </is>
      </c>
      <c r="E213" t="inlineStr">
        <is>
          <t>UPPSALA</t>
        </is>
      </c>
      <c r="F213" t="inlineStr">
        <is>
          <t>Kyrkan</t>
        </is>
      </c>
      <c r="G213" t="n">
        <v>2.4</v>
      </c>
      <c r="H213" t="n">
        <v>0</v>
      </c>
      <c r="I213" t="n">
        <v>2</v>
      </c>
      <c r="J213" t="n">
        <v>1</v>
      </c>
      <c r="K213" t="n">
        <v>0</v>
      </c>
      <c r="L213" t="n">
        <v>0</v>
      </c>
      <c r="M213" t="n">
        <v>0</v>
      </c>
      <c r="N213" t="n">
        <v>0</v>
      </c>
      <c r="O213" t="n">
        <v>1</v>
      </c>
      <c r="P213" t="n">
        <v>0</v>
      </c>
      <c r="Q213" t="n">
        <v>3</v>
      </c>
      <c r="R213" s="2" t="inlineStr">
        <is>
          <t>Vedtrappmossa
Svavelriska
Trådticka</t>
        </is>
      </c>
      <c r="S213">
        <f>HYPERLINK("https://klasma.github.io/Logging_0380/artfynd/A 43280-2025 artfynd.xlsx", "A 43280-2025")</f>
        <v/>
      </c>
      <c r="T213">
        <f>HYPERLINK("https://klasma.github.io/Logging_0380/kartor/A 43280-2025 karta.png", "A 43280-2025")</f>
        <v/>
      </c>
      <c r="V213">
        <f>HYPERLINK("https://klasma.github.io/Logging_0380/klagomål/A 43280-2025 FSC-klagomål.docx", "A 43280-2025")</f>
        <v/>
      </c>
      <c r="W213">
        <f>HYPERLINK("https://klasma.github.io/Logging_0380/klagomålsmail/A 43280-2025 FSC-klagomål mail.docx", "A 43280-2025")</f>
        <v/>
      </c>
      <c r="X213">
        <f>HYPERLINK("https://klasma.github.io/Logging_0380/tillsyn/A 43280-2025 tillsynsbegäran.docx", "A 43280-2025")</f>
        <v/>
      </c>
      <c r="Y213">
        <f>HYPERLINK("https://klasma.github.io/Logging_0380/tillsynsmail/A 43280-2025 tillsynsbegäran mail.docx", "A 43280-2025")</f>
        <v/>
      </c>
    </row>
    <row r="214" ht="15" customHeight="1">
      <c r="A214" t="inlineStr">
        <is>
          <t>A 43278-2025</t>
        </is>
      </c>
      <c r="B214" s="1" t="n">
        <v>45910.59415509259</v>
      </c>
      <c r="C214" s="1" t="n">
        <v>46098</v>
      </c>
      <c r="D214" t="inlineStr">
        <is>
          <t>UPPSALA LÄN</t>
        </is>
      </c>
      <c r="E214" t="inlineStr">
        <is>
          <t>UPPSALA</t>
        </is>
      </c>
      <c r="F214" t="inlineStr">
        <is>
          <t>Kyrkan</t>
        </is>
      </c>
      <c r="G214" t="n">
        <v>2.4</v>
      </c>
      <c r="H214" t="n">
        <v>0</v>
      </c>
      <c r="I214" t="n">
        <v>2</v>
      </c>
      <c r="J214" t="n">
        <v>1</v>
      </c>
      <c r="K214" t="n">
        <v>0</v>
      </c>
      <c r="L214" t="n">
        <v>0</v>
      </c>
      <c r="M214" t="n">
        <v>0</v>
      </c>
      <c r="N214" t="n">
        <v>0</v>
      </c>
      <c r="O214" t="n">
        <v>1</v>
      </c>
      <c r="P214" t="n">
        <v>0</v>
      </c>
      <c r="Q214" t="n">
        <v>3</v>
      </c>
      <c r="R214" s="2" t="inlineStr">
        <is>
          <t>Vedtrappmossa
Svavelriska
Trådticka</t>
        </is>
      </c>
      <c r="S214">
        <f>HYPERLINK("https://klasma.github.io/Logging_0380/artfynd/A 43278-2025 artfynd.xlsx", "A 43278-2025")</f>
        <v/>
      </c>
      <c r="T214">
        <f>HYPERLINK("https://klasma.github.io/Logging_0380/kartor/A 43278-2025 karta.png", "A 43278-2025")</f>
        <v/>
      </c>
      <c r="V214">
        <f>HYPERLINK("https://klasma.github.io/Logging_0380/klagomål/A 43278-2025 FSC-klagomål.docx", "A 43278-2025")</f>
        <v/>
      </c>
      <c r="W214">
        <f>HYPERLINK("https://klasma.github.io/Logging_0380/klagomålsmail/A 43278-2025 FSC-klagomål mail.docx", "A 43278-2025")</f>
        <v/>
      </c>
      <c r="X214">
        <f>HYPERLINK("https://klasma.github.io/Logging_0380/tillsyn/A 43278-2025 tillsynsbegäran.docx", "A 43278-2025")</f>
        <v/>
      </c>
      <c r="Y214">
        <f>HYPERLINK("https://klasma.github.io/Logging_0380/tillsynsmail/A 43278-2025 tillsynsbegäran mail.docx", "A 43278-2025")</f>
        <v/>
      </c>
    </row>
    <row r="215" ht="15" customHeight="1">
      <c r="A215" t="inlineStr">
        <is>
          <t>A 43860-2025</t>
        </is>
      </c>
      <c r="B215" s="1" t="n">
        <v>45912.65143518519</v>
      </c>
      <c r="C215" s="1" t="n">
        <v>46098</v>
      </c>
      <c r="D215" t="inlineStr">
        <is>
          <t>UPPSALA LÄN</t>
        </is>
      </c>
      <c r="E215" t="inlineStr">
        <is>
          <t>TIERP</t>
        </is>
      </c>
      <c r="G215" t="n">
        <v>5.7</v>
      </c>
      <c r="H215" t="n">
        <v>0</v>
      </c>
      <c r="I215" t="n">
        <v>2</v>
      </c>
      <c r="J215" t="n">
        <v>1</v>
      </c>
      <c r="K215" t="n">
        <v>0</v>
      </c>
      <c r="L215" t="n">
        <v>0</v>
      </c>
      <c r="M215" t="n">
        <v>0</v>
      </c>
      <c r="N215" t="n">
        <v>0</v>
      </c>
      <c r="O215" t="n">
        <v>1</v>
      </c>
      <c r="P215" t="n">
        <v>0</v>
      </c>
      <c r="Q215" t="n">
        <v>3</v>
      </c>
      <c r="R215" s="2" t="inlineStr">
        <is>
          <t>Etternässla
Underviol
Vårärt</t>
        </is>
      </c>
      <c r="S215">
        <f>HYPERLINK("https://klasma.github.io/Logging_0360/artfynd/A 43860-2025 artfynd.xlsx", "A 43860-2025")</f>
        <v/>
      </c>
      <c r="T215">
        <f>HYPERLINK("https://klasma.github.io/Logging_0360/kartor/A 43860-2025 karta.png", "A 43860-2025")</f>
        <v/>
      </c>
      <c r="V215">
        <f>HYPERLINK("https://klasma.github.io/Logging_0360/klagomål/A 43860-2025 FSC-klagomål.docx", "A 43860-2025")</f>
        <v/>
      </c>
      <c r="W215">
        <f>HYPERLINK("https://klasma.github.io/Logging_0360/klagomålsmail/A 43860-2025 FSC-klagomål mail.docx", "A 43860-2025")</f>
        <v/>
      </c>
      <c r="X215">
        <f>HYPERLINK("https://klasma.github.io/Logging_0360/tillsyn/A 43860-2025 tillsynsbegäran.docx", "A 43860-2025")</f>
        <v/>
      </c>
      <c r="Y215">
        <f>HYPERLINK("https://klasma.github.io/Logging_0360/tillsynsmail/A 43860-2025 tillsynsbegäran mail.docx", "A 43860-2025")</f>
        <v/>
      </c>
    </row>
    <row r="216" ht="15" customHeight="1">
      <c r="A216" t="inlineStr">
        <is>
          <t>A 58480-2025</t>
        </is>
      </c>
      <c r="B216" s="1" t="n">
        <v>45985.64805555555</v>
      </c>
      <c r="C216" s="1" t="n">
        <v>46098</v>
      </c>
      <c r="D216" t="inlineStr">
        <is>
          <t>UPPSALA LÄN</t>
        </is>
      </c>
      <c r="E216" t="inlineStr">
        <is>
          <t>ÄLVKARLEBY</t>
        </is>
      </c>
      <c r="F216" t="inlineStr">
        <is>
          <t>Bergvik skog väst AB</t>
        </is>
      </c>
      <c r="G216" t="n">
        <v>4.1</v>
      </c>
      <c r="H216" t="n">
        <v>1</v>
      </c>
      <c r="I216" t="n">
        <v>2</v>
      </c>
      <c r="J216" t="n">
        <v>0</v>
      </c>
      <c r="K216" t="n">
        <v>1</v>
      </c>
      <c r="L216" t="n">
        <v>0</v>
      </c>
      <c r="M216" t="n">
        <v>0</v>
      </c>
      <c r="N216" t="n">
        <v>0</v>
      </c>
      <c r="O216" t="n">
        <v>1</v>
      </c>
      <c r="P216" t="n">
        <v>1</v>
      </c>
      <c r="Q216" t="n">
        <v>3</v>
      </c>
      <c r="R216" s="2" t="inlineStr">
        <is>
          <t>Knärot
Tibast
Vätteros</t>
        </is>
      </c>
      <c r="S216">
        <f>HYPERLINK("https://klasma.github.io/Logging_0319/artfynd/A 58480-2025 artfynd.xlsx", "A 58480-2025")</f>
        <v/>
      </c>
      <c r="T216">
        <f>HYPERLINK("https://klasma.github.io/Logging_0319/kartor/A 58480-2025 karta.png", "A 58480-2025")</f>
        <v/>
      </c>
      <c r="U216">
        <f>HYPERLINK("https://klasma.github.io/Logging_0319/knärot/A 58480-2025 karta knärot.png", "A 58480-2025")</f>
        <v/>
      </c>
      <c r="V216">
        <f>HYPERLINK("https://klasma.github.io/Logging_0319/klagomål/A 58480-2025 FSC-klagomål.docx", "A 58480-2025")</f>
        <v/>
      </c>
      <c r="W216">
        <f>HYPERLINK("https://klasma.github.io/Logging_0319/klagomålsmail/A 58480-2025 FSC-klagomål mail.docx", "A 58480-2025")</f>
        <v/>
      </c>
      <c r="X216">
        <f>HYPERLINK("https://klasma.github.io/Logging_0319/tillsyn/A 58480-2025 tillsynsbegäran.docx", "A 58480-2025")</f>
        <v/>
      </c>
      <c r="Y216">
        <f>HYPERLINK("https://klasma.github.io/Logging_0319/tillsynsmail/A 58480-2025 tillsynsbegäran mail.docx", "A 58480-2025")</f>
        <v/>
      </c>
    </row>
    <row r="217" ht="15" customHeight="1">
      <c r="A217" t="inlineStr">
        <is>
          <t>A 55051-2021</t>
        </is>
      </c>
      <c r="B217" s="1" t="n">
        <v>44474</v>
      </c>
      <c r="C217" s="1" t="n">
        <v>46098</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45627-2025</t>
        </is>
      </c>
      <c r="B218" s="1" t="n">
        <v>45922.80255787037</v>
      </c>
      <c r="C218" s="1" t="n">
        <v>46098</v>
      </c>
      <c r="D218" t="inlineStr">
        <is>
          <t>UPPSALA LÄN</t>
        </is>
      </c>
      <c r="E218" t="inlineStr">
        <is>
          <t>UPPSALA</t>
        </is>
      </c>
      <c r="G218" t="n">
        <v>4</v>
      </c>
      <c r="H218" t="n">
        <v>2</v>
      </c>
      <c r="I218" t="n">
        <v>0</v>
      </c>
      <c r="J218" t="n">
        <v>3</v>
      </c>
      <c r="K218" t="n">
        <v>0</v>
      </c>
      <c r="L218" t="n">
        <v>0</v>
      </c>
      <c r="M218" t="n">
        <v>0</v>
      </c>
      <c r="N218" t="n">
        <v>0</v>
      </c>
      <c r="O218" t="n">
        <v>3</v>
      </c>
      <c r="P218" t="n">
        <v>0</v>
      </c>
      <c r="Q218" t="n">
        <v>3</v>
      </c>
      <c r="R218" s="2" t="inlineStr">
        <is>
          <t>Kungsspindling
Spillkråka
Talltita</t>
        </is>
      </c>
      <c r="S218">
        <f>HYPERLINK("https://klasma.github.io/Logging_0380/artfynd/A 45627-2025 artfynd.xlsx", "A 45627-2025")</f>
        <v/>
      </c>
      <c r="T218">
        <f>HYPERLINK("https://klasma.github.io/Logging_0380/kartor/A 45627-2025 karta.png", "A 45627-2025")</f>
        <v/>
      </c>
      <c r="V218">
        <f>HYPERLINK("https://klasma.github.io/Logging_0380/klagomål/A 45627-2025 FSC-klagomål.docx", "A 45627-2025")</f>
        <v/>
      </c>
      <c r="W218">
        <f>HYPERLINK("https://klasma.github.io/Logging_0380/klagomålsmail/A 45627-2025 FSC-klagomål mail.docx", "A 45627-2025")</f>
        <v/>
      </c>
      <c r="X218">
        <f>HYPERLINK("https://klasma.github.io/Logging_0380/tillsyn/A 45627-2025 tillsynsbegäran.docx", "A 45627-2025")</f>
        <v/>
      </c>
      <c r="Y218">
        <f>HYPERLINK("https://klasma.github.io/Logging_0380/tillsynsmail/A 45627-2025 tillsynsbegäran mail.docx", "A 45627-2025")</f>
        <v/>
      </c>
      <c r="Z218">
        <f>HYPERLINK("https://klasma.github.io/Logging_0380/fåglar/A 45627-2025 prioriterade fågelarter.docx", "A 45627-2025")</f>
        <v/>
      </c>
    </row>
    <row r="219" ht="15" customHeight="1">
      <c r="A219" t="inlineStr">
        <is>
          <t>A 30716-2025</t>
        </is>
      </c>
      <c r="B219" s="1" t="n">
        <v>45831.55982638889</v>
      </c>
      <c r="C219" s="1" t="n">
        <v>46098</v>
      </c>
      <c r="D219" t="inlineStr">
        <is>
          <t>UPPSALA LÄN</t>
        </is>
      </c>
      <c r="E219" t="inlineStr">
        <is>
          <t>UPPSALA</t>
        </is>
      </c>
      <c r="G219" t="n">
        <v>2.3</v>
      </c>
      <c r="H219" t="n">
        <v>2</v>
      </c>
      <c r="I219" t="n">
        <v>1</v>
      </c>
      <c r="J219" t="n">
        <v>1</v>
      </c>
      <c r="K219" t="n">
        <v>1</v>
      </c>
      <c r="L219" t="n">
        <v>0</v>
      </c>
      <c r="M219" t="n">
        <v>0</v>
      </c>
      <c r="N219" t="n">
        <v>0</v>
      </c>
      <c r="O219" t="n">
        <v>2</v>
      </c>
      <c r="P219" t="n">
        <v>1</v>
      </c>
      <c r="Q219" t="n">
        <v>3</v>
      </c>
      <c r="R219" s="2" t="inlineStr">
        <is>
          <t>Knärot
Talltita
Skinnlav</t>
        </is>
      </c>
      <c r="S219">
        <f>HYPERLINK("https://klasma.github.io/Logging_0380/artfynd/A 30716-2025 artfynd.xlsx", "A 30716-2025")</f>
        <v/>
      </c>
      <c r="T219">
        <f>HYPERLINK("https://klasma.github.io/Logging_0380/kartor/A 30716-2025 karta.png", "A 30716-2025")</f>
        <v/>
      </c>
      <c r="U219">
        <f>HYPERLINK("https://klasma.github.io/Logging_0380/knärot/A 30716-2025 karta knärot.png", "A 30716-2025")</f>
        <v/>
      </c>
      <c r="V219">
        <f>HYPERLINK("https://klasma.github.io/Logging_0380/klagomål/A 30716-2025 FSC-klagomål.docx", "A 30716-2025")</f>
        <v/>
      </c>
      <c r="W219">
        <f>HYPERLINK("https://klasma.github.io/Logging_0380/klagomålsmail/A 30716-2025 FSC-klagomål mail.docx", "A 30716-2025")</f>
        <v/>
      </c>
      <c r="X219">
        <f>HYPERLINK("https://klasma.github.io/Logging_0380/tillsyn/A 30716-2025 tillsynsbegäran.docx", "A 30716-2025")</f>
        <v/>
      </c>
      <c r="Y219">
        <f>HYPERLINK("https://klasma.github.io/Logging_0380/tillsynsmail/A 30716-2025 tillsynsbegäran mail.docx", "A 30716-2025")</f>
        <v/>
      </c>
      <c r="Z219">
        <f>HYPERLINK("https://klasma.github.io/Logging_0380/fåglar/A 30716-2025 prioriterade fågelarter.docx", "A 30716-2025")</f>
        <v/>
      </c>
    </row>
    <row r="220" ht="15" customHeight="1">
      <c r="A220" t="inlineStr">
        <is>
          <t>A 15592-2022</t>
        </is>
      </c>
      <c r="B220" s="1" t="n">
        <v>44662</v>
      </c>
      <c r="C220" s="1" t="n">
        <v>46098</v>
      </c>
      <c r="D220" t="inlineStr">
        <is>
          <t>UPPSALA LÄN</t>
        </is>
      </c>
      <c r="E220" t="inlineStr">
        <is>
          <t>TIERP</t>
        </is>
      </c>
      <c r="F220" t="inlineStr">
        <is>
          <t>Bergvik skog väst AB</t>
        </is>
      </c>
      <c r="G220" t="n">
        <v>1.7</v>
      </c>
      <c r="H220" t="n">
        <v>2</v>
      </c>
      <c r="I220" t="n">
        <v>2</v>
      </c>
      <c r="J220" t="n">
        <v>0</v>
      </c>
      <c r="K220" t="n">
        <v>0</v>
      </c>
      <c r="L220" t="n">
        <v>0</v>
      </c>
      <c r="M220" t="n">
        <v>0</v>
      </c>
      <c r="N220" t="n">
        <v>0</v>
      </c>
      <c r="O220" t="n">
        <v>0</v>
      </c>
      <c r="P220" t="n">
        <v>0</v>
      </c>
      <c r="Q220" t="n">
        <v>3</v>
      </c>
      <c r="R220" s="2" t="inlineStr">
        <is>
          <t>Skogsknipprot
Tibast
Blåsippa</t>
        </is>
      </c>
      <c r="S220">
        <f>HYPERLINK("https://klasma.github.io/Logging_0360/artfynd/A 15592-2022 artfynd.xlsx", "A 15592-2022")</f>
        <v/>
      </c>
      <c r="T220">
        <f>HYPERLINK("https://klasma.github.io/Logging_0360/kartor/A 15592-2022 karta.png", "A 15592-2022")</f>
        <v/>
      </c>
      <c r="V220">
        <f>HYPERLINK("https://klasma.github.io/Logging_0360/klagomål/A 15592-2022 FSC-klagomål.docx", "A 15592-2022")</f>
        <v/>
      </c>
      <c r="W220">
        <f>HYPERLINK("https://klasma.github.io/Logging_0360/klagomålsmail/A 15592-2022 FSC-klagomål mail.docx", "A 15592-2022")</f>
        <v/>
      </c>
      <c r="X220">
        <f>HYPERLINK("https://klasma.github.io/Logging_0360/tillsyn/A 15592-2022 tillsynsbegäran.docx", "A 15592-2022")</f>
        <v/>
      </c>
      <c r="Y220">
        <f>HYPERLINK("https://klasma.github.io/Logging_0360/tillsynsmail/A 15592-2022 tillsynsbegäran mail.docx", "A 15592-2022")</f>
        <v/>
      </c>
    </row>
    <row r="221" ht="15" customHeight="1">
      <c r="A221" t="inlineStr">
        <is>
          <t>A 54537-2025</t>
        </is>
      </c>
      <c r="B221" s="1" t="n">
        <v>45965.64359953703</v>
      </c>
      <c r="C221" s="1" t="n">
        <v>46098</v>
      </c>
      <c r="D221" t="inlineStr">
        <is>
          <t>UPPSALA LÄN</t>
        </is>
      </c>
      <c r="E221" t="inlineStr">
        <is>
          <t>TIERP</t>
        </is>
      </c>
      <c r="F221" t="inlineStr">
        <is>
          <t>Bergvik skog öst AB</t>
        </is>
      </c>
      <c r="G221" t="n">
        <v>4.8</v>
      </c>
      <c r="H221" t="n">
        <v>0</v>
      </c>
      <c r="I221" t="n">
        <v>2</v>
      </c>
      <c r="J221" t="n">
        <v>1</v>
      </c>
      <c r="K221" t="n">
        <v>0</v>
      </c>
      <c r="L221" t="n">
        <v>0</v>
      </c>
      <c r="M221" t="n">
        <v>0</v>
      </c>
      <c r="N221" t="n">
        <v>0</v>
      </c>
      <c r="O221" t="n">
        <v>1</v>
      </c>
      <c r="P221" t="n">
        <v>0</v>
      </c>
      <c r="Q221" t="n">
        <v>3</v>
      </c>
      <c r="R221" s="2" t="inlineStr">
        <is>
          <t>Garnlav
Flagellkvastmossa
Vågbandad barkbock</t>
        </is>
      </c>
      <c r="S221">
        <f>HYPERLINK("https://klasma.github.io/Logging_0360/artfynd/A 54537-2025 artfynd.xlsx", "A 54537-2025")</f>
        <v/>
      </c>
      <c r="T221">
        <f>HYPERLINK("https://klasma.github.io/Logging_0360/kartor/A 54537-2025 karta.png", "A 54537-2025")</f>
        <v/>
      </c>
      <c r="V221">
        <f>HYPERLINK("https://klasma.github.io/Logging_0360/klagomål/A 54537-2025 FSC-klagomål.docx", "A 54537-2025")</f>
        <v/>
      </c>
      <c r="W221">
        <f>HYPERLINK("https://klasma.github.io/Logging_0360/klagomålsmail/A 54537-2025 FSC-klagomål mail.docx", "A 54537-2025")</f>
        <v/>
      </c>
      <c r="X221">
        <f>HYPERLINK("https://klasma.github.io/Logging_0360/tillsyn/A 54537-2025 tillsynsbegäran.docx", "A 54537-2025")</f>
        <v/>
      </c>
      <c r="Y221">
        <f>HYPERLINK("https://klasma.github.io/Logging_0360/tillsynsmail/A 54537-2025 tillsynsbegäran mail.docx", "A 54537-2025")</f>
        <v/>
      </c>
    </row>
    <row r="222" ht="15" customHeight="1">
      <c r="A222" t="inlineStr">
        <is>
          <t>A 47445-2025</t>
        </is>
      </c>
      <c r="B222" s="1" t="n">
        <v>45930</v>
      </c>
      <c r="C222" s="1" t="n">
        <v>46098</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61925-2025</t>
        </is>
      </c>
      <c r="B223" s="1" t="n">
        <v>46003.51346064815</v>
      </c>
      <c r="C223" s="1" t="n">
        <v>46098</v>
      </c>
      <c r="D223" t="inlineStr">
        <is>
          <t>UPPSALA LÄN</t>
        </is>
      </c>
      <c r="E223" t="inlineStr">
        <is>
          <t>HEBY</t>
        </is>
      </c>
      <c r="G223" t="n">
        <v>3</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HYPERLINK("https://klasma.github.io/Logging_0331/artfynd/A 61925-2025 artfynd.xlsx", "A 61925-2025")</f>
        <v/>
      </c>
      <c r="T223">
        <f>HYPERLINK("https://klasma.github.io/Logging_0331/kartor/A 61925-2025 karta.png", "A 61925-2025")</f>
        <v/>
      </c>
      <c r="V223">
        <f>HYPERLINK("https://klasma.github.io/Logging_0331/klagomål/A 61925-2025 FSC-klagomål.docx", "A 61925-2025")</f>
        <v/>
      </c>
      <c r="W223">
        <f>HYPERLINK("https://klasma.github.io/Logging_0331/klagomålsmail/A 61925-2025 FSC-klagomål mail.docx", "A 61925-2025")</f>
        <v/>
      </c>
      <c r="X223">
        <f>HYPERLINK("https://klasma.github.io/Logging_0331/tillsyn/A 61925-2025 tillsynsbegäran.docx", "A 61925-2025")</f>
        <v/>
      </c>
      <c r="Y223">
        <f>HYPERLINK("https://klasma.github.io/Logging_0331/tillsynsmail/A 61925-2025 tillsynsbegäran mail.docx", "A 61925-2025")</f>
        <v/>
      </c>
      <c r="Z223">
        <f>HYPERLINK("https://klasma.github.io/Logging_0331/fåglar/A 61925-2025 prioriterade fågelarter.docx", "A 61925-2025")</f>
        <v/>
      </c>
    </row>
    <row r="224" ht="15" customHeight="1">
      <c r="A224" t="inlineStr">
        <is>
          <t>A 61693-2025</t>
        </is>
      </c>
      <c r="B224" s="1" t="n">
        <v>46002</v>
      </c>
      <c r="C224" s="1" t="n">
        <v>46098</v>
      </c>
      <c r="D224" t="inlineStr">
        <is>
          <t>UPPSALA LÄN</t>
        </is>
      </c>
      <c r="E224" t="inlineStr">
        <is>
          <t>ÄLVKARLEBY</t>
        </is>
      </c>
      <c r="F224" t="inlineStr">
        <is>
          <t>Bergvik skog öst AB</t>
        </is>
      </c>
      <c r="G224" t="n">
        <v>9.199999999999999</v>
      </c>
      <c r="H224" t="n">
        <v>0</v>
      </c>
      <c r="I224" t="n">
        <v>2</v>
      </c>
      <c r="J224" t="n">
        <v>1</v>
      </c>
      <c r="K224" t="n">
        <v>0</v>
      </c>
      <c r="L224" t="n">
        <v>0</v>
      </c>
      <c r="M224" t="n">
        <v>0</v>
      </c>
      <c r="N224" t="n">
        <v>0</v>
      </c>
      <c r="O224" t="n">
        <v>1</v>
      </c>
      <c r="P224" t="n">
        <v>0</v>
      </c>
      <c r="Q224" t="n">
        <v>3</v>
      </c>
      <c r="R224" s="2" t="inlineStr">
        <is>
          <t>Vedtrappmossa
Brandticka
Sårläka</t>
        </is>
      </c>
      <c r="S224">
        <f>HYPERLINK("https://klasma.github.io/Logging_0319/artfynd/A 61693-2025 artfynd.xlsx", "A 61693-2025")</f>
        <v/>
      </c>
      <c r="T224">
        <f>HYPERLINK("https://klasma.github.io/Logging_0319/kartor/A 61693-2025 karta.png", "A 61693-2025")</f>
        <v/>
      </c>
      <c r="V224">
        <f>HYPERLINK("https://klasma.github.io/Logging_0319/klagomål/A 61693-2025 FSC-klagomål.docx", "A 61693-2025")</f>
        <v/>
      </c>
      <c r="W224">
        <f>HYPERLINK("https://klasma.github.io/Logging_0319/klagomålsmail/A 61693-2025 FSC-klagomål mail.docx", "A 61693-2025")</f>
        <v/>
      </c>
      <c r="X224">
        <f>HYPERLINK("https://klasma.github.io/Logging_0319/tillsyn/A 61693-2025 tillsynsbegäran.docx", "A 61693-2025")</f>
        <v/>
      </c>
      <c r="Y224">
        <f>HYPERLINK("https://klasma.github.io/Logging_0319/tillsynsmail/A 61693-2025 tillsynsbegäran mail.docx", "A 61693-2025")</f>
        <v/>
      </c>
    </row>
    <row r="225" ht="15" customHeight="1">
      <c r="A225" t="inlineStr">
        <is>
          <t>A 6567-2026</t>
        </is>
      </c>
      <c r="B225" s="1" t="n">
        <v>46056.44011574074</v>
      </c>
      <c r="C225" s="1" t="n">
        <v>46098</v>
      </c>
      <c r="D225" t="inlineStr">
        <is>
          <t>UPPSALA LÄN</t>
        </is>
      </c>
      <c r="E225" t="inlineStr">
        <is>
          <t>ÖSTHAMMAR</t>
        </is>
      </c>
      <c r="G225" t="n">
        <v>1.6</v>
      </c>
      <c r="H225" t="n">
        <v>0</v>
      </c>
      <c r="I225" t="n">
        <v>2</v>
      </c>
      <c r="J225" t="n">
        <v>0</v>
      </c>
      <c r="K225" t="n">
        <v>1</v>
      </c>
      <c r="L225" t="n">
        <v>0</v>
      </c>
      <c r="M225" t="n">
        <v>0</v>
      </c>
      <c r="N225" t="n">
        <v>0</v>
      </c>
      <c r="O225" t="n">
        <v>1</v>
      </c>
      <c r="P225" t="n">
        <v>1</v>
      </c>
      <c r="Q225" t="n">
        <v>3</v>
      </c>
      <c r="R225" s="2" t="inlineStr">
        <is>
          <t>Kopparspindling
Olivspindling
Rödgul trumpetsvamp</t>
        </is>
      </c>
      <c r="S225">
        <f>HYPERLINK("https://klasma.github.io/Logging_0382/artfynd/A 6567-2026 artfynd.xlsx", "A 6567-2026")</f>
        <v/>
      </c>
      <c r="T225">
        <f>HYPERLINK("https://klasma.github.io/Logging_0382/kartor/A 6567-2026 karta.png", "A 6567-2026")</f>
        <v/>
      </c>
      <c r="V225">
        <f>HYPERLINK("https://klasma.github.io/Logging_0382/klagomål/A 6567-2026 FSC-klagomål.docx", "A 6567-2026")</f>
        <v/>
      </c>
      <c r="W225">
        <f>HYPERLINK("https://klasma.github.io/Logging_0382/klagomålsmail/A 6567-2026 FSC-klagomål mail.docx", "A 6567-2026")</f>
        <v/>
      </c>
      <c r="X225">
        <f>HYPERLINK("https://klasma.github.io/Logging_0382/tillsyn/A 6567-2026 tillsynsbegäran.docx", "A 6567-2026")</f>
        <v/>
      </c>
      <c r="Y225">
        <f>HYPERLINK("https://klasma.github.io/Logging_0382/tillsynsmail/A 6567-2026 tillsynsbegäran mail.docx", "A 6567-2026")</f>
        <v/>
      </c>
    </row>
    <row r="226" ht="15" customHeight="1">
      <c r="A226" t="inlineStr">
        <is>
          <t>A 62278-2025</t>
        </is>
      </c>
      <c r="B226" s="1" t="n">
        <v>46006.63202546296</v>
      </c>
      <c r="C226" s="1" t="n">
        <v>46098</v>
      </c>
      <c r="D226" t="inlineStr">
        <is>
          <t>UPPSALA LÄN</t>
        </is>
      </c>
      <c r="E226" t="inlineStr">
        <is>
          <t>ÄLVKARLEBY</t>
        </is>
      </c>
      <c r="F226" t="inlineStr">
        <is>
          <t>Bergvik skog väst AB</t>
        </is>
      </c>
      <c r="G226" t="n">
        <v>6.3</v>
      </c>
      <c r="H226" t="n">
        <v>2</v>
      </c>
      <c r="I226" t="n">
        <v>0</v>
      </c>
      <c r="J226" t="n">
        <v>1</v>
      </c>
      <c r="K226" t="n">
        <v>1</v>
      </c>
      <c r="L226" t="n">
        <v>1</v>
      </c>
      <c r="M226" t="n">
        <v>0</v>
      </c>
      <c r="N226" t="n">
        <v>0</v>
      </c>
      <c r="O226" t="n">
        <v>3</v>
      </c>
      <c r="P226" t="n">
        <v>2</v>
      </c>
      <c r="Q226" t="n">
        <v>3</v>
      </c>
      <c r="R226" s="2" t="inlineStr">
        <is>
          <t>Mosippa
Knärot
Rökfingersvamp</t>
        </is>
      </c>
      <c r="S226">
        <f>HYPERLINK("https://klasma.github.io/Logging_0319/artfynd/A 62278-2025 artfynd.xlsx", "A 62278-2025")</f>
        <v/>
      </c>
      <c r="T226">
        <f>HYPERLINK("https://klasma.github.io/Logging_0319/kartor/A 62278-2025 karta.png", "A 62278-2025")</f>
        <v/>
      </c>
      <c r="U226">
        <f>HYPERLINK("https://klasma.github.io/Logging_0319/knärot/A 62278-2025 karta knärot.png", "A 62278-2025")</f>
        <v/>
      </c>
      <c r="V226">
        <f>HYPERLINK("https://klasma.github.io/Logging_0319/klagomål/A 62278-2025 FSC-klagomål.docx", "A 62278-2025")</f>
        <v/>
      </c>
      <c r="W226">
        <f>HYPERLINK("https://klasma.github.io/Logging_0319/klagomålsmail/A 62278-2025 FSC-klagomål mail.docx", "A 62278-2025")</f>
        <v/>
      </c>
      <c r="X226">
        <f>HYPERLINK("https://klasma.github.io/Logging_0319/tillsyn/A 62278-2025 tillsynsbegäran.docx", "A 62278-2025")</f>
        <v/>
      </c>
      <c r="Y226">
        <f>HYPERLINK("https://klasma.github.io/Logging_0319/tillsynsmail/A 62278-2025 tillsynsbegäran mail.docx", "A 62278-2025")</f>
        <v/>
      </c>
    </row>
    <row r="227" ht="15" customHeight="1">
      <c r="A227" t="inlineStr">
        <is>
          <t>A 35197-2025</t>
        </is>
      </c>
      <c r="B227" s="1" t="n">
        <v>45853</v>
      </c>
      <c r="C227" s="1" t="n">
        <v>46098</v>
      </c>
      <c r="D227" t="inlineStr">
        <is>
          <t>UPPSALA LÄN</t>
        </is>
      </c>
      <c r="E227" t="inlineStr">
        <is>
          <t>HÅBO</t>
        </is>
      </c>
      <c r="G227" t="n">
        <v>0.9</v>
      </c>
      <c r="H227" t="n">
        <v>1</v>
      </c>
      <c r="I227" t="n">
        <v>0</v>
      </c>
      <c r="J227" t="n">
        <v>3</v>
      </c>
      <c r="K227" t="n">
        <v>0</v>
      </c>
      <c r="L227" t="n">
        <v>0</v>
      </c>
      <c r="M227" t="n">
        <v>0</v>
      </c>
      <c r="N227" t="n">
        <v>0</v>
      </c>
      <c r="O227" t="n">
        <v>3</v>
      </c>
      <c r="P227" t="n">
        <v>0</v>
      </c>
      <c r="Q227" t="n">
        <v>3</v>
      </c>
      <c r="R227" s="2" t="inlineStr">
        <is>
          <t>Grönsångare
Tallticka
Vintertagging</t>
        </is>
      </c>
      <c r="S227">
        <f>HYPERLINK("https://klasma.github.io/Logging_0305/artfynd/A 35197-2025 artfynd.xlsx", "A 35197-2025")</f>
        <v/>
      </c>
      <c r="T227">
        <f>HYPERLINK("https://klasma.github.io/Logging_0305/kartor/A 35197-2025 karta.png", "A 35197-2025")</f>
        <v/>
      </c>
      <c r="V227">
        <f>HYPERLINK("https://klasma.github.io/Logging_0305/klagomål/A 35197-2025 FSC-klagomål.docx", "A 35197-2025")</f>
        <v/>
      </c>
      <c r="W227">
        <f>HYPERLINK("https://klasma.github.io/Logging_0305/klagomålsmail/A 35197-2025 FSC-klagomål mail.docx", "A 35197-2025")</f>
        <v/>
      </c>
      <c r="X227">
        <f>HYPERLINK("https://klasma.github.io/Logging_0305/tillsyn/A 35197-2025 tillsynsbegäran.docx", "A 35197-2025")</f>
        <v/>
      </c>
      <c r="Y227">
        <f>HYPERLINK("https://klasma.github.io/Logging_0305/tillsynsmail/A 35197-2025 tillsynsbegäran mail.docx", "A 35197-2025")</f>
        <v/>
      </c>
      <c r="Z227">
        <f>HYPERLINK("https://klasma.github.io/Logging_0305/fåglar/A 35197-2025 prioriterade fågelarter.docx", "A 35197-2025")</f>
        <v/>
      </c>
    </row>
    <row r="228" ht="15" customHeight="1">
      <c r="A228" t="inlineStr">
        <is>
          <t>A 2214-2026</t>
        </is>
      </c>
      <c r="B228" s="1" t="n">
        <v>46036</v>
      </c>
      <c r="C228" s="1" t="n">
        <v>46098</v>
      </c>
      <c r="D228" t="inlineStr">
        <is>
          <t>UPPSALA LÄN</t>
        </is>
      </c>
      <c r="E228" t="inlineStr">
        <is>
          <t>KNIVSTA</t>
        </is>
      </c>
      <c r="G228" t="n">
        <v>4.4</v>
      </c>
      <c r="H228" t="n">
        <v>0</v>
      </c>
      <c r="I228" t="n">
        <v>0</v>
      </c>
      <c r="J228" t="n">
        <v>3</v>
      </c>
      <c r="K228" t="n">
        <v>0</v>
      </c>
      <c r="L228" t="n">
        <v>0</v>
      </c>
      <c r="M228" t="n">
        <v>0</v>
      </c>
      <c r="N228" t="n">
        <v>0</v>
      </c>
      <c r="O228" t="n">
        <v>3</v>
      </c>
      <c r="P228" t="n">
        <v>0</v>
      </c>
      <c r="Q228" t="n">
        <v>3</v>
      </c>
      <c r="R228" s="2" t="inlineStr">
        <is>
          <t>Tallticka
Ullticka
Vintertagging</t>
        </is>
      </c>
      <c r="S228">
        <f>HYPERLINK("https://klasma.github.io/Logging_0330/artfynd/A 2214-2026 artfynd.xlsx", "A 2214-2026")</f>
        <v/>
      </c>
      <c r="T228">
        <f>HYPERLINK("https://klasma.github.io/Logging_0330/kartor/A 2214-2026 karta.png", "A 2214-2026")</f>
        <v/>
      </c>
      <c r="U228">
        <f>HYPERLINK("https://klasma.github.io/Logging_0330/knärot/A 2214-2026 karta knärot.png", "A 2214-2026")</f>
        <v/>
      </c>
      <c r="V228">
        <f>HYPERLINK("https://klasma.github.io/Logging_0330/klagomål/A 2214-2026 FSC-klagomål.docx", "A 2214-2026")</f>
        <v/>
      </c>
      <c r="W228">
        <f>HYPERLINK("https://klasma.github.io/Logging_0330/klagomålsmail/A 2214-2026 FSC-klagomål mail.docx", "A 2214-2026")</f>
        <v/>
      </c>
      <c r="X228">
        <f>HYPERLINK("https://klasma.github.io/Logging_0330/tillsyn/A 2214-2026 tillsynsbegäran.docx", "A 2214-2026")</f>
        <v/>
      </c>
      <c r="Y228">
        <f>HYPERLINK("https://klasma.github.io/Logging_0330/tillsynsmail/A 2214-2026 tillsynsbegäran mail.docx", "A 2214-2026")</f>
        <v/>
      </c>
    </row>
    <row r="229" ht="15" customHeight="1">
      <c r="A229" t="inlineStr">
        <is>
          <t>A 60038-2021</t>
        </is>
      </c>
      <c r="B229" s="1" t="n">
        <v>44495</v>
      </c>
      <c r="C229" s="1" t="n">
        <v>46098</v>
      </c>
      <c r="D229" t="inlineStr">
        <is>
          <t>UPPSALA LÄN</t>
        </is>
      </c>
      <c r="E229" t="inlineStr">
        <is>
          <t>UPPSALA</t>
        </is>
      </c>
      <c r="G229" t="n">
        <v>1.2</v>
      </c>
      <c r="H229" t="n">
        <v>1</v>
      </c>
      <c r="I229" t="n">
        <v>0</v>
      </c>
      <c r="J229" t="n">
        <v>1</v>
      </c>
      <c r="K229" t="n">
        <v>1</v>
      </c>
      <c r="L229" t="n">
        <v>0</v>
      </c>
      <c r="M229" t="n">
        <v>0</v>
      </c>
      <c r="N229" t="n">
        <v>0</v>
      </c>
      <c r="O229" t="n">
        <v>2</v>
      </c>
      <c r="P229" t="n">
        <v>1</v>
      </c>
      <c r="Q229" t="n">
        <v>3</v>
      </c>
      <c r="R229" s="2" t="inlineStr">
        <is>
          <t>Rynkskinn
Ullticka
Blåsippa</t>
        </is>
      </c>
      <c r="S229">
        <f>HYPERLINK("https://klasma.github.io/Logging_0380/artfynd/A 60038-2021 artfynd.xlsx", "A 60038-2021")</f>
        <v/>
      </c>
      <c r="T229">
        <f>HYPERLINK("https://klasma.github.io/Logging_0380/kartor/A 60038-2021 karta.png", "A 60038-2021")</f>
        <v/>
      </c>
      <c r="V229">
        <f>HYPERLINK("https://klasma.github.io/Logging_0380/klagomål/A 60038-2021 FSC-klagomål.docx", "A 60038-2021")</f>
        <v/>
      </c>
      <c r="W229">
        <f>HYPERLINK("https://klasma.github.io/Logging_0380/klagomålsmail/A 60038-2021 FSC-klagomål mail.docx", "A 60038-2021")</f>
        <v/>
      </c>
      <c r="X229">
        <f>HYPERLINK("https://klasma.github.io/Logging_0380/tillsyn/A 60038-2021 tillsynsbegäran.docx", "A 60038-2021")</f>
        <v/>
      </c>
      <c r="Y229">
        <f>HYPERLINK("https://klasma.github.io/Logging_0380/tillsynsmail/A 60038-2021 tillsynsbegäran mail.docx", "A 60038-2021")</f>
        <v/>
      </c>
    </row>
    <row r="230" ht="15" customHeight="1">
      <c r="A230" t="inlineStr">
        <is>
          <t>A 13085-2026</t>
        </is>
      </c>
      <c r="B230" s="1" t="n">
        <v>46093.38986111111</v>
      </c>
      <c r="C230" s="1" t="n">
        <v>46098</v>
      </c>
      <c r="D230" t="inlineStr">
        <is>
          <t>UPPSALA LÄN</t>
        </is>
      </c>
      <c r="E230" t="inlineStr">
        <is>
          <t>UPPSALA</t>
        </is>
      </c>
      <c r="G230" t="n">
        <v>2.2</v>
      </c>
      <c r="H230" t="n">
        <v>1</v>
      </c>
      <c r="I230" t="n">
        <v>2</v>
      </c>
      <c r="J230" t="n">
        <v>0</v>
      </c>
      <c r="K230" t="n">
        <v>0</v>
      </c>
      <c r="L230" t="n">
        <v>0</v>
      </c>
      <c r="M230" t="n">
        <v>0</v>
      </c>
      <c r="N230" t="n">
        <v>0</v>
      </c>
      <c r="O230" t="n">
        <v>0</v>
      </c>
      <c r="P230" t="n">
        <v>0</v>
      </c>
      <c r="Q230" t="n">
        <v>3</v>
      </c>
      <c r="R230" s="2" t="inlineStr">
        <is>
          <t>Svart trolldruva
Vårärt
Blåsippa</t>
        </is>
      </c>
      <c r="S230">
        <f>HYPERLINK("https://klasma.github.io/Logging_0380/artfynd/A 13085-2026 artfynd.xlsx", "A 13085-2026")</f>
        <v/>
      </c>
      <c r="T230">
        <f>HYPERLINK("https://klasma.github.io/Logging_0380/kartor/A 13085-2026 karta.png", "A 13085-2026")</f>
        <v/>
      </c>
      <c r="V230">
        <f>HYPERLINK("https://klasma.github.io/Logging_0380/klagomål/A 13085-2026 FSC-klagomål.docx", "A 13085-2026")</f>
        <v/>
      </c>
      <c r="W230">
        <f>HYPERLINK("https://klasma.github.io/Logging_0380/klagomålsmail/A 13085-2026 FSC-klagomål mail.docx", "A 13085-2026")</f>
        <v/>
      </c>
      <c r="X230">
        <f>HYPERLINK("https://klasma.github.io/Logging_0380/tillsyn/A 13085-2026 tillsynsbegäran.docx", "A 13085-2026")</f>
        <v/>
      </c>
      <c r="Y230">
        <f>HYPERLINK("https://klasma.github.io/Logging_0380/tillsynsmail/A 13085-2026 tillsynsbegäran mail.docx", "A 13085-2026")</f>
        <v/>
      </c>
    </row>
    <row r="231" ht="15" customHeight="1">
      <c r="A231" t="inlineStr">
        <is>
          <t>A 70017-2021</t>
        </is>
      </c>
      <c r="B231" s="1" t="n">
        <v>44533</v>
      </c>
      <c r="C231" s="1" t="n">
        <v>46098</v>
      </c>
      <c r="D231" t="inlineStr">
        <is>
          <t>UPPSALA LÄN</t>
        </is>
      </c>
      <c r="E231" t="inlineStr">
        <is>
          <t>ÄLVKARLEBY</t>
        </is>
      </c>
      <c r="G231" t="n">
        <v>2.1</v>
      </c>
      <c r="H231" t="n">
        <v>3</v>
      </c>
      <c r="I231" t="n">
        <v>0</v>
      </c>
      <c r="J231" t="n">
        <v>0</v>
      </c>
      <c r="K231" t="n">
        <v>1</v>
      </c>
      <c r="L231" t="n">
        <v>0</v>
      </c>
      <c r="M231" t="n">
        <v>0</v>
      </c>
      <c r="N231" t="n">
        <v>0</v>
      </c>
      <c r="O231" t="n">
        <v>1</v>
      </c>
      <c r="P231" t="n">
        <v>1</v>
      </c>
      <c r="Q231" t="n">
        <v>3</v>
      </c>
      <c r="R231" s="2" t="inlineStr">
        <is>
          <t>Gölgroda
Trana
Mindre vattensalamander</t>
        </is>
      </c>
      <c r="S231">
        <f>HYPERLINK("https://klasma.github.io/Logging_0319/artfynd/A 70017-2021 artfynd.xlsx", "A 70017-2021")</f>
        <v/>
      </c>
      <c r="T231">
        <f>HYPERLINK("https://klasma.github.io/Logging_0319/kartor/A 70017-2021 karta.png", "A 70017-2021")</f>
        <v/>
      </c>
      <c r="V231">
        <f>HYPERLINK("https://klasma.github.io/Logging_0319/klagomål/A 70017-2021 FSC-klagomål.docx", "A 70017-2021")</f>
        <v/>
      </c>
      <c r="W231">
        <f>HYPERLINK("https://klasma.github.io/Logging_0319/klagomålsmail/A 70017-2021 FSC-klagomål mail.docx", "A 70017-2021")</f>
        <v/>
      </c>
      <c r="X231">
        <f>HYPERLINK("https://klasma.github.io/Logging_0319/tillsyn/A 70017-2021 tillsynsbegäran.docx", "A 70017-2021")</f>
        <v/>
      </c>
      <c r="Y231">
        <f>HYPERLINK("https://klasma.github.io/Logging_0319/tillsynsmail/A 70017-2021 tillsynsbegäran mail.docx", "A 70017-2021")</f>
        <v/>
      </c>
      <c r="Z231">
        <f>HYPERLINK("https://klasma.github.io/Logging_0319/fåglar/A 70017-2021 prioriterade fågelarter.docx", "A 70017-2021")</f>
        <v/>
      </c>
    </row>
    <row r="232" ht="15" customHeight="1">
      <c r="A232" t="inlineStr">
        <is>
          <t>A 9683-2023</t>
        </is>
      </c>
      <c r="B232" s="1" t="n">
        <v>44984.43856481482</v>
      </c>
      <c r="C232" s="1" t="n">
        <v>46098</v>
      </c>
      <c r="D232" t="inlineStr">
        <is>
          <t>UPPSALA LÄN</t>
        </is>
      </c>
      <c r="E232" t="inlineStr">
        <is>
          <t>ÖSTHAMMAR</t>
        </is>
      </c>
      <c r="G232" t="n">
        <v>4</v>
      </c>
      <c r="H232" t="n">
        <v>3</v>
      </c>
      <c r="I232" t="n">
        <v>1</v>
      </c>
      <c r="J232" t="n">
        <v>0</v>
      </c>
      <c r="K232" t="n">
        <v>0</v>
      </c>
      <c r="L232" t="n">
        <v>0</v>
      </c>
      <c r="M232" t="n">
        <v>0</v>
      </c>
      <c r="N232" t="n">
        <v>0</v>
      </c>
      <c r="O232" t="n">
        <v>0</v>
      </c>
      <c r="P232" t="n">
        <v>0</v>
      </c>
      <c r="Q232" t="n">
        <v>3</v>
      </c>
      <c r="R232" s="2" t="inlineStr">
        <is>
          <t>Tvåblad
Blåsippa
Gullviva</t>
        </is>
      </c>
      <c r="S232">
        <f>HYPERLINK("https://klasma.github.io/Logging_0382/artfynd/A 9683-2023 artfynd.xlsx", "A 9683-2023")</f>
        <v/>
      </c>
      <c r="T232">
        <f>HYPERLINK("https://klasma.github.io/Logging_0382/kartor/A 9683-2023 karta.png", "A 9683-2023")</f>
        <v/>
      </c>
      <c r="V232">
        <f>HYPERLINK("https://klasma.github.io/Logging_0382/klagomål/A 9683-2023 FSC-klagomål.docx", "A 9683-2023")</f>
        <v/>
      </c>
      <c r="W232">
        <f>HYPERLINK("https://klasma.github.io/Logging_0382/klagomålsmail/A 9683-2023 FSC-klagomål mail.docx", "A 9683-2023")</f>
        <v/>
      </c>
      <c r="X232">
        <f>HYPERLINK("https://klasma.github.io/Logging_0382/tillsyn/A 9683-2023 tillsynsbegäran.docx", "A 9683-2023")</f>
        <v/>
      </c>
      <c r="Y232">
        <f>HYPERLINK("https://klasma.github.io/Logging_0382/tillsynsmail/A 9683-2023 tillsynsbegäran mail.docx", "A 9683-2023")</f>
        <v/>
      </c>
    </row>
    <row r="233" ht="15" customHeight="1">
      <c r="A233" t="inlineStr">
        <is>
          <t>A 33035-2021</t>
        </is>
      </c>
      <c r="B233" s="1" t="n">
        <v>44376</v>
      </c>
      <c r="C233" s="1" t="n">
        <v>46098</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10846-2025</t>
        </is>
      </c>
      <c r="B234" s="1" t="n">
        <v>45722.57912037037</v>
      </c>
      <c r="C234" s="1" t="n">
        <v>46098</v>
      </c>
      <c r="D234" t="inlineStr">
        <is>
          <t>UPPSALA LÄN</t>
        </is>
      </c>
      <c r="E234" t="inlineStr">
        <is>
          <t>TIERP</t>
        </is>
      </c>
      <c r="F234" t="inlineStr">
        <is>
          <t>Bergvik skog öst AB</t>
        </is>
      </c>
      <c r="G234" t="n">
        <v>1.8</v>
      </c>
      <c r="H234" t="n">
        <v>1</v>
      </c>
      <c r="I234" t="n">
        <v>2</v>
      </c>
      <c r="J234" t="n">
        <v>0</v>
      </c>
      <c r="K234" t="n">
        <v>0</v>
      </c>
      <c r="L234" t="n">
        <v>0</v>
      </c>
      <c r="M234" t="n">
        <v>0</v>
      </c>
      <c r="N234" t="n">
        <v>0</v>
      </c>
      <c r="O234" t="n">
        <v>0</v>
      </c>
      <c r="P234" t="n">
        <v>0</v>
      </c>
      <c r="Q234" t="n">
        <v>3</v>
      </c>
      <c r="R234" s="2" t="inlineStr">
        <is>
          <t>Rödgul trumpetsvamp
Tibast
Blåsippa</t>
        </is>
      </c>
      <c r="S234">
        <f>HYPERLINK("https://klasma.github.io/Logging_0360/artfynd/A 10846-2025 artfynd.xlsx", "A 10846-2025")</f>
        <v/>
      </c>
      <c r="T234">
        <f>HYPERLINK("https://klasma.github.io/Logging_0360/kartor/A 10846-2025 karta.png", "A 10846-2025")</f>
        <v/>
      </c>
      <c r="V234">
        <f>HYPERLINK("https://klasma.github.io/Logging_0360/klagomål/A 10846-2025 FSC-klagomål.docx", "A 10846-2025")</f>
        <v/>
      </c>
      <c r="W234">
        <f>HYPERLINK("https://klasma.github.io/Logging_0360/klagomålsmail/A 10846-2025 FSC-klagomål mail.docx", "A 10846-2025")</f>
        <v/>
      </c>
      <c r="X234">
        <f>HYPERLINK("https://klasma.github.io/Logging_0360/tillsyn/A 10846-2025 tillsynsbegäran.docx", "A 10846-2025")</f>
        <v/>
      </c>
      <c r="Y234">
        <f>HYPERLINK("https://klasma.github.io/Logging_0360/tillsynsmail/A 10846-2025 tillsynsbegäran mail.docx", "A 10846-2025")</f>
        <v/>
      </c>
    </row>
    <row r="235" ht="15" customHeight="1">
      <c r="A235" t="inlineStr">
        <is>
          <t>A 18079-2022</t>
        </is>
      </c>
      <c r="B235" s="1" t="n">
        <v>44684</v>
      </c>
      <c r="C235" s="1" t="n">
        <v>46098</v>
      </c>
      <c r="D235" t="inlineStr">
        <is>
          <t>UPPSALA LÄN</t>
        </is>
      </c>
      <c r="E235" t="inlineStr">
        <is>
          <t>UPPSALA</t>
        </is>
      </c>
      <c r="G235" t="n">
        <v>2</v>
      </c>
      <c r="H235" t="n">
        <v>0</v>
      </c>
      <c r="I235" t="n">
        <v>2</v>
      </c>
      <c r="J235" t="n">
        <v>0</v>
      </c>
      <c r="K235" t="n">
        <v>1</v>
      </c>
      <c r="L235" t="n">
        <v>0</v>
      </c>
      <c r="M235" t="n">
        <v>0</v>
      </c>
      <c r="N235" t="n">
        <v>0</v>
      </c>
      <c r="O235" t="n">
        <v>1</v>
      </c>
      <c r="P235" t="n">
        <v>1</v>
      </c>
      <c r="Q235" t="n">
        <v>3</v>
      </c>
      <c r="R235" s="2" t="inlineStr">
        <is>
          <t>Aspfjädermossa
Dvärgtufs
Skinnlav</t>
        </is>
      </c>
      <c r="S235">
        <f>HYPERLINK("https://klasma.github.io/Logging_0380/artfynd/A 18079-2022 artfynd.xlsx", "A 18079-2022")</f>
        <v/>
      </c>
      <c r="T235">
        <f>HYPERLINK("https://klasma.github.io/Logging_0380/kartor/A 18079-2022 karta.png", "A 18079-2022")</f>
        <v/>
      </c>
      <c r="V235">
        <f>HYPERLINK("https://klasma.github.io/Logging_0380/klagomål/A 18079-2022 FSC-klagomål.docx", "A 18079-2022")</f>
        <v/>
      </c>
      <c r="W235">
        <f>HYPERLINK("https://klasma.github.io/Logging_0380/klagomålsmail/A 18079-2022 FSC-klagomål mail.docx", "A 18079-2022")</f>
        <v/>
      </c>
      <c r="X235">
        <f>HYPERLINK("https://klasma.github.io/Logging_0380/tillsyn/A 18079-2022 tillsynsbegäran.docx", "A 18079-2022")</f>
        <v/>
      </c>
      <c r="Y235">
        <f>HYPERLINK("https://klasma.github.io/Logging_0380/tillsynsmail/A 18079-2022 tillsynsbegäran mail.docx", "A 18079-2022")</f>
        <v/>
      </c>
    </row>
    <row r="236" ht="15" customHeight="1">
      <c r="A236" t="inlineStr">
        <is>
          <t>A 37417-2023</t>
        </is>
      </c>
      <c r="B236" s="1" t="n">
        <v>45155</v>
      </c>
      <c r="C236" s="1" t="n">
        <v>46098</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9715-2024</t>
        </is>
      </c>
      <c r="B237" s="1" t="n">
        <v>45362.53928240741</v>
      </c>
      <c r="C237" s="1" t="n">
        <v>46098</v>
      </c>
      <c r="D237" t="inlineStr">
        <is>
          <t>UPPSALA LÄN</t>
        </is>
      </c>
      <c r="E237" t="inlineStr">
        <is>
          <t>ÖSTHAMMAR</t>
        </is>
      </c>
      <c r="G237" t="n">
        <v>4.7</v>
      </c>
      <c r="H237" t="n">
        <v>2</v>
      </c>
      <c r="I237" t="n">
        <v>2</v>
      </c>
      <c r="J237" t="n">
        <v>0</v>
      </c>
      <c r="K237" t="n">
        <v>1</v>
      </c>
      <c r="L237" t="n">
        <v>0</v>
      </c>
      <c r="M237" t="n">
        <v>0</v>
      </c>
      <c r="N237" t="n">
        <v>0</v>
      </c>
      <c r="O237" t="n">
        <v>1</v>
      </c>
      <c r="P237" t="n">
        <v>1</v>
      </c>
      <c r="Q237" t="n">
        <v>3</v>
      </c>
      <c r="R237" s="2" t="inlineStr">
        <is>
          <t>Knärot
Skogsknipprot
Vedticka</t>
        </is>
      </c>
      <c r="S237">
        <f>HYPERLINK("https://klasma.github.io/Logging_0382/artfynd/A 9715-2024 artfynd.xlsx", "A 9715-2024")</f>
        <v/>
      </c>
      <c r="T237">
        <f>HYPERLINK("https://klasma.github.io/Logging_0382/kartor/A 9715-2024 karta.png", "A 9715-2024")</f>
        <v/>
      </c>
      <c r="U237">
        <f>HYPERLINK("https://klasma.github.io/Logging_0382/knärot/A 9715-2024 karta knärot.png", "A 9715-2024")</f>
        <v/>
      </c>
      <c r="V237">
        <f>HYPERLINK("https://klasma.github.io/Logging_0382/klagomål/A 9715-2024 FSC-klagomål.docx", "A 9715-2024")</f>
        <v/>
      </c>
      <c r="W237">
        <f>HYPERLINK("https://klasma.github.io/Logging_0382/klagomålsmail/A 9715-2024 FSC-klagomål mail.docx", "A 9715-2024")</f>
        <v/>
      </c>
      <c r="X237">
        <f>HYPERLINK("https://klasma.github.io/Logging_0382/tillsyn/A 9715-2024 tillsynsbegäran.docx", "A 9715-2024")</f>
        <v/>
      </c>
      <c r="Y237">
        <f>HYPERLINK("https://klasma.github.io/Logging_0382/tillsynsmail/A 9715-2024 tillsynsbegäran mail.docx", "A 9715-2024")</f>
        <v/>
      </c>
    </row>
    <row r="238" ht="15" customHeight="1">
      <c r="A238" t="inlineStr">
        <is>
          <t>A 17277-2023</t>
        </is>
      </c>
      <c r="B238" s="1" t="n">
        <v>45035.44672453704</v>
      </c>
      <c r="C238" s="1" t="n">
        <v>46098</v>
      </c>
      <c r="D238" t="inlineStr">
        <is>
          <t>UPPSALA LÄN</t>
        </is>
      </c>
      <c r="E238" t="inlineStr">
        <is>
          <t>UPPSALA</t>
        </is>
      </c>
      <c r="F238" t="inlineStr">
        <is>
          <t>Övriga Aktiebolag</t>
        </is>
      </c>
      <c r="G238" t="n">
        <v>6.1</v>
      </c>
      <c r="H238" t="n">
        <v>3</v>
      </c>
      <c r="I238" t="n">
        <v>0</v>
      </c>
      <c r="J238" t="n">
        <v>2</v>
      </c>
      <c r="K238" t="n">
        <v>0</v>
      </c>
      <c r="L238" t="n">
        <v>0</v>
      </c>
      <c r="M238" t="n">
        <v>0</v>
      </c>
      <c r="N238" t="n">
        <v>0</v>
      </c>
      <c r="O238" t="n">
        <v>2</v>
      </c>
      <c r="P238" t="n">
        <v>0</v>
      </c>
      <c r="Q238" t="n">
        <v>3</v>
      </c>
      <c r="R238" s="2" t="inlineStr">
        <is>
          <t>Duvhök
Slaguggla
Trana</t>
        </is>
      </c>
      <c r="S238">
        <f>HYPERLINK("https://klasma.github.io/Logging_0380/artfynd/A 17277-2023 artfynd.xlsx", "A 17277-2023")</f>
        <v/>
      </c>
      <c r="T238">
        <f>HYPERLINK("https://klasma.github.io/Logging_0380/kartor/A 17277-2023 karta.png", "A 17277-2023")</f>
        <v/>
      </c>
      <c r="V238">
        <f>HYPERLINK("https://klasma.github.io/Logging_0380/klagomål/A 17277-2023 FSC-klagomål.docx", "A 17277-2023")</f>
        <v/>
      </c>
      <c r="W238">
        <f>HYPERLINK("https://klasma.github.io/Logging_0380/klagomålsmail/A 17277-2023 FSC-klagomål mail.docx", "A 17277-2023")</f>
        <v/>
      </c>
      <c r="X238">
        <f>HYPERLINK("https://klasma.github.io/Logging_0380/tillsyn/A 17277-2023 tillsynsbegäran.docx", "A 17277-2023")</f>
        <v/>
      </c>
      <c r="Y238">
        <f>HYPERLINK("https://klasma.github.io/Logging_0380/tillsynsmail/A 17277-2023 tillsynsbegäran mail.docx", "A 17277-2023")</f>
        <v/>
      </c>
      <c r="Z238">
        <f>HYPERLINK("https://klasma.github.io/Logging_0380/fåglar/A 17277-2023 prioriterade fågelarter.docx", "A 17277-2023")</f>
        <v/>
      </c>
    </row>
    <row r="239" ht="15" customHeight="1">
      <c r="A239" t="inlineStr">
        <is>
          <t>A 7366-2023</t>
        </is>
      </c>
      <c r="B239" s="1" t="n">
        <v>44966</v>
      </c>
      <c r="C239" s="1" t="n">
        <v>46098</v>
      </c>
      <c r="D239" t="inlineStr">
        <is>
          <t>UPPSALA LÄN</t>
        </is>
      </c>
      <c r="E239" t="inlineStr">
        <is>
          <t>TIERP</t>
        </is>
      </c>
      <c r="G239" t="n">
        <v>10.3</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HYPERLINK("https://klasma.github.io/Logging_0360/artfynd/A 7366-2023 artfynd.xlsx", "A 7366-2023")</f>
        <v/>
      </c>
      <c r="T239">
        <f>HYPERLINK("https://klasma.github.io/Logging_0360/kartor/A 7366-2023 karta.png", "A 7366-2023")</f>
        <v/>
      </c>
      <c r="U239">
        <f>HYPERLINK("https://klasma.github.io/Logging_0360/knärot/A 7366-2023 karta knärot.png", "A 7366-2023")</f>
        <v/>
      </c>
      <c r="V239">
        <f>HYPERLINK("https://klasma.github.io/Logging_0360/klagomål/A 7366-2023 FSC-klagomål.docx", "A 7366-2023")</f>
        <v/>
      </c>
      <c r="W239">
        <f>HYPERLINK("https://klasma.github.io/Logging_0360/klagomålsmail/A 7366-2023 FSC-klagomål mail.docx", "A 7366-2023")</f>
        <v/>
      </c>
      <c r="X239">
        <f>HYPERLINK("https://klasma.github.io/Logging_0360/tillsyn/A 7366-2023 tillsynsbegäran.docx", "A 7366-2023")</f>
        <v/>
      </c>
      <c r="Y239">
        <f>HYPERLINK("https://klasma.github.io/Logging_0360/tillsynsmail/A 7366-2023 tillsynsbegäran mail.docx", "A 7366-2023")</f>
        <v/>
      </c>
    </row>
    <row r="240" ht="15" customHeight="1">
      <c r="A240" t="inlineStr">
        <is>
          <t>A 46204-2023</t>
        </is>
      </c>
      <c r="B240" s="1" t="n">
        <v>45190</v>
      </c>
      <c r="C240" s="1" t="n">
        <v>46098</v>
      </c>
      <c r="D240" t="inlineStr">
        <is>
          <t>UPPSALA LÄN</t>
        </is>
      </c>
      <c r="E240" t="inlineStr">
        <is>
          <t>ÖSTHAMMAR</t>
        </is>
      </c>
      <c r="F240" t="inlineStr">
        <is>
          <t>Övriga statliga verk och myndigheter</t>
        </is>
      </c>
      <c r="G240" t="n">
        <v>3.5</v>
      </c>
      <c r="H240" t="n">
        <v>3</v>
      </c>
      <c r="I240" t="n">
        <v>0</v>
      </c>
      <c r="J240" t="n">
        <v>3</v>
      </c>
      <c r="K240" t="n">
        <v>0</v>
      </c>
      <c r="L240" t="n">
        <v>0</v>
      </c>
      <c r="M240" t="n">
        <v>0</v>
      </c>
      <c r="N240" t="n">
        <v>0</v>
      </c>
      <c r="O240" t="n">
        <v>3</v>
      </c>
      <c r="P240" t="n">
        <v>0</v>
      </c>
      <c r="Q240" t="n">
        <v>3</v>
      </c>
      <c r="R240" s="2" t="inlineStr">
        <is>
          <t>Grönsångare
Gulsparv
Ärtsångare</t>
        </is>
      </c>
      <c r="S240">
        <f>HYPERLINK("https://klasma.github.io/Logging_0382/artfynd/A 46204-2023 artfynd.xlsx", "A 46204-2023")</f>
        <v/>
      </c>
      <c r="T240">
        <f>HYPERLINK("https://klasma.github.io/Logging_0382/kartor/A 46204-2023 karta.png", "A 46204-2023")</f>
        <v/>
      </c>
      <c r="V240">
        <f>HYPERLINK("https://klasma.github.io/Logging_0382/klagomål/A 46204-2023 FSC-klagomål.docx", "A 46204-2023")</f>
        <v/>
      </c>
      <c r="W240">
        <f>HYPERLINK("https://klasma.github.io/Logging_0382/klagomålsmail/A 46204-2023 FSC-klagomål mail.docx", "A 46204-2023")</f>
        <v/>
      </c>
      <c r="X240">
        <f>HYPERLINK("https://klasma.github.io/Logging_0382/tillsyn/A 46204-2023 tillsynsbegäran.docx", "A 46204-2023")</f>
        <v/>
      </c>
      <c r="Y240">
        <f>HYPERLINK("https://klasma.github.io/Logging_0382/tillsynsmail/A 46204-2023 tillsynsbegäran mail.docx", "A 46204-2023")</f>
        <v/>
      </c>
      <c r="Z240">
        <f>HYPERLINK("https://klasma.github.io/Logging_0382/fåglar/A 46204-2023 prioriterade fågelarter.docx", "A 46204-2023")</f>
        <v/>
      </c>
    </row>
    <row r="241" ht="15" customHeight="1">
      <c r="A241" t="inlineStr">
        <is>
          <t>A 6044-2024</t>
        </is>
      </c>
      <c r="B241" s="1" t="n">
        <v>45336</v>
      </c>
      <c r="C241" s="1" t="n">
        <v>46098</v>
      </c>
      <c r="D241" t="inlineStr">
        <is>
          <t>UPPSALA LÄN</t>
        </is>
      </c>
      <c r="E241" t="inlineStr">
        <is>
          <t>UPPSALA</t>
        </is>
      </c>
      <c r="F241" t="inlineStr">
        <is>
          <t>Holmen skog AB</t>
        </is>
      </c>
      <c r="G241" t="n">
        <v>7.4</v>
      </c>
      <c r="H241" t="n">
        <v>0</v>
      </c>
      <c r="I241" t="n">
        <v>0</v>
      </c>
      <c r="J241" t="n">
        <v>3</v>
      </c>
      <c r="K241" t="n">
        <v>0</v>
      </c>
      <c r="L241" t="n">
        <v>0</v>
      </c>
      <c r="M241" t="n">
        <v>0</v>
      </c>
      <c r="N241" t="n">
        <v>0</v>
      </c>
      <c r="O241" t="n">
        <v>3</v>
      </c>
      <c r="P241" t="n">
        <v>0</v>
      </c>
      <c r="Q241" t="n">
        <v>3</v>
      </c>
      <c r="R241" s="2" t="inlineStr">
        <is>
          <t>Gul dropplav
Rutskinn
Skuggorangelav</t>
        </is>
      </c>
      <c r="S241">
        <f>HYPERLINK("https://klasma.github.io/Logging_0380/artfynd/A 6044-2024 artfynd.xlsx", "A 6044-2024")</f>
        <v/>
      </c>
      <c r="T241">
        <f>HYPERLINK("https://klasma.github.io/Logging_0380/kartor/A 6044-2024 karta.png", "A 6044-2024")</f>
        <v/>
      </c>
      <c r="V241">
        <f>HYPERLINK("https://klasma.github.io/Logging_0380/klagomål/A 6044-2024 FSC-klagomål.docx", "A 6044-2024")</f>
        <v/>
      </c>
      <c r="W241">
        <f>HYPERLINK("https://klasma.github.io/Logging_0380/klagomålsmail/A 6044-2024 FSC-klagomål mail.docx", "A 6044-2024")</f>
        <v/>
      </c>
      <c r="X241">
        <f>HYPERLINK("https://klasma.github.io/Logging_0380/tillsyn/A 6044-2024 tillsynsbegäran.docx", "A 6044-2024")</f>
        <v/>
      </c>
      <c r="Y241">
        <f>HYPERLINK("https://klasma.github.io/Logging_0380/tillsynsmail/A 6044-2024 tillsynsbegäran mail.docx", "A 6044-2024")</f>
        <v/>
      </c>
    </row>
    <row r="242" ht="15" customHeight="1">
      <c r="A242" t="inlineStr">
        <is>
          <t>A 7309-2023</t>
        </is>
      </c>
      <c r="B242" s="1" t="n">
        <v>44970</v>
      </c>
      <c r="C242" s="1" t="n">
        <v>46098</v>
      </c>
      <c r="D242" t="inlineStr">
        <is>
          <t>UPPSALA LÄN</t>
        </is>
      </c>
      <c r="E242" t="inlineStr">
        <is>
          <t>TIERP</t>
        </is>
      </c>
      <c r="F242" t="inlineStr">
        <is>
          <t>Bergvik skog öst AB</t>
        </is>
      </c>
      <c r="G242" t="n">
        <v>13.7</v>
      </c>
      <c r="H242" t="n">
        <v>3</v>
      </c>
      <c r="I242" t="n">
        <v>1</v>
      </c>
      <c r="J242" t="n">
        <v>0</v>
      </c>
      <c r="K242" t="n">
        <v>0</v>
      </c>
      <c r="L242" t="n">
        <v>0</v>
      </c>
      <c r="M242" t="n">
        <v>0</v>
      </c>
      <c r="N242" t="n">
        <v>0</v>
      </c>
      <c r="O242" t="n">
        <v>0</v>
      </c>
      <c r="P242" t="n">
        <v>0</v>
      </c>
      <c r="Q242" t="n">
        <v>3</v>
      </c>
      <c r="R242" s="2" t="inlineStr">
        <is>
          <t>Skogsknipprot
Blåsippa
Revlummer</t>
        </is>
      </c>
      <c r="S242">
        <f>HYPERLINK("https://klasma.github.io/Logging_0360/artfynd/A 7309-2023 artfynd.xlsx", "A 7309-2023")</f>
        <v/>
      </c>
      <c r="T242">
        <f>HYPERLINK("https://klasma.github.io/Logging_0360/kartor/A 7309-2023 karta.png", "A 7309-2023")</f>
        <v/>
      </c>
      <c r="V242">
        <f>HYPERLINK("https://klasma.github.io/Logging_0360/klagomål/A 7309-2023 FSC-klagomål.docx", "A 7309-2023")</f>
        <v/>
      </c>
      <c r="W242">
        <f>HYPERLINK("https://klasma.github.io/Logging_0360/klagomålsmail/A 7309-2023 FSC-klagomål mail.docx", "A 7309-2023")</f>
        <v/>
      </c>
      <c r="X242">
        <f>HYPERLINK("https://klasma.github.io/Logging_0360/tillsyn/A 7309-2023 tillsynsbegäran.docx", "A 7309-2023")</f>
        <v/>
      </c>
      <c r="Y242">
        <f>HYPERLINK("https://klasma.github.io/Logging_0360/tillsynsmail/A 7309-2023 tillsynsbegäran mail.docx", "A 7309-2023")</f>
        <v/>
      </c>
    </row>
    <row r="243" ht="15" customHeight="1">
      <c r="A243" t="inlineStr">
        <is>
          <t>A 47653-2024</t>
        </is>
      </c>
      <c r="B243" s="1" t="n">
        <v>45588</v>
      </c>
      <c r="C243" s="1" t="n">
        <v>46098</v>
      </c>
      <c r="D243" t="inlineStr">
        <is>
          <t>UPPSALA LÄN</t>
        </is>
      </c>
      <c r="E243" t="inlineStr">
        <is>
          <t>HÅBO</t>
        </is>
      </c>
      <c r="G243" t="n">
        <v>3</v>
      </c>
      <c r="H243" t="n">
        <v>2</v>
      </c>
      <c r="I243" t="n">
        <v>1</v>
      </c>
      <c r="J243" t="n">
        <v>1</v>
      </c>
      <c r="K243" t="n">
        <v>0</v>
      </c>
      <c r="L243" t="n">
        <v>0</v>
      </c>
      <c r="M243" t="n">
        <v>0</v>
      </c>
      <c r="N243" t="n">
        <v>0</v>
      </c>
      <c r="O243" t="n">
        <v>1</v>
      </c>
      <c r="P243" t="n">
        <v>0</v>
      </c>
      <c r="Q243" t="n">
        <v>3</v>
      </c>
      <c r="R243" s="2" t="inlineStr">
        <is>
          <t>Backklöver
Nästrot
Blåsippa</t>
        </is>
      </c>
      <c r="S243">
        <f>HYPERLINK("https://klasma.github.io/Logging_0305/artfynd/A 47653-2024 artfynd.xlsx", "A 47653-2024")</f>
        <v/>
      </c>
      <c r="T243">
        <f>HYPERLINK("https://klasma.github.io/Logging_0305/kartor/A 47653-2024 karta.png", "A 47653-2024")</f>
        <v/>
      </c>
      <c r="V243">
        <f>HYPERLINK("https://klasma.github.io/Logging_0305/klagomål/A 47653-2024 FSC-klagomål.docx", "A 47653-2024")</f>
        <v/>
      </c>
      <c r="W243">
        <f>HYPERLINK("https://klasma.github.io/Logging_0305/klagomålsmail/A 47653-2024 FSC-klagomål mail.docx", "A 47653-2024")</f>
        <v/>
      </c>
      <c r="X243">
        <f>HYPERLINK("https://klasma.github.io/Logging_0305/tillsyn/A 47653-2024 tillsynsbegäran.docx", "A 47653-2024")</f>
        <v/>
      </c>
      <c r="Y243">
        <f>HYPERLINK("https://klasma.github.io/Logging_0305/tillsynsmail/A 47653-2024 tillsynsbegäran mail.docx", "A 47653-2024")</f>
        <v/>
      </c>
    </row>
    <row r="244" ht="15" customHeight="1">
      <c r="A244" t="inlineStr">
        <is>
          <t>A 36471-2022</t>
        </is>
      </c>
      <c r="B244" s="1" t="n">
        <v>44804</v>
      </c>
      <c r="C244" s="1" t="n">
        <v>46098</v>
      </c>
      <c r="D244" t="inlineStr">
        <is>
          <t>UPPSALA LÄN</t>
        </is>
      </c>
      <c r="E244" t="inlineStr">
        <is>
          <t>UPPSALA</t>
        </is>
      </c>
      <c r="G244" t="n">
        <v>4.2</v>
      </c>
      <c r="H244" t="n">
        <v>0</v>
      </c>
      <c r="I244" t="n">
        <v>3</v>
      </c>
      <c r="J244" t="n">
        <v>0</v>
      </c>
      <c r="K244" t="n">
        <v>0</v>
      </c>
      <c r="L244" t="n">
        <v>0</v>
      </c>
      <c r="M244" t="n">
        <v>0</v>
      </c>
      <c r="N244" t="n">
        <v>0</v>
      </c>
      <c r="O244" t="n">
        <v>0</v>
      </c>
      <c r="P244" t="n">
        <v>0</v>
      </c>
      <c r="Q244" t="n">
        <v>3</v>
      </c>
      <c r="R244" s="2" t="inlineStr">
        <is>
          <t>Bronshjon
Spindelbock
Stor aspticka</t>
        </is>
      </c>
      <c r="S244">
        <f>HYPERLINK("https://klasma.github.io/Logging_0380/artfynd/A 36471-2022 artfynd.xlsx", "A 36471-2022")</f>
        <v/>
      </c>
      <c r="T244">
        <f>HYPERLINK("https://klasma.github.io/Logging_0380/kartor/A 36471-2022 karta.png", "A 36471-2022")</f>
        <v/>
      </c>
      <c r="V244">
        <f>HYPERLINK("https://klasma.github.io/Logging_0380/klagomål/A 36471-2022 FSC-klagomål.docx", "A 36471-2022")</f>
        <v/>
      </c>
      <c r="W244">
        <f>HYPERLINK("https://klasma.github.io/Logging_0380/klagomålsmail/A 36471-2022 FSC-klagomål mail.docx", "A 36471-2022")</f>
        <v/>
      </c>
      <c r="X244">
        <f>HYPERLINK("https://klasma.github.io/Logging_0380/tillsyn/A 36471-2022 tillsynsbegäran.docx", "A 36471-2022")</f>
        <v/>
      </c>
      <c r="Y244">
        <f>HYPERLINK("https://klasma.github.io/Logging_0380/tillsynsmail/A 36471-2022 tillsynsbegäran mail.docx", "A 36471-2022")</f>
        <v/>
      </c>
    </row>
    <row r="245" ht="15" customHeight="1">
      <c r="A245" t="inlineStr">
        <is>
          <t>A 26557-2022</t>
        </is>
      </c>
      <c r="B245" s="1" t="n">
        <v>44739</v>
      </c>
      <c r="C245" s="1" t="n">
        <v>46098</v>
      </c>
      <c r="D245" t="inlineStr">
        <is>
          <t>UPPSALA LÄN</t>
        </is>
      </c>
      <c r="E245" t="inlineStr">
        <is>
          <t>ÖSTHAMMAR</t>
        </is>
      </c>
      <c r="F245" t="inlineStr">
        <is>
          <t>Övriga statliga verk och myndigheter</t>
        </is>
      </c>
      <c r="G245" t="n">
        <v>1.7</v>
      </c>
      <c r="H245" t="n">
        <v>3</v>
      </c>
      <c r="I245" t="n">
        <v>0</v>
      </c>
      <c r="J245" t="n">
        <v>3</v>
      </c>
      <c r="K245" t="n">
        <v>0</v>
      </c>
      <c r="L245" t="n">
        <v>0</v>
      </c>
      <c r="M245" t="n">
        <v>0</v>
      </c>
      <c r="N245" t="n">
        <v>0</v>
      </c>
      <c r="O245" t="n">
        <v>3</v>
      </c>
      <c r="P245" t="n">
        <v>0</v>
      </c>
      <c r="Q245" t="n">
        <v>3</v>
      </c>
      <c r="R245" s="2" t="inlineStr">
        <is>
          <t>Järpe
Mindre hackspett
Spillkråka</t>
        </is>
      </c>
      <c r="S245">
        <f>HYPERLINK("https://klasma.github.io/Logging_0382/artfynd/A 26557-2022 artfynd.xlsx", "A 26557-2022")</f>
        <v/>
      </c>
      <c r="T245">
        <f>HYPERLINK("https://klasma.github.io/Logging_0382/kartor/A 26557-2022 karta.png", "A 26557-2022")</f>
        <v/>
      </c>
      <c r="V245">
        <f>HYPERLINK("https://klasma.github.io/Logging_0382/klagomål/A 26557-2022 FSC-klagomål.docx", "A 26557-2022")</f>
        <v/>
      </c>
      <c r="W245">
        <f>HYPERLINK("https://klasma.github.io/Logging_0382/klagomålsmail/A 26557-2022 FSC-klagomål mail.docx", "A 26557-2022")</f>
        <v/>
      </c>
      <c r="X245">
        <f>HYPERLINK("https://klasma.github.io/Logging_0382/tillsyn/A 26557-2022 tillsynsbegäran.docx", "A 26557-2022")</f>
        <v/>
      </c>
      <c r="Y245">
        <f>HYPERLINK("https://klasma.github.io/Logging_0382/tillsynsmail/A 26557-2022 tillsynsbegäran mail.docx", "A 26557-2022")</f>
        <v/>
      </c>
      <c r="Z245">
        <f>HYPERLINK("https://klasma.github.io/Logging_0382/fåglar/A 26557-2022 prioriterade fågelarter.docx", "A 26557-2022")</f>
        <v/>
      </c>
    </row>
    <row r="246" ht="15" customHeight="1">
      <c r="A246" t="inlineStr">
        <is>
          <t>A 34798-2024</t>
        </is>
      </c>
      <c r="B246" s="1" t="n">
        <v>45526</v>
      </c>
      <c r="C246" s="1" t="n">
        <v>46098</v>
      </c>
      <c r="D246" t="inlineStr">
        <is>
          <t>UPPSALA LÄN</t>
        </is>
      </c>
      <c r="E246" t="inlineStr">
        <is>
          <t>ÄLVKARLEBY</t>
        </is>
      </c>
      <c r="F246" t="inlineStr">
        <is>
          <t>Bergvik skog väst AB</t>
        </is>
      </c>
      <c r="G246" t="n">
        <v>13.8</v>
      </c>
      <c r="H246" t="n">
        <v>0</v>
      </c>
      <c r="I246" t="n">
        <v>3</v>
      </c>
      <c r="J246" t="n">
        <v>0</v>
      </c>
      <c r="K246" t="n">
        <v>0</v>
      </c>
      <c r="L246" t="n">
        <v>0</v>
      </c>
      <c r="M246" t="n">
        <v>0</v>
      </c>
      <c r="N246" t="n">
        <v>0</v>
      </c>
      <c r="O246" t="n">
        <v>0</v>
      </c>
      <c r="P246" t="n">
        <v>0</v>
      </c>
      <c r="Q246" t="n">
        <v>3</v>
      </c>
      <c r="R246" s="2" t="inlineStr">
        <is>
          <t>Rödgul trumpetsvamp
Tibast
Vätteros</t>
        </is>
      </c>
      <c r="S246">
        <f>HYPERLINK("https://klasma.github.io/Logging_0319/artfynd/A 34798-2024 artfynd.xlsx", "A 34798-2024")</f>
        <v/>
      </c>
      <c r="T246">
        <f>HYPERLINK("https://klasma.github.io/Logging_0319/kartor/A 34798-2024 karta.png", "A 34798-2024")</f>
        <v/>
      </c>
      <c r="V246">
        <f>HYPERLINK("https://klasma.github.io/Logging_0319/klagomål/A 34798-2024 FSC-klagomål.docx", "A 34798-2024")</f>
        <v/>
      </c>
      <c r="W246">
        <f>HYPERLINK("https://klasma.github.io/Logging_0319/klagomålsmail/A 34798-2024 FSC-klagomål mail.docx", "A 34798-2024")</f>
        <v/>
      </c>
      <c r="X246">
        <f>HYPERLINK("https://klasma.github.io/Logging_0319/tillsyn/A 34798-2024 tillsynsbegäran.docx", "A 34798-2024")</f>
        <v/>
      </c>
      <c r="Y246">
        <f>HYPERLINK("https://klasma.github.io/Logging_0319/tillsynsmail/A 34798-2024 tillsynsbegäran mail.docx", "A 34798-2024")</f>
        <v/>
      </c>
    </row>
    <row r="247" ht="15" customHeight="1">
      <c r="A247" t="inlineStr">
        <is>
          <t>A 4521-2024</t>
        </is>
      </c>
      <c r="B247" s="1" t="n">
        <v>45327</v>
      </c>
      <c r="C247" s="1" t="n">
        <v>46098</v>
      </c>
      <c r="D247" t="inlineStr">
        <is>
          <t>UPPSALA LÄN</t>
        </is>
      </c>
      <c r="E247" t="inlineStr">
        <is>
          <t>HÅBO</t>
        </is>
      </c>
      <c r="G247" t="n">
        <v>17.4</v>
      </c>
      <c r="H247" t="n">
        <v>1</v>
      </c>
      <c r="I247" t="n">
        <v>2</v>
      </c>
      <c r="J247" t="n">
        <v>1</v>
      </c>
      <c r="K247" t="n">
        <v>0</v>
      </c>
      <c r="L247" t="n">
        <v>0</v>
      </c>
      <c r="M247" t="n">
        <v>0</v>
      </c>
      <c r="N247" t="n">
        <v>0</v>
      </c>
      <c r="O247" t="n">
        <v>1</v>
      </c>
      <c r="P247" t="n">
        <v>0</v>
      </c>
      <c r="Q247" t="n">
        <v>3</v>
      </c>
      <c r="R247" s="2" t="inlineStr">
        <is>
          <t>Talltita
Bronshjon
Fjällig taggsvamp s.str.</t>
        </is>
      </c>
      <c r="S247">
        <f>HYPERLINK("https://klasma.github.io/Logging_0305/artfynd/A 4521-2024 artfynd.xlsx", "A 4521-2024")</f>
        <v/>
      </c>
      <c r="T247">
        <f>HYPERLINK("https://klasma.github.io/Logging_0305/kartor/A 4521-2024 karta.png", "A 4521-2024")</f>
        <v/>
      </c>
      <c r="V247">
        <f>HYPERLINK("https://klasma.github.io/Logging_0305/klagomål/A 4521-2024 FSC-klagomål.docx", "A 4521-2024")</f>
        <v/>
      </c>
      <c r="W247">
        <f>HYPERLINK("https://klasma.github.io/Logging_0305/klagomålsmail/A 4521-2024 FSC-klagomål mail.docx", "A 4521-2024")</f>
        <v/>
      </c>
      <c r="X247">
        <f>HYPERLINK("https://klasma.github.io/Logging_0305/tillsyn/A 4521-2024 tillsynsbegäran.docx", "A 4521-2024")</f>
        <v/>
      </c>
      <c r="Y247">
        <f>HYPERLINK("https://klasma.github.io/Logging_0305/tillsynsmail/A 4521-2024 tillsynsbegäran mail.docx", "A 4521-2024")</f>
        <v/>
      </c>
      <c r="Z247">
        <f>HYPERLINK("https://klasma.github.io/Logging_0305/fåglar/A 4521-2024 prioriterade fågelarter.docx", "A 4521-2024")</f>
        <v/>
      </c>
    </row>
    <row r="248" ht="15" customHeight="1">
      <c r="A248" t="inlineStr">
        <is>
          <t>A 14093-2022</t>
        </is>
      </c>
      <c r="B248" s="1" t="n">
        <v>44651</v>
      </c>
      <c r="C248" s="1" t="n">
        <v>46098</v>
      </c>
      <c r="D248" t="inlineStr">
        <is>
          <t>UPPSALA LÄN</t>
        </is>
      </c>
      <c r="E248" t="inlineStr">
        <is>
          <t>TIERP</t>
        </is>
      </c>
      <c r="F248" t="inlineStr">
        <is>
          <t>Bergvik skog öst AB</t>
        </is>
      </c>
      <c r="G248" t="n">
        <v>3.9</v>
      </c>
      <c r="H248" t="n">
        <v>0</v>
      </c>
      <c r="I248" t="n">
        <v>2</v>
      </c>
      <c r="J248" t="n">
        <v>0</v>
      </c>
      <c r="K248" t="n">
        <v>0</v>
      </c>
      <c r="L248" t="n">
        <v>0</v>
      </c>
      <c r="M248" t="n">
        <v>0</v>
      </c>
      <c r="N248" t="n">
        <v>0</v>
      </c>
      <c r="O248" t="n">
        <v>0</v>
      </c>
      <c r="P248" t="n">
        <v>0</v>
      </c>
      <c r="Q248" t="n">
        <v>2</v>
      </c>
      <c r="R248" s="2" t="inlineStr">
        <is>
          <t>Björksplintborre
Jättesvampmal</t>
        </is>
      </c>
      <c r="S248">
        <f>HYPERLINK("https://klasma.github.io/Logging_0360/artfynd/A 14093-2022 artfynd.xlsx", "A 14093-2022")</f>
        <v/>
      </c>
      <c r="T248">
        <f>HYPERLINK("https://klasma.github.io/Logging_0360/kartor/A 14093-2022 karta.png", "A 14093-2022")</f>
        <v/>
      </c>
      <c r="V248">
        <f>HYPERLINK("https://klasma.github.io/Logging_0360/klagomål/A 14093-2022 FSC-klagomål.docx", "A 14093-2022")</f>
        <v/>
      </c>
      <c r="W248">
        <f>HYPERLINK("https://klasma.github.io/Logging_0360/klagomålsmail/A 14093-2022 FSC-klagomål mail.docx", "A 14093-2022")</f>
        <v/>
      </c>
      <c r="X248">
        <f>HYPERLINK("https://klasma.github.io/Logging_0360/tillsyn/A 14093-2022 tillsynsbegäran.docx", "A 14093-2022")</f>
        <v/>
      </c>
      <c r="Y248">
        <f>HYPERLINK("https://klasma.github.io/Logging_0360/tillsynsmail/A 14093-2022 tillsynsbegäran mail.docx", "A 14093-2022")</f>
        <v/>
      </c>
    </row>
    <row r="249" ht="15" customHeight="1">
      <c r="A249" t="inlineStr">
        <is>
          <t>A 34150-2021</t>
        </is>
      </c>
      <c r="B249" s="1" t="n">
        <v>44379</v>
      </c>
      <c r="C249" s="1" t="n">
        <v>46098</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60078-2021</t>
        </is>
      </c>
      <c r="B250" s="1" t="n">
        <v>44495</v>
      </c>
      <c r="C250" s="1" t="n">
        <v>46098</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65165-2021</t>
        </is>
      </c>
      <c r="B251" s="1" t="n">
        <v>44515.45704861111</v>
      </c>
      <c r="C251" s="1" t="n">
        <v>46098</v>
      </c>
      <c r="D251" t="inlineStr">
        <is>
          <t>UPPSALA LÄN</t>
        </is>
      </c>
      <c r="E251" t="inlineStr">
        <is>
          <t>ÖSTHAMMAR</t>
        </is>
      </c>
      <c r="F251" t="inlineStr">
        <is>
          <t>Sveaskog</t>
        </is>
      </c>
      <c r="G251" t="n">
        <v>2.8</v>
      </c>
      <c r="H251" t="n">
        <v>1</v>
      </c>
      <c r="I251" t="n">
        <v>0</v>
      </c>
      <c r="J251" t="n">
        <v>2</v>
      </c>
      <c r="K251" t="n">
        <v>0</v>
      </c>
      <c r="L251" t="n">
        <v>0</v>
      </c>
      <c r="M251" t="n">
        <v>0</v>
      </c>
      <c r="N251" t="n">
        <v>0</v>
      </c>
      <c r="O251" t="n">
        <v>2</v>
      </c>
      <c r="P251" t="n">
        <v>0</v>
      </c>
      <c r="Q251" t="n">
        <v>2</v>
      </c>
      <c r="R251" s="2" t="inlineStr">
        <is>
          <t>Spillkråka
Vedtrappmossa</t>
        </is>
      </c>
      <c r="S251">
        <f>HYPERLINK("https://klasma.github.io/Logging_0382/artfynd/A 65165-2021 artfynd.xlsx", "A 65165-2021")</f>
        <v/>
      </c>
      <c r="T251">
        <f>HYPERLINK("https://klasma.github.io/Logging_0382/kartor/A 65165-2021 karta.png", "A 65165-2021")</f>
        <v/>
      </c>
      <c r="U251">
        <f>HYPERLINK("https://klasma.github.io/Logging_0382/knärot/A 65165-2021 karta knärot.png", "A 65165-2021")</f>
        <v/>
      </c>
      <c r="V251">
        <f>HYPERLINK("https://klasma.github.io/Logging_0382/klagomål/A 65165-2021 FSC-klagomål.docx", "A 65165-2021")</f>
        <v/>
      </c>
      <c r="W251">
        <f>HYPERLINK("https://klasma.github.io/Logging_0382/klagomålsmail/A 65165-2021 FSC-klagomål mail.docx", "A 65165-2021")</f>
        <v/>
      </c>
      <c r="X251">
        <f>HYPERLINK("https://klasma.github.io/Logging_0382/tillsyn/A 65165-2021 tillsynsbegäran.docx", "A 65165-2021")</f>
        <v/>
      </c>
      <c r="Y251">
        <f>HYPERLINK("https://klasma.github.io/Logging_0382/tillsynsmail/A 65165-2021 tillsynsbegäran mail.docx", "A 65165-2021")</f>
        <v/>
      </c>
      <c r="Z251">
        <f>HYPERLINK("https://klasma.github.io/Logging_0382/fåglar/A 65165-2021 prioriterade fågelarter.docx", "A 65165-2021")</f>
        <v/>
      </c>
    </row>
    <row r="252" ht="15" customHeight="1">
      <c r="A252" t="inlineStr">
        <is>
          <t>A 32064-2022</t>
        </is>
      </c>
      <c r="B252" s="1" t="n">
        <v>44778</v>
      </c>
      <c r="C252" s="1" t="n">
        <v>46098</v>
      </c>
      <c r="D252" t="inlineStr">
        <is>
          <t>UPPSALA LÄN</t>
        </is>
      </c>
      <c r="E252" t="inlineStr">
        <is>
          <t>ÖSTHAMMAR</t>
        </is>
      </c>
      <c r="G252" t="n">
        <v>2.2</v>
      </c>
      <c r="H252" t="n">
        <v>0</v>
      </c>
      <c r="I252" t="n">
        <v>1</v>
      </c>
      <c r="J252" t="n">
        <v>0</v>
      </c>
      <c r="K252" t="n">
        <v>1</v>
      </c>
      <c r="L252" t="n">
        <v>0</v>
      </c>
      <c r="M252" t="n">
        <v>0</v>
      </c>
      <c r="N252" t="n">
        <v>0</v>
      </c>
      <c r="O252" t="n">
        <v>1</v>
      </c>
      <c r="P252" t="n">
        <v>1</v>
      </c>
      <c r="Q252" t="n">
        <v>2</v>
      </c>
      <c r="R252" s="2" t="inlineStr">
        <is>
          <t>Gul lammticka
Olivspindling</t>
        </is>
      </c>
      <c r="S252">
        <f>HYPERLINK("https://klasma.github.io/Logging_0382/artfynd/A 32064-2022 artfynd.xlsx", "A 32064-2022")</f>
        <v/>
      </c>
      <c r="T252">
        <f>HYPERLINK("https://klasma.github.io/Logging_0382/kartor/A 32064-2022 karta.png", "A 32064-2022")</f>
        <v/>
      </c>
      <c r="V252">
        <f>HYPERLINK("https://klasma.github.io/Logging_0382/klagomål/A 32064-2022 FSC-klagomål.docx", "A 32064-2022")</f>
        <v/>
      </c>
      <c r="W252">
        <f>HYPERLINK("https://klasma.github.io/Logging_0382/klagomålsmail/A 32064-2022 FSC-klagomål mail.docx", "A 32064-2022")</f>
        <v/>
      </c>
      <c r="X252">
        <f>HYPERLINK("https://klasma.github.io/Logging_0382/tillsyn/A 32064-2022 tillsynsbegäran.docx", "A 32064-2022")</f>
        <v/>
      </c>
      <c r="Y252">
        <f>HYPERLINK("https://klasma.github.io/Logging_0382/tillsynsmail/A 32064-2022 tillsynsbegäran mail.docx", "A 32064-2022")</f>
        <v/>
      </c>
    </row>
    <row r="253" ht="15" customHeight="1">
      <c r="A253" t="inlineStr">
        <is>
          <t>A 17074-2022</t>
        </is>
      </c>
      <c r="B253" s="1" t="n">
        <v>44677</v>
      </c>
      <c r="C253" s="1" t="n">
        <v>46098</v>
      </c>
      <c r="D253" t="inlineStr">
        <is>
          <t>UPPSALA LÄN</t>
        </is>
      </c>
      <c r="E253" t="inlineStr">
        <is>
          <t>TIERP</t>
        </is>
      </c>
      <c r="G253" t="n">
        <v>3.6</v>
      </c>
      <c r="H253" t="n">
        <v>2</v>
      </c>
      <c r="I253" t="n">
        <v>1</v>
      </c>
      <c r="J253" t="n">
        <v>0</v>
      </c>
      <c r="K253" t="n">
        <v>0</v>
      </c>
      <c r="L253" t="n">
        <v>0</v>
      </c>
      <c r="M253" t="n">
        <v>0</v>
      </c>
      <c r="N253" t="n">
        <v>0</v>
      </c>
      <c r="O253" t="n">
        <v>0</v>
      </c>
      <c r="P253" t="n">
        <v>0</v>
      </c>
      <c r="Q253" t="n">
        <v>2</v>
      </c>
      <c r="R253" s="2" t="inlineStr">
        <is>
          <t>Tvåblad
Fläcknycklar</t>
        </is>
      </c>
      <c r="S253">
        <f>HYPERLINK("https://klasma.github.io/Logging_0360/artfynd/A 17074-2022 artfynd.xlsx", "A 17074-2022")</f>
        <v/>
      </c>
      <c r="T253">
        <f>HYPERLINK("https://klasma.github.io/Logging_0360/kartor/A 17074-2022 karta.png", "A 17074-2022")</f>
        <v/>
      </c>
      <c r="V253">
        <f>HYPERLINK("https://klasma.github.io/Logging_0360/klagomål/A 17074-2022 FSC-klagomål.docx", "A 17074-2022")</f>
        <v/>
      </c>
      <c r="W253">
        <f>HYPERLINK("https://klasma.github.io/Logging_0360/klagomålsmail/A 17074-2022 FSC-klagomål mail.docx", "A 17074-2022")</f>
        <v/>
      </c>
      <c r="X253">
        <f>HYPERLINK("https://klasma.github.io/Logging_0360/tillsyn/A 17074-2022 tillsynsbegäran.docx", "A 17074-2022")</f>
        <v/>
      </c>
      <c r="Y253">
        <f>HYPERLINK("https://klasma.github.io/Logging_0360/tillsynsmail/A 17074-2022 tillsynsbegäran mail.docx", "A 17074-2022")</f>
        <v/>
      </c>
    </row>
    <row r="254" ht="15" customHeight="1">
      <c r="A254" t="inlineStr">
        <is>
          <t>A 48687-2023</t>
        </is>
      </c>
      <c r="B254" s="1" t="n">
        <v>45208</v>
      </c>
      <c r="C254" s="1" t="n">
        <v>46098</v>
      </c>
      <c r="D254" t="inlineStr">
        <is>
          <t>UPPSALA LÄN</t>
        </is>
      </c>
      <c r="E254" t="inlineStr">
        <is>
          <t>TIERP</t>
        </is>
      </c>
      <c r="F254" t="inlineStr">
        <is>
          <t>Bergvik skog öst AB</t>
        </is>
      </c>
      <c r="G254" t="n">
        <v>2.6</v>
      </c>
      <c r="H254" t="n">
        <v>1</v>
      </c>
      <c r="I254" t="n">
        <v>0</v>
      </c>
      <c r="J254" t="n">
        <v>2</v>
      </c>
      <c r="K254" t="n">
        <v>0</v>
      </c>
      <c r="L254" t="n">
        <v>0</v>
      </c>
      <c r="M254" t="n">
        <v>0</v>
      </c>
      <c r="N254" t="n">
        <v>0</v>
      </c>
      <c r="O254" t="n">
        <v>2</v>
      </c>
      <c r="P254" t="n">
        <v>0</v>
      </c>
      <c r="Q254" t="n">
        <v>2</v>
      </c>
      <c r="R254" s="2" t="inlineStr">
        <is>
          <t>Gulsparv
Klasefibbla</t>
        </is>
      </c>
      <c r="S254">
        <f>HYPERLINK("https://klasma.github.io/Logging_0360/artfynd/A 48687-2023 artfynd.xlsx", "A 48687-2023")</f>
        <v/>
      </c>
      <c r="T254">
        <f>HYPERLINK("https://klasma.github.io/Logging_0360/kartor/A 48687-2023 karta.png", "A 48687-2023")</f>
        <v/>
      </c>
      <c r="V254">
        <f>HYPERLINK("https://klasma.github.io/Logging_0360/klagomål/A 48687-2023 FSC-klagomål.docx", "A 48687-2023")</f>
        <v/>
      </c>
      <c r="W254">
        <f>HYPERLINK("https://klasma.github.io/Logging_0360/klagomålsmail/A 48687-2023 FSC-klagomål mail.docx", "A 48687-2023")</f>
        <v/>
      </c>
      <c r="X254">
        <f>HYPERLINK("https://klasma.github.io/Logging_0360/tillsyn/A 48687-2023 tillsynsbegäran.docx", "A 48687-2023")</f>
        <v/>
      </c>
      <c r="Y254">
        <f>HYPERLINK("https://klasma.github.io/Logging_0360/tillsynsmail/A 48687-2023 tillsynsbegäran mail.docx", "A 48687-2023")</f>
        <v/>
      </c>
      <c r="Z254">
        <f>HYPERLINK("https://klasma.github.io/Logging_0360/fåglar/A 48687-2023 prioriterade fågelarter.docx", "A 48687-2023")</f>
        <v/>
      </c>
    </row>
    <row r="255" ht="15" customHeight="1">
      <c r="A255" t="inlineStr">
        <is>
          <t>A 52092-2022</t>
        </is>
      </c>
      <c r="B255" s="1" t="n">
        <v>44873</v>
      </c>
      <c r="C255" s="1" t="n">
        <v>46098</v>
      </c>
      <c r="D255" t="inlineStr">
        <is>
          <t>UPPSALA LÄN</t>
        </is>
      </c>
      <c r="E255" t="inlineStr">
        <is>
          <t>ENKÖPING</t>
        </is>
      </c>
      <c r="G255" t="n">
        <v>2.4</v>
      </c>
      <c r="H255" t="n">
        <v>1</v>
      </c>
      <c r="I255" t="n">
        <v>0</v>
      </c>
      <c r="J255" t="n">
        <v>1</v>
      </c>
      <c r="K255" t="n">
        <v>1</v>
      </c>
      <c r="L255" t="n">
        <v>0</v>
      </c>
      <c r="M255" t="n">
        <v>0</v>
      </c>
      <c r="N255" t="n">
        <v>0</v>
      </c>
      <c r="O255" t="n">
        <v>2</v>
      </c>
      <c r="P255" t="n">
        <v>1</v>
      </c>
      <c r="Q255" t="n">
        <v>2</v>
      </c>
      <c r="R255" s="2" t="inlineStr">
        <is>
          <t>Bombmurkla
Fyrflikig jordstjärna</t>
        </is>
      </c>
      <c r="S255">
        <f>HYPERLINK("https://klasma.github.io/Logging_0381/artfynd/A 52092-2022 artfynd.xlsx", "A 52092-2022")</f>
        <v/>
      </c>
      <c r="T255">
        <f>HYPERLINK("https://klasma.github.io/Logging_0381/kartor/A 52092-2022 karta.png", "A 52092-2022")</f>
        <v/>
      </c>
      <c r="V255">
        <f>HYPERLINK("https://klasma.github.io/Logging_0381/klagomål/A 52092-2022 FSC-klagomål.docx", "A 52092-2022")</f>
        <v/>
      </c>
      <c r="W255">
        <f>HYPERLINK("https://klasma.github.io/Logging_0381/klagomålsmail/A 52092-2022 FSC-klagomål mail.docx", "A 52092-2022")</f>
        <v/>
      </c>
      <c r="X255">
        <f>HYPERLINK("https://klasma.github.io/Logging_0381/tillsyn/A 52092-2022 tillsynsbegäran.docx", "A 52092-2022")</f>
        <v/>
      </c>
      <c r="Y255">
        <f>HYPERLINK("https://klasma.github.io/Logging_0381/tillsynsmail/A 52092-2022 tillsynsbegäran mail.docx", "A 52092-2022")</f>
        <v/>
      </c>
    </row>
    <row r="256" ht="15" customHeight="1">
      <c r="A256" t="inlineStr">
        <is>
          <t>A 47504-2025</t>
        </is>
      </c>
      <c r="B256" s="1" t="n">
        <v>45930.8557175926</v>
      </c>
      <c r="C256" s="1" t="n">
        <v>46098</v>
      </c>
      <c r="D256" t="inlineStr">
        <is>
          <t>UPPSALA LÄN</t>
        </is>
      </c>
      <c r="E256" t="inlineStr">
        <is>
          <t>HEBY</t>
        </is>
      </c>
      <c r="G256" t="n">
        <v>5.7</v>
      </c>
      <c r="H256" t="n">
        <v>1</v>
      </c>
      <c r="I256" t="n">
        <v>1</v>
      </c>
      <c r="J256" t="n">
        <v>1</v>
      </c>
      <c r="K256" t="n">
        <v>0</v>
      </c>
      <c r="L256" t="n">
        <v>0</v>
      </c>
      <c r="M256" t="n">
        <v>0</v>
      </c>
      <c r="N256" t="n">
        <v>0</v>
      </c>
      <c r="O256" t="n">
        <v>1</v>
      </c>
      <c r="P256" t="n">
        <v>0</v>
      </c>
      <c r="Q256" t="n">
        <v>2</v>
      </c>
      <c r="R256" s="2" t="inlineStr">
        <is>
          <t>Motaggsvamp
Plattlummer</t>
        </is>
      </c>
      <c r="S256">
        <f>HYPERLINK("https://klasma.github.io/Logging_0331/artfynd/A 47504-2025 artfynd.xlsx", "A 47504-2025")</f>
        <v/>
      </c>
      <c r="T256">
        <f>HYPERLINK("https://klasma.github.io/Logging_0331/kartor/A 47504-2025 karta.png", "A 47504-2025")</f>
        <v/>
      </c>
      <c r="V256">
        <f>HYPERLINK("https://klasma.github.io/Logging_0331/klagomål/A 47504-2025 FSC-klagomål.docx", "A 47504-2025")</f>
        <v/>
      </c>
      <c r="W256">
        <f>HYPERLINK("https://klasma.github.io/Logging_0331/klagomålsmail/A 47504-2025 FSC-klagomål mail.docx", "A 47504-2025")</f>
        <v/>
      </c>
      <c r="X256">
        <f>HYPERLINK("https://klasma.github.io/Logging_0331/tillsyn/A 47504-2025 tillsynsbegäran.docx", "A 47504-2025")</f>
        <v/>
      </c>
      <c r="Y256">
        <f>HYPERLINK("https://klasma.github.io/Logging_0331/tillsynsmail/A 47504-2025 tillsynsbegäran mail.docx", "A 47504-2025")</f>
        <v/>
      </c>
    </row>
    <row r="257" ht="15" customHeight="1">
      <c r="A257" t="inlineStr">
        <is>
          <t>A 21607-2025</t>
        </is>
      </c>
      <c r="B257" s="1" t="n">
        <v>45783.38454861111</v>
      </c>
      <c r="C257" s="1" t="n">
        <v>46098</v>
      </c>
      <c r="D257" t="inlineStr">
        <is>
          <t>UPPSALA LÄN</t>
        </is>
      </c>
      <c r="E257" t="inlineStr">
        <is>
          <t>TIERP</t>
        </is>
      </c>
      <c r="F257" t="inlineStr">
        <is>
          <t>Bergvik skog öst AB</t>
        </is>
      </c>
      <c r="G257" t="n">
        <v>6.8</v>
      </c>
      <c r="H257" t="n">
        <v>1</v>
      </c>
      <c r="I257" t="n">
        <v>1</v>
      </c>
      <c r="J257" t="n">
        <v>0</v>
      </c>
      <c r="K257" t="n">
        <v>0</v>
      </c>
      <c r="L257" t="n">
        <v>0</v>
      </c>
      <c r="M257" t="n">
        <v>0</v>
      </c>
      <c r="N257" t="n">
        <v>0</v>
      </c>
      <c r="O257" t="n">
        <v>0</v>
      </c>
      <c r="P257" t="n">
        <v>0</v>
      </c>
      <c r="Q257" t="n">
        <v>2</v>
      </c>
      <c r="R257" s="2" t="inlineStr">
        <is>
          <t>Vanlig rörsvepemossa
Revlummer</t>
        </is>
      </c>
      <c r="S257">
        <f>HYPERLINK("https://klasma.github.io/Logging_0360/artfynd/A 21607-2025 artfynd.xlsx", "A 21607-2025")</f>
        <v/>
      </c>
      <c r="T257">
        <f>HYPERLINK("https://klasma.github.io/Logging_0360/kartor/A 21607-2025 karta.png", "A 21607-2025")</f>
        <v/>
      </c>
      <c r="V257">
        <f>HYPERLINK("https://klasma.github.io/Logging_0360/klagomål/A 21607-2025 FSC-klagomål.docx", "A 21607-2025")</f>
        <v/>
      </c>
      <c r="W257">
        <f>HYPERLINK("https://klasma.github.io/Logging_0360/klagomålsmail/A 21607-2025 FSC-klagomål mail.docx", "A 21607-2025")</f>
        <v/>
      </c>
      <c r="X257">
        <f>HYPERLINK("https://klasma.github.io/Logging_0360/tillsyn/A 21607-2025 tillsynsbegäran.docx", "A 21607-2025")</f>
        <v/>
      </c>
      <c r="Y257">
        <f>HYPERLINK("https://klasma.github.io/Logging_0360/tillsynsmail/A 21607-2025 tillsynsbegäran mail.docx", "A 21607-2025")</f>
        <v/>
      </c>
    </row>
    <row r="258" ht="15" customHeight="1">
      <c r="A258" t="inlineStr">
        <is>
          <t>A 6998-2023</t>
        </is>
      </c>
      <c r="B258" s="1" t="n">
        <v>44967</v>
      </c>
      <c r="C258" s="1" t="n">
        <v>46098</v>
      </c>
      <c r="D258" t="inlineStr">
        <is>
          <t>UPPSALA LÄN</t>
        </is>
      </c>
      <c r="E258" t="inlineStr">
        <is>
          <t>UPPSALA</t>
        </is>
      </c>
      <c r="G258" t="n">
        <v>8.4</v>
      </c>
      <c r="H258" t="n">
        <v>2</v>
      </c>
      <c r="I258" t="n">
        <v>0</v>
      </c>
      <c r="J258" t="n">
        <v>0</v>
      </c>
      <c r="K258" t="n">
        <v>0</v>
      </c>
      <c r="L258" t="n">
        <v>0</v>
      </c>
      <c r="M258" t="n">
        <v>0</v>
      </c>
      <c r="N258" t="n">
        <v>0</v>
      </c>
      <c r="O258" t="n">
        <v>0</v>
      </c>
      <c r="P258" t="n">
        <v>0</v>
      </c>
      <c r="Q258" t="n">
        <v>2</v>
      </c>
      <c r="R258" s="2" t="inlineStr">
        <is>
          <t>Nattviol
Blåsippa</t>
        </is>
      </c>
      <c r="S258">
        <f>HYPERLINK("https://klasma.github.io/Logging_0380/artfynd/A 6998-2023 artfynd.xlsx", "A 6998-2023")</f>
        <v/>
      </c>
      <c r="T258">
        <f>HYPERLINK("https://klasma.github.io/Logging_0380/kartor/A 6998-2023 karta.png", "A 6998-2023")</f>
        <v/>
      </c>
      <c r="V258">
        <f>HYPERLINK("https://klasma.github.io/Logging_0380/klagomål/A 6998-2023 FSC-klagomål.docx", "A 6998-2023")</f>
        <v/>
      </c>
      <c r="W258">
        <f>HYPERLINK("https://klasma.github.io/Logging_0380/klagomålsmail/A 6998-2023 FSC-klagomål mail.docx", "A 6998-2023")</f>
        <v/>
      </c>
      <c r="X258">
        <f>HYPERLINK("https://klasma.github.io/Logging_0380/tillsyn/A 6998-2023 tillsynsbegäran.docx", "A 6998-2023")</f>
        <v/>
      </c>
      <c r="Y258">
        <f>HYPERLINK("https://klasma.github.io/Logging_0380/tillsynsmail/A 6998-2023 tillsynsbegäran mail.docx", "A 6998-2023")</f>
        <v/>
      </c>
    </row>
    <row r="259" ht="15" customHeight="1">
      <c r="A259" t="inlineStr">
        <is>
          <t>A 21970-2025</t>
        </is>
      </c>
      <c r="B259" s="1" t="n">
        <v>45784.63335648148</v>
      </c>
      <c r="C259" s="1" t="n">
        <v>46098</v>
      </c>
      <c r="D259" t="inlineStr">
        <is>
          <t>UPPSALA LÄN</t>
        </is>
      </c>
      <c r="E259" t="inlineStr">
        <is>
          <t>ENKÖPING</t>
        </is>
      </c>
      <c r="G259" t="n">
        <v>5.3</v>
      </c>
      <c r="H259" t="n">
        <v>1</v>
      </c>
      <c r="I259" t="n">
        <v>0</v>
      </c>
      <c r="J259" t="n">
        <v>1</v>
      </c>
      <c r="K259" t="n">
        <v>0</v>
      </c>
      <c r="L259" t="n">
        <v>0</v>
      </c>
      <c r="M259" t="n">
        <v>0</v>
      </c>
      <c r="N259" t="n">
        <v>0</v>
      </c>
      <c r="O259" t="n">
        <v>1</v>
      </c>
      <c r="P259" t="n">
        <v>0</v>
      </c>
      <c r="Q259" t="n">
        <v>2</v>
      </c>
      <c r="R259" s="2" t="inlineStr">
        <is>
          <t>Flattoppad klubbsvamp
Blåsippa</t>
        </is>
      </c>
      <c r="S259">
        <f>HYPERLINK("https://klasma.github.io/Logging_0381/artfynd/A 21970-2025 artfynd.xlsx", "A 21970-2025")</f>
        <v/>
      </c>
      <c r="T259">
        <f>HYPERLINK("https://klasma.github.io/Logging_0381/kartor/A 21970-2025 karta.png", "A 21970-2025")</f>
        <v/>
      </c>
      <c r="V259">
        <f>HYPERLINK("https://klasma.github.io/Logging_0381/klagomål/A 21970-2025 FSC-klagomål.docx", "A 21970-2025")</f>
        <v/>
      </c>
      <c r="W259">
        <f>HYPERLINK("https://klasma.github.io/Logging_0381/klagomålsmail/A 21970-2025 FSC-klagomål mail.docx", "A 21970-2025")</f>
        <v/>
      </c>
      <c r="X259">
        <f>HYPERLINK("https://klasma.github.io/Logging_0381/tillsyn/A 21970-2025 tillsynsbegäran.docx", "A 21970-2025")</f>
        <v/>
      </c>
      <c r="Y259">
        <f>HYPERLINK("https://klasma.github.io/Logging_0381/tillsynsmail/A 21970-2025 tillsynsbegäran mail.docx", "A 21970-2025")</f>
        <v/>
      </c>
    </row>
    <row r="260" ht="15" customHeight="1">
      <c r="A260" t="inlineStr">
        <is>
          <t>A 51201-2025</t>
        </is>
      </c>
      <c r="B260" s="1" t="n">
        <v>45947.63479166666</v>
      </c>
      <c r="C260" s="1" t="n">
        <v>46098</v>
      </c>
      <c r="D260" t="inlineStr">
        <is>
          <t>UPPSALA LÄN</t>
        </is>
      </c>
      <c r="E260" t="inlineStr">
        <is>
          <t>TIERP</t>
        </is>
      </c>
      <c r="G260" t="n">
        <v>0.8</v>
      </c>
      <c r="H260" t="n">
        <v>0</v>
      </c>
      <c r="I260" t="n">
        <v>1</v>
      </c>
      <c r="J260" t="n">
        <v>1</v>
      </c>
      <c r="K260" t="n">
        <v>0</v>
      </c>
      <c r="L260" t="n">
        <v>0</v>
      </c>
      <c r="M260" t="n">
        <v>0</v>
      </c>
      <c r="N260" t="n">
        <v>0</v>
      </c>
      <c r="O260" t="n">
        <v>1</v>
      </c>
      <c r="P260" t="n">
        <v>0</v>
      </c>
      <c r="Q260" t="n">
        <v>2</v>
      </c>
      <c r="R260" s="2" t="inlineStr">
        <is>
          <t>Äggspindling
Svavelriska</t>
        </is>
      </c>
      <c r="S260">
        <f>HYPERLINK("https://klasma.github.io/Logging_0360/artfynd/A 51201-2025 artfynd.xlsx", "A 51201-2025")</f>
        <v/>
      </c>
      <c r="T260">
        <f>HYPERLINK("https://klasma.github.io/Logging_0360/kartor/A 51201-2025 karta.png", "A 51201-2025")</f>
        <v/>
      </c>
      <c r="V260">
        <f>HYPERLINK("https://klasma.github.io/Logging_0360/klagomål/A 51201-2025 FSC-klagomål.docx", "A 51201-2025")</f>
        <v/>
      </c>
      <c r="W260">
        <f>HYPERLINK("https://klasma.github.io/Logging_0360/klagomålsmail/A 51201-2025 FSC-klagomål mail.docx", "A 51201-2025")</f>
        <v/>
      </c>
      <c r="X260">
        <f>HYPERLINK("https://klasma.github.io/Logging_0360/tillsyn/A 51201-2025 tillsynsbegäran.docx", "A 51201-2025")</f>
        <v/>
      </c>
      <c r="Y260">
        <f>HYPERLINK("https://klasma.github.io/Logging_0360/tillsynsmail/A 51201-2025 tillsynsbegäran mail.docx", "A 51201-2025")</f>
        <v/>
      </c>
    </row>
    <row r="261" ht="15" customHeight="1">
      <c r="A261" t="inlineStr">
        <is>
          <t>A 25013-2025</t>
        </is>
      </c>
      <c r="B261" s="1" t="n">
        <v>45799.62886574074</v>
      </c>
      <c r="C261" s="1" t="n">
        <v>46098</v>
      </c>
      <c r="D261" t="inlineStr">
        <is>
          <t>UPPSALA LÄN</t>
        </is>
      </c>
      <c r="E261" t="inlineStr">
        <is>
          <t>TIERP</t>
        </is>
      </c>
      <c r="G261" t="n">
        <v>0.5</v>
      </c>
      <c r="H261" t="n">
        <v>0</v>
      </c>
      <c r="I261" t="n">
        <v>1</v>
      </c>
      <c r="J261" t="n">
        <v>1</v>
      </c>
      <c r="K261" t="n">
        <v>0</v>
      </c>
      <c r="L261" t="n">
        <v>0</v>
      </c>
      <c r="M261" t="n">
        <v>0</v>
      </c>
      <c r="N261" t="n">
        <v>0</v>
      </c>
      <c r="O261" t="n">
        <v>1</v>
      </c>
      <c r="P261" t="n">
        <v>0</v>
      </c>
      <c r="Q261" t="n">
        <v>2</v>
      </c>
      <c r="R261" s="2" t="inlineStr">
        <is>
          <t>Gul taggsvamp
Rödgul trumpetsvamp</t>
        </is>
      </c>
      <c r="S261">
        <f>HYPERLINK("https://klasma.github.io/Logging_0360/artfynd/A 25013-2025 artfynd.xlsx", "A 25013-2025")</f>
        <v/>
      </c>
      <c r="T261">
        <f>HYPERLINK("https://klasma.github.io/Logging_0360/kartor/A 25013-2025 karta.png", "A 25013-2025")</f>
        <v/>
      </c>
      <c r="V261">
        <f>HYPERLINK("https://klasma.github.io/Logging_0360/klagomål/A 25013-2025 FSC-klagomål.docx", "A 25013-2025")</f>
        <v/>
      </c>
      <c r="W261">
        <f>HYPERLINK("https://klasma.github.io/Logging_0360/klagomålsmail/A 25013-2025 FSC-klagomål mail.docx", "A 25013-2025")</f>
        <v/>
      </c>
      <c r="X261">
        <f>HYPERLINK("https://klasma.github.io/Logging_0360/tillsyn/A 25013-2025 tillsynsbegäran.docx", "A 25013-2025")</f>
        <v/>
      </c>
      <c r="Y261">
        <f>HYPERLINK("https://klasma.github.io/Logging_0360/tillsynsmail/A 25013-2025 tillsynsbegäran mail.docx", "A 25013-2025")</f>
        <v/>
      </c>
    </row>
    <row r="262" ht="15" customHeight="1">
      <c r="A262" t="inlineStr">
        <is>
          <t>A 41606-2025</t>
        </is>
      </c>
      <c r="B262" s="1" t="n">
        <v>45901.66702546296</v>
      </c>
      <c r="C262" s="1" t="n">
        <v>46098</v>
      </c>
      <c r="D262" t="inlineStr">
        <is>
          <t>UPPSALA LÄN</t>
        </is>
      </c>
      <c r="E262" t="inlineStr">
        <is>
          <t>UPPSALA</t>
        </is>
      </c>
      <c r="G262" t="n">
        <v>5.1</v>
      </c>
      <c r="H262" t="n">
        <v>1</v>
      </c>
      <c r="I262" t="n">
        <v>1</v>
      </c>
      <c r="J262" t="n">
        <v>0</v>
      </c>
      <c r="K262" t="n">
        <v>0</v>
      </c>
      <c r="L262" t="n">
        <v>0</v>
      </c>
      <c r="M262" t="n">
        <v>0</v>
      </c>
      <c r="N262" t="n">
        <v>0</v>
      </c>
      <c r="O262" t="n">
        <v>0</v>
      </c>
      <c r="P262" t="n">
        <v>0</v>
      </c>
      <c r="Q262" t="n">
        <v>2</v>
      </c>
      <c r="R262" s="2" t="inlineStr">
        <is>
          <t>Granbräken
Lopplummer (aggregat)</t>
        </is>
      </c>
      <c r="S262">
        <f>HYPERLINK("https://klasma.github.io/Logging_0380/artfynd/A 41606-2025 artfynd.xlsx", "A 41606-2025")</f>
        <v/>
      </c>
      <c r="T262">
        <f>HYPERLINK("https://klasma.github.io/Logging_0380/kartor/A 41606-2025 karta.png", "A 41606-2025")</f>
        <v/>
      </c>
      <c r="V262">
        <f>HYPERLINK("https://klasma.github.io/Logging_0380/klagomål/A 41606-2025 FSC-klagomål.docx", "A 41606-2025")</f>
        <v/>
      </c>
      <c r="W262">
        <f>HYPERLINK("https://klasma.github.io/Logging_0380/klagomålsmail/A 41606-2025 FSC-klagomål mail.docx", "A 41606-2025")</f>
        <v/>
      </c>
      <c r="X262">
        <f>HYPERLINK("https://klasma.github.io/Logging_0380/tillsyn/A 41606-2025 tillsynsbegäran.docx", "A 41606-2025")</f>
        <v/>
      </c>
      <c r="Y262">
        <f>HYPERLINK("https://klasma.github.io/Logging_0380/tillsynsmail/A 41606-2025 tillsynsbegäran mail.docx", "A 41606-2025")</f>
        <v/>
      </c>
    </row>
    <row r="263" ht="15" customHeight="1">
      <c r="A263" t="inlineStr">
        <is>
          <t>A 41303-2025</t>
        </is>
      </c>
      <c r="B263" s="1" t="n">
        <v>45898.69215277778</v>
      </c>
      <c r="C263" s="1" t="n">
        <v>46098</v>
      </c>
      <c r="D263" t="inlineStr">
        <is>
          <t>UPPSALA LÄN</t>
        </is>
      </c>
      <c r="E263" t="inlineStr">
        <is>
          <t>ÖSTHAMMAR</t>
        </is>
      </c>
      <c r="G263" t="n">
        <v>10.1</v>
      </c>
      <c r="H263" t="n">
        <v>1</v>
      </c>
      <c r="I263" t="n">
        <v>1</v>
      </c>
      <c r="J263" t="n">
        <v>0</v>
      </c>
      <c r="K263" t="n">
        <v>0</v>
      </c>
      <c r="L263" t="n">
        <v>0</v>
      </c>
      <c r="M263" t="n">
        <v>0</v>
      </c>
      <c r="N263" t="n">
        <v>0</v>
      </c>
      <c r="O263" t="n">
        <v>0</v>
      </c>
      <c r="P263" t="n">
        <v>0</v>
      </c>
      <c r="Q263" t="n">
        <v>2</v>
      </c>
      <c r="R263" s="2" t="inlineStr">
        <is>
          <t>Svavelriska
Revlummer</t>
        </is>
      </c>
      <c r="S263">
        <f>HYPERLINK("https://klasma.github.io/Logging_0382/artfynd/A 41303-2025 artfynd.xlsx", "A 41303-2025")</f>
        <v/>
      </c>
      <c r="T263">
        <f>HYPERLINK("https://klasma.github.io/Logging_0382/kartor/A 41303-2025 karta.png", "A 41303-2025")</f>
        <v/>
      </c>
      <c r="V263">
        <f>HYPERLINK("https://klasma.github.io/Logging_0382/klagomål/A 41303-2025 FSC-klagomål.docx", "A 41303-2025")</f>
        <v/>
      </c>
      <c r="W263">
        <f>HYPERLINK("https://klasma.github.io/Logging_0382/klagomålsmail/A 41303-2025 FSC-klagomål mail.docx", "A 41303-2025")</f>
        <v/>
      </c>
      <c r="X263">
        <f>HYPERLINK("https://klasma.github.io/Logging_0382/tillsyn/A 41303-2025 tillsynsbegäran.docx", "A 41303-2025")</f>
        <v/>
      </c>
      <c r="Y263">
        <f>HYPERLINK("https://klasma.github.io/Logging_0382/tillsynsmail/A 41303-2025 tillsynsbegäran mail.docx", "A 41303-2025")</f>
        <v/>
      </c>
    </row>
    <row r="264" ht="15" customHeight="1">
      <c r="A264" t="inlineStr">
        <is>
          <t>A 53589-2025</t>
        </is>
      </c>
      <c r="B264" s="1" t="n">
        <v>45960.43780092592</v>
      </c>
      <c r="C264" s="1" t="n">
        <v>46098</v>
      </c>
      <c r="D264" t="inlineStr">
        <is>
          <t>UPPSALA LÄN</t>
        </is>
      </c>
      <c r="E264" t="inlineStr">
        <is>
          <t>UPPSALA</t>
        </is>
      </c>
      <c r="G264" t="n">
        <v>9.699999999999999</v>
      </c>
      <c r="H264" t="n">
        <v>1</v>
      </c>
      <c r="I264" t="n">
        <v>0</v>
      </c>
      <c r="J264" t="n">
        <v>2</v>
      </c>
      <c r="K264" t="n">
        <v>0</v>
      </c>
      <c r="L264" t="n">
        <v>0</v>
      </c>
      <c r="M264" t="n">
        <v>0</v>
      </c>
      <c r="N264" t="n">
        <v>0</v>
      </c>
      <c r="O264" t="n">
        <v>2</v>
      </c>
      <c r="P264" t="n">
        <v>0</v>
      </c>
      <c r="Q264" t="n">
        <v>2</v>
      </c>
      <c r="R264" s="2" t="inlineStr">
        <is>
          <t>Spillkråka
Vedtrappmossa</t>
        </is>
      </c>
      <c r="S264">
        <f>HYPERLINK("https://klasma.github.io/Logging_0380/artfynd/A 53589-2025 artfynd.xlsx", "A 53589-2025")</f>
        <v/>
      </c>
      <c r="T264">
        <f>HYPERLINK("https://klasma.github.io/Logging_0380/kartor/A 53589-2025 karta.png", "A 53589-2025")</f>
        <v/>
      </c>
      <c r="V264">
        <f>HYPERLINK("https://klasma.github.io/Logging_0380/klagomål/A 53589-2025 FSC-klagomål.docx", "A 53589-2025")</f>
        <v/>
      </c>
      <c r="W264">
        <f>HYPERLINK("https://klasma.github.io/Logging_0380/klagomålsmail/A 53589-2025 FSC-klagomål mail.docx", "A 53589-2025")</f>
        <v/>
      </c>
      <c r="X264">
        <f>HYPERLINK("https://klasma.github.io/Logging_0380/tillsyn/A 53589-2025 tillsynsbegäran.docx", "A 53589-2025")</f>
        <v/>
      </c>
      <c r="Y264">
        <f>HYPERLINK("https://klasma.github.io/Logging_0380/tillsynsmail/A 53589-2025 tillsynsbegäran mail.docx", "A 53589-2025")</f>
        <v/>
      </c>
      <c r="Z264">
        <f>HYPERLINK("https://klasma.github.io/Logging_0380/fåglar/A 53589-2025 prioriterade fågelarter.docx", "A 53589-2025")</f>
        <v/>
      </c>
    </row>
    <row r="265" ht="15" customHeight="1">
      <c r="A265" t="inlineStr">
        <is>
          <t>A 41921-2025</t>
        </is>
      </c>
      <c r="B265" s="1" t="n">
        <v>45903</v>
      </c>
      <c r="C265" s="1" t="n">
        <v>46098</v>
      </c>
      <c r="D265" t="inlineStr">
        <is>
          <t>UPPSALA LÄN</t>
        </is>
      </c>
      <c r="E265" t="inlineStr">
        <is>
          <t>UPPSALA</t>
        </is>
      </c>
      <c r="G265" t="n">
        <v>7.1</v>
      </c>
      <c r="H265" t="n">
        <v>2</v>
      </c>
      <c r="I265" t="n">
        <v>0</v>
      </c>
      <c r="J265" t="n">
        <v>0</v>
      </c>
      <c r="K265" t="n">
        <v>0</v>
      </c>
      <c r="L265" t="n">
        <v>0</v>
      </c>
      <c r="M265" t="n">
        <v>0</v>
      </c>
      <c r="N265" t="n">
        <v>0</v>
      </c>
      <c r="O265" t="n">
        <v>0</v>
      </c>
      <c r="P265" t="n">
        <v>0</v>
      </c>
      <c r="Q265" t="n">
        <v>2</v>
      </c>
      <c r="R265" s="2" t="inlineStr">
        <is>
          <t>Blåsippa
Revlummer</t>
        </is>
      </c>
      <c r="S265">
        <f>HYPERLINK("https://klasma.github.io/Logging_0380/artfynd/A 41921-2025 artfynd.xlsx", "A 41921-2025")</f>
        <v/>
      </c>
      <c r="T265">
        <f>HYPERLINK("https://klasma.github.io/Logging_0380/kartor/A 41921-2025 karta.png", "A 41921-2025")</f>
        <v/>
      </c>
      <c r="V265">
        <f>HYPERLINK("https://klasma.github.io/Logging_0380/klagomål/A 41921-2025 FSC-klagomål.docx", "A 41921-2025")</f>
        <v/>
      </c>
      <c r="W265">
        <f>HYPERLINK("https://klasma.github.io/Logging_0380/klagomålsmail/A 41921-2025 FSC-klagomål mail.docx", "A 41921-2025")</f>
        <v/>
      </c>
      <c r="X265">
        <f>HYPERLINK("https://klasma.github.io/Logging_0380/tillsyn/A 41921-2025 tillsynsbegäran.docx", "A 41921-2025")</f>
        <v/>
      </c>
      <c r="Y265">
        <f>HYPERLINK("https://klasma.github.io/Logging_0380/tillsynsmail/A 41921-2025 tillsynsbegäran mail.docx", "A 41921-2025")</f>
        <v/>
      </c>
    </row>
    <row r="266" ht="15" customHeight="1">
      <c r="A266" t="inlineStr">
        <is>
          <t>A 25660-2025</t>
        </is>
      </c>
      <c r="B266" s="1" t="n">
        <v>45803.61554398148</v>
      </c>
      <c r="C266" s="1" t="n">
        <v>46098</v>
      </c>
      <c r="D266" t="inlineStr">
        <is>
          <t>UPPSALA LÄN</t>
        </is>
      </c>
      <c r="E266" t="inlineStr">
        <is>
          <t>UPPSALA</t>
        </is>
      </c>
      <c r="F266" t="inlineStr">
        <is>
          <t>Holmen skog AB</t>
        </is>
      </c>
      <c r="G266" t="n">
        <v>4.8</v>
      </c>
      <c r="H266" t="n">
        <v>0</v>
      </c>
      <c r="I266" t="n">
        <v>2</v>
      </c>
      <c r="J266" t="n">
        <v>0</v>
      </c>
      <c r="K266" t="n">
        <v>0</v>
      </c>
      <c r="L266" t="n">
        <v>0</v>
      </c>
      <c r="M266" t="n">
        <v>0</v>
      </c>
      <c r="N266" t="n">
        <v>0</v>
      </c>
      <c r="O266" t="n">
        <v>0</v>
      </c>
      <c r="P266" t="n">
        <v>0</v>
      </c>
      <c r="Q266" t="n">
        <v>2</v>
      </c>
      <c r="R266" s="2" t="inlineStr">
        <is>
          <t>Mindre märgborre
Skogshakmossa</t>
        </is>
      </c>
      <c r="S266">
        <f>HYPERLINK("https://klasma.github.io/Logging_0380/artfynd/A 25660-2025 artfynd.xlsx", "A 25660-2025")</f>
        <v/>
      </c>
      <c r="T266">
        <f>HYPERLINK("https://klasma.github.io/Logging_0380/kartor/A 25660-2025 karta.png", "A 25660-2025")</f>
        <v/>
      </c>
      <c r="V266">
        <f>HYPERLINK("https://klasma.github.io/Logging_0380/klagomål/A 25660-2025 FSC-klagomål.docx", "A 25660-2025")</f>
        <v/>
      </c>
      <c r="W266">
        <f>HYPERLINK("https://klasma.github.io/Logging_0380/klagomålsmail/A 25660-2025 FSC-klagomål mail.docx", "A 25660-2025")</f>
        <v/>
      </c>
      <c r="X266">
        <f>HYPERLINK("https://klasma.github.io/Logging_0380/tillsyn/A 25660-2025 tillsynsbegäran.docx", "A 25660-2025")</f>
        <v/>
      </c>
      <c r="Y266">
        <f>HYPERLINK("https://klasma.github.io/Logging_0380/tillsynsmail/A 25660-2025 tillsynsbegäran mail.docx", "A 25660-2025")</f>
        <v/>
      </c>
    </row>
    <row r="267" ht="15" customHeight="1">
      <c r="A267" t="inlineStr">
        <is>
          <t>A 54237-2025</t>
        </is>
      </c>
      <c r="B267" s="1" t="n">
        <v>45964.62684027778</v>
      </c>
      <c r="C267" s="1" t="n">
        <v>46098</v>
      </c>
      <c r="D267" t="inlineStr">
        <is>
          <t>UPPSALA LÄN</t>
        </is>
      </c>
      <c r="E267" t="inlineStr">
        <is>
          <t>TIERP</t>
        </is>
      </c>
      <c r="G267" t="n">
        <v>5.3</v>
      </c>
      <c r="H267" t="n">
        <v>2</v>
      </c>
      <c r="I267" t="n">
        <v>0</v>
      </c>
      <c r="J267" t="n">
        <v>1</v>
      </c>
      <c r="K267" t="n">
        <v>0</v>
      </c>
      <c r="L267" t="n">
        <v>0</v>
      </c>
      <c r="M267" t="n">
        <v>0</v>
      </c>
      <c r="N267" t="n">
        <v>0</v>
      </c>
      <c r="O267" t="n">
        <v>1</v>
      </c>
      <c r="P267" t="n">
        <v>0</v>
      </c>
      <c r="Q267" t="n">
        <v>2</v>
      </c>
      <c r="R267" s="2" t="inlineStr">
        <is>
          <t>Rödvingetrast
Revlummer</t>
        </is>
      </c>
      <c r="S267">
        <f>HYPERLINK("https://klasma.github.io/Logging_0360/artfynd/A 54237-2025 artfynd.xlsx", "A 54237-2025")</f>
        <v/>
      </c>
      <c r="T267">
        <f>HYPERLINK("https://klasma.github.io/Logging_0360/kartor/A 54237-2025 karta.png", "A 54237-2025")</f>
        <v/>
      </c>
      <c r="V267">
        <f>HYPERLINK("https://klasma.github.io/Logging_0360/klagomål/A 54237-2025 FSC-klagomål.docx", "A 54237-2025")</f>
        <v/>
      </c>
      <c r="W267">
        <f>HYPERLINK("https://klasma.github.io/Logging_0360/klagomålsmail/A 54237-2025 FSC-klagomål mail.docx", "A 54237-2025")</f>
        <v/>
      </c>
      <c r="X267">
        <f>HYPERLINK("https://klasma.github.io/Logging_0360/tillsyn/A 54237-2025 tillsynsbegäran.docx", "A 54237-2025")</f>
        <v/>
      </c>
      <c r="Y267">
        <f>HYPERLINK("https://klasma.github.io/Logging_0360/tillsynsmail/A 54237-2025 tillsynsbegäran mail.docx", "A 54237-2025")</f>
        <v/>
      </c>
      <c r="Z267">
        <f>HYPERLINK("https://klasma.github.io/Logging_0360/fåglar/A 54237-2025 prioriterade fågelarter.docx", "A 54237-2025")</f>
        <v/>
      </c>
    </row>
    <row r="268" ht="15" customHeight="1">
      <c r="A268" t="inlineStr">
        <is>
          <t>A 42363-2025</t>
        </is>
      </c>
      <c r="B268" s="1" t="n">
        <v>45905.31760416667</v>
      </c>
      <c r="C268" s="1" t="n">
        <v>46098</v>
      </c>
      <c r="D268" t="inlineStr">
        <is>
          <t>UPPSALA LÄN</t>
        </is>
      </c>
      <c r="E268" t="inlineStr">
        <is>
          <t>TIERP</t>
        </is>
      </c>
      <c r="G268" t="n">
        <v>8.4</v>
      </c>
      <c r="H268" t="n">
        <v>1</v>
      </c>
      <c r="I268" t="n">
        <v>0</v>
      </c>
      <c r="J268" t="n">
        <v>2</v>
      </c>
      <c r="K268" t="n">
        <v>0</v>
      </c>
      <c r="L268" t="n">
        <v>0</v>
      </c>
      <c r="M268" t="n">
        <v>0</v>
      </c>
      <c r="N268" t="n">
        <v>0</v>
      </c>
      <c r="O268" t="n">
        <v>2</v>
      </c>
      <c r="P268" t="n">
        <v>0</v>
      </c>
      <c r="Q268" t="n">
        <v>2</v>
      </c>
      <c r="R268" s="2" t="inlineStr">
        <is>
          <t>Spillkråka
Ullticka</t>
        </is>
      </c>
      <c r="S268">
        <f>HYPERLINK("https://klasma.github.io/Logging_0360/artfynd/A 42363-2025 artfynd.xlsx", "A 42363-2025")</f>
        <v/>
      </c>
      <c r="T268">
        <f>HYPERLINK("https://klasma.github.io/Logging_0360/kartor/A 42363-2025 karta.png", "A 42363-2025")</f>
        <v/>
      </c>
      <c r="V268">
        <f>HYPERLINK("https://klasma.github.io/Logging_0360/klagomål/A 42363-2025 FSC-klagomål.docx", "A 42363-2025")</f>
        <v/>
      </c>
      <c r="W268">
        <f>HYPERLINK("https://klasma.github.io/Logging_0360/klagomålsmail/A 42363-2025 FSC-klagomål mail.docx", "A 42363-2025")</f>
        <v/>
      </c>
      <c r="X268">
        <f>HYPERLINK("https://klasma.github.io/Logging_0360/tillsyn/A 42363-2025 tillsynsbegäran.docx", "A 42363-2025")</f>
        <v/>
      </c>
      <c r="Y268">
        <f>HYPERLINK("https://klasma.github.io/Logging_0360/tillsynsmail/A 42363-2025 tillsynsbegäran mail.docx", "A 42363-2025")</f>
        <v/>
      </c>
      <c r="Z268">
        <f>HYPERLINK("https://klasma.github.io/Logging_0360/fåglar/A 42363-2025 prioriterade fågelarter.docx", "A 42363-2025")</f>
        <v/>
      </c>
    </row>
    <row r="269" ht="15" customHeight="1">
      <c r="A269" t="inlineStr">
        <is>
          <t>A 27073-2025</t>
        </is>
      </c>
      <c r="B269" s="1" t="n">
        <v>45811.64190972222</v>
      </c>
      <c r="C269" s="1" t="n">
        <v>46098</v>
      </c>
      <c r="D269" t="inlineStr">
        <is>
          <t>UPPSALA LÄN</t>
        </is>
      </c>
      <c r="E269" t="inlineStr">
        <is>
          <t>ENKÖPING</t>
        </is>
      </c>
      <c r="G269" t="n">
        <v>4.3</v>
      </c>
      <c r="H269" t="n">
        <v>0</v>
      </c>
      <c r="I269" t="n">
        <v>2</v>
      </c>
      <c r="J269" t="n">
        <v>0</v>
      </c>
      <c r="K269" t="n">
        <v>0</v>
      </c>
      <c r="L269" t="n">
        <v>0</v>
      </c>
      <c r="M269" t="n">
        <v>0</v>
      </c>
      <c r="N269" t="n">
        <v>0</v>
      </c>
      <c r="O269" t="n">
        <v>0</v>
      </c>
      <c r="P269" t="n">
        <v>0</v>
      </c>
      <c r="Q269" t="n">
        <v>2</v>
      </c>
      <c r="R269" s="2" t="inlineStr">
        <is>
          <t>Bågpraktmossa
Kärrkammossa</t>
        </is>
      </c>
      <c r="S269">
        <f>HYPERLINK("https://klasma.github.io/Logging_0381/artfynd/A 27073-2025 artfynd.xlsx", "A 27073-2025")</f>
        <v/>
      </c>
      <c r="T269">
        <f>HYPERLINK("https://klasma.github.io/Logging_0381/kartor/A 27073-2025 karta.png", "A 27073-2025")</f>
        <v/>
      </c>
      <c r="V269">
        <f>HYPERLINK("https://klasma.github.io/Logging_0381/klagomål/A 27073-2025 FSC-klagomål.docx", "A 27073-2025")</f>
        <v/>
      </c>
      <c r="W269">
        <f>HYPERLINK("https://klasma.github.io/Logging_0381/klagomålsmail/A 27073-2025 FSC-klagomål mail.docx", "A 27073-2025")</f>
        <v/>
      </c>
      <c r="X269">
        <f>HYPERLINK("https://klasma.github.io/Logging_0381/tillsyn/A 27073-2025 tillsynsbegäran.docx", "A 27073-2025")</f>
        <v/>
      </c>
      <c r="Y269">
        <f>HYPERLINK("https://klasma.github.io/Logging_0381/tillsynsmail/A 27073-2025 tillsynsbegäran mail.docx", "A 27073-2025")</f>
        <v/>
      </c>
    </row>
    <row r="270" ht="15" customHeight="1">
      <c r="A270" t="inlineStr">
        <is>
          <t>A 29416-2025</t>
        </is>
      </c>
      <c r="B270" s="1" t="n">
        <v>45824.63471064815</v>
      </c>
      <c r="C270" s="1" t="n">
        <v>46098</v>
      </c>
      <c r="D270" t="inlineStr">
        <is>
          <t>UPPSALA LÄN</t>
        </is>
      </c>
      <c r="E270" t="inlineStr">
        <is>
          <t>HEBY</t>
        </is>
      </c>
      <c r="G270" t="n">
        <v>3.9</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HYPERLINK("https://klasma.github.io/Logging_0331/artfynd/A 29416-2025 artfynd.xlsx", "A 29416-2025")</f>
        <v/>
      </c>
      <c r="T270">
        <f>HYPERLINK("https://klasma.github.io/Logging_0331/kartor/A 29416-2025 karta.png", "A 29416-2025")</f>
        <v/>
      </c>
      <c r="V270">
        <f>HYPERLINK("https://klasma.github.io/Logging_0331/klagomål/A 29416-2025 FSC-klagomål.docx", "A 29416-2025")</f>
        <v/>
      </c>
      <c r="W270">
        <f>HYPERLINK("https://klasma.github.io/Logging_0331/klagomålsmail/A 29416-2025 FSC-klagomål mail.docx", "A 29416-2025")</f>
        <v/>
      </c>
      <c r="X270">
        <f>HYPERLINK("https://klasma.github.io/Logging_0331/tillsyn/A 29416-2025 tillsynsbegäran.docx", "A 29416-2025")</f>
        <v/>
      </c>
      <c r="Y270">
        <f>HYPERLINK("https://klasma.github.io/Logging_0331/tillsynsmail/A 29416-2025 tillsynsbegäran mail.docx", "A 29416-2025")</f>
        <v/>
      </c>
    </row>
    <row r="271" ht="15" customHeight="1">
      <c r="A271" t="inlineStr">
        <is>
          <t>A 2916-2025</t>
        </is>
      </c>
      <c r="B271" s="1" t="n">
        <v>45677</v>
      </c>
      <c r="C271" s="1" t="n">
        <v>46098</v>
      </c>
      <c r="D271" t="inlineStr">
        <is>
          <t>UPPSALA LÄN</t>
        </is>
      </c>
      <c r="E271" t="inlineStr">
        <is>
          <t>ÖSTHAMMAR</t>
        </is>
      </c>
      <c r="F271" t="inlineStr">
        <is>
          <t>Allmännings- och besparingsskogar</t>
        </is>
      </c>
      <c r="G271" t="n">
        <v>10.5</v>
      </c>
      <c r="H271" t="n">
        <v>2</v>
      </c>
      <c r="I271" t="n">
        <v>0</v>
      </c>
      <c r="J271" t="n">
        <v>0</v>
      </c>
      <c r="K271" t="n">
        <v>0</v>
      </c>
      <c r="L271" t="n">
        <v>0</v>
      </c>
      <c r="M271" t="n">
        <v>0</v>
      </c>
      <c r="N271" t="n">
        <v>0</v>
      </c>
      <c r="O271" t="n">
        <v>0</v>
      </c>
      <c r="P271" t="n">
        <v>0</v>
      </c>
      <c r="Q271" t="n">
        <v>2</v>
      </c>
      <c r="R271" s="2" t="inlineStr">
        <is>
          <t>Grönvit nattviol
Ängsnycklar × fläcknycklar</t>
        </is>
      </c>
      <c r="S271">
        <f>HYPERLINK("https://klasma.github.io/Logging_0382/artfynd/A 2916-2025 artfynd.xlsx", "A 2916-2025")</f>
        <v/>
      </c>
      <c r="T271">
        <f>HYPERLINK("https://klasma.github.io/Logging_0382/kartor/A 2916-2025 karta.png", "A 2916-2025")</f>
        <v/>
      </c>
      <c r="V271">
        <f>HYPERLINK("https://klasma.github.io/Logging_0382/klagomål/A 2916-2025 FSC-klagomål.docx", "A 2916-2025")</f>
        <v/>
      </c>
      <c r="W271">
        <f>HYPERLINK("https://klasma.github.io/Logging_0382/klagomålsmail/A 2916-2025 FSC-klagomål mail.docx", "A 2916-2025")</f>
        <v/>
      </c>
      <c r="X271">
        <f>HYPERLINK("https://klasma.github.io/Logging_0382/tillsyn/A 2916-2025 tillsynsbegäran.docx", "A 2916-2025")</f>
        <v/>
      </c>
      <c r="Y271">
        <f>HYPERLINK("https://klasma.github.io/Logging_0382/tillsynsmail/A 2916-2025 tillsynsbegäran mail.docx", "A 2916-2025")</f>
        <v/>
      </c>
    </row>
    <row r="272" ht="15" customHeight="1">
      <c r="A272" t="inlineStr">
        <is>
          <t>A 56669-2025</t>
        </is>
      </c>
      <c r="B272" s="1" t="n">
        <v>45975.69306712963</v>
      </c>
      <c r="C272" s="1" t="n">
        <v>46098</v>
      </c>
      <c r="D272" t="inlineStr">
        <is>
          <t>UPPSALA LÄN</t>
        </is>
      </c>
      <c r="E272" t="inlineStr">
        <is>
          <t>ÖSTHAMMAR</t>
        </is>
      </c>
      <c r="G272" t="n">
        <v>2.1</v>
      </c>
      <c r="H272" t="n">
        <v>0</v>
      </c>
      <c r="I272" t="n">
        <v>2</v>
      </c>
      <c r="J272" t="n">
        <v>0</v>
      </c>
      <c r="K272" t="n">
        <v>0</v>
      </c>
      <c r="L272" t="n">
        <v>0</v>
      </c>
      <c r="M272" t="n">
        <v>0</v>
      </c>
      <c r="N272" t="n">
        <v>0</v>
      </c>
      <c r="O272" t="n">
        <v>0</v>
      </c>
      <c r="P272" t="n">
        <v>0</v>
      </c>
      <c r="Q272" t="n">
        <v>2</v>
      </c>
      <c r="R272" s="2" t="inlineStr">
        <is>
          <t>Anisspindling
Svavelriska</t>
        </is>
      </c>
      <c r="S272">
        <f>HYPERLINK("https://klasma.github.io/Logging_0382/artfynd/A 56669-2025 artfynd.xlsx", "A 56669-2025")</f>
        <v/>
      </c>
      <c r="T272">
        <f>HYPERLINK("https://klasma.github.io/Logging_0382/kartor/A 56669-2025 karta.png", "A 56669-2025")</f>
        <v/>
      </c>
      <c r="V272">
        <f>HYPERLINK("https://klasma.github.io/Logging_0382/klagomål/A 56669-2025 FSC-klagomål.docx", "A 56669-2025")</f>
        <v/>
      </c>
      <c r="W272">
        <f>HYPERLINK("https://klasma.github.io/Logging_0382/klagomålsmail/A 56669-2025 FSC-klagomål mail.docx", "A 56669-2025")</f>
        <v/>
      </c>
      <c r="X272">
        <f>HYPERLINK("https://klasma.github.io/Logging_0382/tillsyn/A 56669-2025 tillsynsbegäran.docx", "A 56669-2025")</f>
        <v/>
      </c>
      <c r="Y272">
        <f>HYPERLINK("https://klasma.github.io/Logging_0382/tillsynsmail/A 56669-2025 tillsynsbegäran mail.docx", "A 56669-2025")</f>
        <v/>
      </c>
    </row>
    <row r="273" ht="15" customHeight="1">
      <c r="A273" t="inlineStr">
        <is>
          <t>A 9401-2025</t>
        </is>
      </c>
      <c r="B273" s="1" t="n">
        <v>45715.38105324074</v>
      </c>
      <c r="C273" s="1" t="n">
        <v>46098</v>
      </c>
      <c r="D273" t="inlineStr">
        <is>
          <t>UPPSALA LÄN</t>
        </is>
      </c>
      <c r="E273" t="inlineStr">
        <is>
          <t>UPPSALA</t>
        </is>
      </c>
      <c r="G273" t="n">
        <v>3.1</v>
      </c>
      <c r="H273" t="n">
        <v>2</v>
      </c>
      <c r="I273" t="n">
        <v>0</v>
      </c>
      <c r="J273" t="n">
        <v>0</v>
      </c>
      <c r="K273" t="n">
        <v>0</v>
      </c>
      <c r="L273" t="n">
        <v>0</v>
      </c>
      <c r="M273" t="n">
        <v>0</v>
      </c>
      <c r="N273" t="n">
        <v>0</v>
      </c>
      <c r="O273" t="n">
        <v>0</v>
      </c>
      <c r="P273" t="n">
        <v>0</v>
      </c>
      <c r="Q273" t="n">
        <v>2</v>
      </c>
      <c r="R273" s="2" t="inlineStr">
        <is>
          <t>Vanlig padda
Blåsippa</t>
        </is>
      </c>
      <c r="S273">
        <f>HYPERLINK("https://klasma.github.io/Logging_0380/artfynd/A 9401-2025 artfynd.xlsx", "A 9401-2025")</f>
        <v/>
      </c>
      <c r="T273">
        <f>HYPERLINK("https://klasma.github.io/Logging_0380/kartor/A 9401-2025 karta.png", "A 9401-2025")</f>
        <v/>
      </c>
      <c r="V273">
        <f>HYPERLINK("https://klasma.github.io/Logging_0380/klagomål/A 9401-2025 FSC-klagomål.docx", "A 9401-2025")</f>
        <v/>
      </c>
      <c r="W273">
        <f>HYPERLINK("https://klasma.github.io/Logging_0380/klagomålsmail/A 9401-2025 FSC-klagomål mail.docx", "A 9401-2025")</f>
        <v/>
      </c>
      <c r="X273">
        <f>HYPERLINK("https://klasma.github.io/Logging_0380/tillsyn/A 9401-2025 tillsynsbegäran.docx", "A 9401-2025")</f>
        <v/>
      </c>
      <c r="Y273">
        <f>HYPERLINK("https://klasma.github.io/Logging_0380/tillsynsmail/A 9401-2025 tillsynsbegäran mail.docx", "A 9401-2025")</f>
        <v/>
      </c>
    </row>
    <row r="274" ht="15" customHeight="1">
      <c r="A274" t="inlineStr">
        <is>
          <t>A 57856-2025</t>
        </is>
      </c>
      <c r="B274" s="1" t="n">
        <v>45981.63950231481</v>
      </c>
      <c r="C274" s="1" t="n">
        <v>46098</v>
      </c>
      <c r="D274" t="inlineStr">
        <is>
          <t>UPPSALA LÄN</t>
        </is>
      </c>
      <c r="E274" t="inlineStr">
        <is>
          <t>TIERP</t>
        </is>
      </c>
      <c r="F274" t="inlineStr">
        <is>
          <t>Bergvik skog öst AB</t>
        </is>
      </c>
      <c r="G274" t="n">
        <v>10.4</v>
      </c>
      <c r="H274" t="n">
        <v>1</v>
      </c>
      <c r="I274" t="n">
        <v>2</v>
      </c>
      <c r="J274" t="n">
        <v>0</v>
      </c>
      <c r="K274" t="n">
        <v>0</v>
      </c>
      <c r="L274" t="n">
        <v>0</v>
      </c>
      <c r="M274" t="n">
        <v>0</v>
      </c>
      <c r="N274" t="n">
        <v>0</v>
      </c>
      <c r="O274" t="n">
        <v>0</v>
      </c>
      <c r="P274" t="n">
        <v>0</v>
      </c>
      <c r="Q274" t="n">
        <v>2</v>
      </c>
      <c r="R274" s="2" t="inlineStr">
        <is>
          <t>Tibast
Tvåblad</t>
        </is>
      </c>
      <c r="S274">
        <f>HYPERLINK("https://klasma.github.io/Logging_0360/artfynd/A 57856-2025 artfynd.xlsx", "A 57856-2025")</f>
        <v/>
      </c>
      <c r="T274">
        <f>HYPERLINK("https://klasma.github.io/Logging_0360/kartor/A 57856-2025 karta.png", "A 57856-2025")</f>
        <v/>
      </c>
      <c r="V274">
        <f>HYPERLINK("https://klasma.github.io/Logging_0360/klagomål/A 57856-2025 FSC-klagomål.docx", "A 57856-2025")</f>
        <v/>
      </c>
      <c r="W274">
        <f>HYPERLINK("https://klasma.github.io/Logging_0360/klagomålsmail/A 57856-2025 FSC-klagomål mail.docx", "A 57856-2025")</f>
        <v/>
      </c>
      <c r="X274">
        <f>HYPERLINK("https://klasma.github.io/Logging_0360/tillsyn/A 57856-2025 tillsynsbegäran.docx", "A 57856-2025")</f>
        <v/>
      </c>
      <c r="Y274">
        <f>HYPERLINK("https://klasma.github.io/Logging_0360/tillsynsmail/A 57856-2025 tillsynsbegäran mail.docx", "A 57856-2025")</f>
        <v/>
      </c>
    </row>
    <row r="275" ht="15" customHeight="1">
      <c r="A275" t="inlineStr">
        <is>
          <t>A 57715-2025</t>
        </is>
      </c>
      <c r="B275" s="1" t="n">
        <v>45981</v>
      </c>
      <c r="C275" s="1" t="n">
        <v>46098</v>
      </c>
      <c r="D275" t="inlineStr">
        <is>
          <t>UPPSALA LÄN</t>
        </is>
      </c>
      <c r="E275" t="inlineStr">
        <is>
          <t>UPPSALA</t>
        </is>
      </c>
      <c r="F275" t="inlineStr">
        <is>
          <t>Kommuner</t>
        </is>
      </c>
      <c r="G275" t="n">
        <v>2</v>
      </c>
      <c r="H275" t="n">
        <v>0</v>
      </c>
      <c r="I275" t="n">
        <v>1</v>
      </c>
      <c r="J275" t="n">
        <v>1</v>
      </c>
      <c r="K275" t="n">
        <v>0</v>
      </c>
      <c r="L275" t="n">
        <v>0</v>
      </c>
      <c r="M275" t="n">
        <v>0</v>
      </c>
      <c r="N275" t="n">
        <v>0</v>
      </c>
      <c r="O275" t="n">
        <v>1</v>
      </c>
      <c r="P275" t="n">
        <v>0</v>
      </c>
      <c r="Q275" t="n">
        <v>2</v>
      </c>
      <c r="R275" s="2" t="inlineStr">
        <is>
          <t>Ullticka
Bronshjon</t>
        </is>
      </c>
      <c r="S275">
        <f>HYPERLINK("https://klasma.github.io/Logging_0380/artfynd/A 57715-2025 artfynd.xlsx", "A 57715-2025")</f>
        <v/>
      </c>
      <c r="T275">
        <f>HYPERLINK("https://klasma.github.io/Logging_0380/kartor/A 57715-2025 karta.png", "A 57715-2025")</f>
        <v/>
      </c>
      <c r="V275">
        <f>HYPERLINK("https://klasma.github.io/Logging_0380/klagomål/A 57715-2025 FSC-klagomål.docx", "A 57715-2025")</f>
        <v/>
      </c>
      <c r="W275">
        <f>HYPERLINK("https://klasma.github.io/Logging_0380/klagomålsmail/A 57715-2025 FSC-klagomål mail.docx", "A 57715-2025")</f>
        <v/>
      </c>
      <c r="X275">
        <f>HYPERLINK("https://klasma.github.io/Logging_0380/tillsyn/A 57715-2025 tillsynsbegäran.docx", "A 57715-2025")</f>
        <v/>
      </c>
      <c r="Y275">
        <f>HYPERLINK("https://klasma.github.io/Logging_0380/tillsynsmail/A 57715-2025 tillsynsbegäran mail.docx", "A 57715-2025")</f>
        <v/>
      </c>
    </row>
    <row r="276" ht="15" customHeight="1">
      <c r="A276" t="inlineStr">
        <is>
          <t>A 35188-2025</t>
        </is>
      </c>
      <c r="B276" s="1" t="n">
        <v>45853.32288194444</v>
      </c>
      <c r="C276" s="1" t="n">
        <v>46098</v>
      </c>
      <c r="D276" t="inlineStr">
        <is>
          <t>UPPSALA LÄN</t>
        </is>
      </c>
      <c r="E276" t="inlineStr">
        <is>
          <t>TIERP</t>
        </is>
      </c>
      <c r="G276" t="n">
        <v>1.8</v>
      </c>
      <c r="H276" t="n">
        <v>2</v>
      </c>
      <c r="I276" t="n">
        <v>1</v>
      </c>
      <c r="J276" t="n">
        <v>0</v>
      </c>
      <c r="K276" t="n">
        <v>0</v>
      </c>
      <c r="L276" t="n">
        <v>0</v>
      </c>
      <c r="M276" t="n">
        <v>0</v>
      </c>
      <c r="N276" t="n">
        <v>0</v>
      </c>
      <c r="O276" t="n">
        <v>0</v>
      </c>
      <c r="P276" t="n">
        <v>0</v>
      </c>
      <c r="Q276" t="n">
        <v>2</v>
      </c>
      <c r="R276" s="2" t="inlineStr">
        <is>
          <t>Skogsknipprot
Fläcknycklar</t>
        </is>
      </c>
      <c r="S276">
        <f>HYPERLINK("https://klasma.github.io/Logging_0360/artfynd/A 35188-2025 artfynd.xlsx", "A 35188-2025")</f>
        <v/>
      </c>
      <c r="T276">
        <f>HYPERLINK("https://klasma.github.io/Logging_0360/kartor/A 35188-2025 karta.png", "A 35188-2025")</f>
        <v/>
      </c>
      <c r="V276">
        <f>HYPERLINK("https://klasma.github.io/Logging_0360/klagomål/A 35188-2025 FSC-klagomål.docx", "A 35188-2025")</f>
        <v/>
      </c>
      <c r="W276">
        <f>HYPERLINK("https://klasma.github.io/Logging_0360/klagomålsmail/A 35188-2025 FSC-klagomål mail.docx", "A 35188-2025")</f>
        <v/>
      </c>
      <c r="X276">
        <f>HYPERLINK("https://klasma.github.io/Logging_0360/tillsyn/A 35188-2025 tillsynsbegäran.docx", "A 35188-2025")</f>
        <v/>
      </c>
      <c r="Y276">
        <f>HYPERLINK("https://klasma.github.io/Logging_0360/tillsynsmail/A 35188-2025 tillsynsbegäran mail.docx", "A 35188-2025")</f>
        <v/>
      </c>
    </row>
    <row r="277" ht="15" customHeight="1">
      <c r="A277" t="inlineStr">
        <is>
          <t>A 52503-2025</t>
        </is>
      </c>
      <c r="B277" s="1" t="n">
        <v>45954.49768518518</v>
      </c>
      <c r="C277" s="1" t="n">
        <v>46098</v>
      </c>
      <c r="D277" t="inlineStr">
        <is>
          <t>UPPSALA LÄN</t>
        </is>
      </c>
      <c r="E277" t="inlineStr">
        <is>
          <t>UPPSALA</t>
        </is>
      </c>
      <c r="F277" t="inlineStr">
        <is>
          <t>Holmen skog AB</t>
        </is>
      </c>
      <c r="G277" t="n">
        <v>21.5</v>
      </c>
      <c r="H277" t="n">
        <v>0</v>
      </c>
      <c r="I277" t="n">
        <v>0</v>
      </c>
      <c r="J277" t="n">
        <v>0</v>
      </c>
      <c r="K277" t="n">
        <v>2</v>
      </c>
      <c r="L277" t="n">
        <v>0</v>
      </c>
      <c r="M277" t="n">
        <v>0</v>
      </c>
      <c r="N277" t="n">
        <v>0</v>
      </c>
      <c r="O277" t="n">
        <v>2</v>
      </c>
      <c r="P277" t="n">
        <v>2</v>
      </c>
      <c r="Q277" t="n">
        <v>2</v>
      </c>
      <c r="R277" s="2" t="inlineStr">
        <is>
          <t>Gulvit blekspik
Klosterlav</t>
        </is>
      </c>
      <c r="S277">
        <f>HYPERLINK("https://klasma.github.io/Logging_0380/artfynd/A 52503-2025 artfynd.xlsx", "A 52503-2025")</f>
        <v/>
      </c>
      <c r="T277">
        <f>HYPERLINK("https://klasma.github.io/Logging_0380/kartor/A 52503-2025 karta.png", "A 52503-2025")</f>
        <v/>
      </c>
      <c r="V277">
        <f>HYPERLINK("https://klasma.github.io/Logging_0380/klagomål/A 52503-2025 FSC-klagomål.docx", "A 52503-2025")</f>
        <v/>
      </c>
      <c r="W277">
        <f>HYPERLINK("https://klasma.github.io/Logging_0380/klagomålsmail/A 52503-2025 FSC-klagomål mail.docx", "A 52503-2025")</f>
        <v/>
      </c>
      <c r="X277">
        <f>HYPERLINK("https://klasma.github.io/Logging_0380/tillsyn/A 52503-2025 tillsynsbegäran.docx", "A 52503-2025")</f>
        <v/>
      </c>
      <c r="Y277">
        <f>HYPERLINK("https://klasma.github.io/Logging_0380/tillsynsmail/A 52503-2025 tillsynsbegäran mail.docx", "A 52503-2025")</f>
        <v/>
      </c>
    </row>
    <row r="278" ht="15" customHeight="1">
      <c r="A278" t="inlineStr">
        <is>
          <t>A 58485-2025</t>
        </is>
      </c>
      <c r="B278" s="1" t="n">
        <v>45985.65565972222</v>
      </c>
      <c r="C278" s="1" t="n">
        <v>46098</v>
      </c>
      <c r="D278" t="inlineStr">
        <is>
          <t>UPPSALA LÄN</t>
        </is>
      </c>
      <c r="E278" t="inlineStr">
        <is>
          <t>ÄLVKARLEBY</t>
        </is>
      </c>
      <c r="F278" t="inlineStr">
        <is>
          <t>Bergvik skog väst AB</t>
        </is>
      </c>
      <c r="G278" t="n">
        <v>2</v>
      </c>
      <c r="H278" t="n">
        <v>1</v>
      </c>
      <c r="I278" t="n">
        <v>1</v>
      </c>
      <c r="J278" t="n">
        <v>0</v>
      </c>
      <c r="K278" t="n">
        <v>1</v>
      </c>
      <c r="L278" t="n">
        <v>0</v>
      </c>
      <c r="M278" t="n">
        <v>0</v>
      </c>
      <c r="N278" t="n">
        <v>0</v>
      </c>
      <c r="O278" t="n">
        <v>1</v>
      </c>
      <c r="P278" t="n">
        <v>1</v>
      </c>
      <c r="Q278" t="n">
        <v>2</v>
      </c>
      <c r="R278" s="2" t="inlineStr">
        <is>
          <t>Knärot
Myskmadra</t>
        </is>
      </c>
      <c r="S278">
        <f>HYPERLINK("https://klasma.github.io/Logging_0319/artfynd/A 58485-2025 artfynd.xlsx", "A 58485-2025")</f>
        <v/>
      </c>
      <c r="T278">
        <f>HYPERLINK("https://klasma.github.io/Logging_0319/kartor/A 58485-2025 karta.png", "A 58485-2025")</f>
        <v/>
      </c>
      <c r="U278">
        <f>HYPERLINK("https://klasma.github.io/Logging_0319/knärot/A 58485-2025 karta knärot.png", "A 58485-2025")</f>
        <v/>
      </c>
      <c r="V278">
        <f>HYPERLINK("https://klasma.github.io/Logging_0319/klagomål/A 58485-2025 FSC-klagomål.docx", "A 58485-2025")</f>
        <v/>
      </c>
      <c r="W278">
        <f>HYPERLINK("https://klasma.github.io/Logging_0319/klagomålsmail/A 58485-2025 FSC-klagomål mail.docx", "A 58485-2025")</f>
        <v/>
      </c>
      <c r="X278">
        <f>HYPERLINK("https://klasma.github.io/Logging_0319/tillsyn/A 58485-2025 tillsynsbegäran.docx", "A 58485-2025")</f>
        <v/>
      </c>
      <c r="Y278">
        <f>HYPERLINK("https://klasma.github.io/Logging_0319/tillsynsmail/A 58485-2025 tillsynsbegäran mail.docx", "A 58485-2025")</f>
        <v/>
      </c>
    </row>
    <row r="279" ht="15" customHeight="1">
      <c r="A279" t="inlineStr">
        <is>
          <t>A 54814-2024</t>
        </is>
      </c>
      <c r="B279" s="1" t="n">
        <v>45618.5216087963</v>
      </c>
      <c r="C279" s="1" t="n">
        <v>46098</v>
      </c>
      <c r="D279" t="inlineStr">
        <is>
          <t>UPPSALA LÄN</t>
        </is>
      </c>
      <c r="E279" t="inlineStr">
        <is>
          <t>HEBY</t>
        </is>
      </c>
      <c r="G279" t="n">
        <v>2.5</v>
      </c>
      <c r="H279" t="n">
        <v>2</v>
      </c>
      <c r="I279" t="n">
        <v>0</v>
      </c>
      <c r="J279" t="n">
        <v>1</v>
      </c>
      <c r="K279" t="n">
        <v>1</v>
      </c>
      <c r="L279" t="n">
        <v>0</v>
      </c>
      <c r="M279" t="n">
        <v>0</v>
      </c>
      <c r="N279" t="n">
        <v>0</v>
      </c>
      <c r="O279" t="n">
        <v>2</v>
      </c>
      <c r="P279" t="n">
        <v>1</v>
      </c>
      <c r="Q279" t="n">
        <v>2</v>
      </c>
      <c r="R279" s="2" t="inlineStr">
        <is>
          <t>Knärot
Talltita</t>
        </is>
      </c>
      <c r="S279">
        <f>HYPERLINK("https://klasma.github.io/Logging_0331/artfynd/A 54814-2024 artfynd.xlsx", "A 54814-2024")</f>
        <v/>
      </c>
      <c r="T279">
        <f>HYPERLINK("https://klasma.github.io/Logging_0331/kartor/A 54814-2024 karta.png", "A 54814-2024")</f>
        <v/>
      </c>
      <c r="U279">
        <f>HYPERLINK("https://klasma.github.io/Logging_0331/knärot/A 54814-2024 karta knärot.png", "A 54814-2024")</f>
        <v/>
      </c>
      <c r="V279">
        <f>HYPERLINK("https://klasma.github.io/Logging_0331/klagomål/A 54814-2024 FSC-klagomål.docx", "A 54814-2024")</f>
        <v/>
      </c>
      <c r="W279">
        <f>HYPERLINK("https://klasma.github.io/Logging_0331/klagomålsmail/A 54814-2024 FSC-klagomål mail.docx", "A 54814-2024")</f>
        <v/>
      </c>
      <c r="X279">
        <f>HYPERLINK("https://klasma.github.io/Logging_0331/tillsyn/A 54814-2024 tillsynsbegäran.docx", "A 54814-2024")</f>
        <v/>
      </c>
      <c r="Y279">
        <f>HYPERLINK("https://klasma.github.io/Logging_0331/tillsynsmail/A 54814-2024 tillsynsbegäran mail.docx", "A 54814-2024")</f>
        <v/>
      </c>
      <c r="Z279">
        <f>HYPERLINK("https://klasma.github.io/Logging_0331/fåglar/A 54814-2024 prioriterade fågelarter.docx", "A 54814-2024")</f>
        <v/>
      </c>
    </row>
    <row r="280" ht="15" customHeight="1">
      <c r="A280" t="inlineStr">
        <is>
          <t>A 45565-2025</t>
        </is>
      </c>
      <c r="B280" s="1" t="n">
        <v>45922.65181712963</v>
      </c>
      <c r="C280" s="1" t="n">
        <v>46098</v>
      </c>
      <c r="D280" t="inlineStr">
        <is>
          <t>UPPSALA LÄN</t>
        </is>
      </c>
      <c r="E280" t="inlineStr">
        <is>
          <t>HÅBO</t>
        </is>
      </c>
      <c r="G280" t="n">
        <v>5.7</v>
      </c>
      <c r="H280" t="n">
        <v>0</v>
      </c>
      <c r="I280" t="n">
        <v>1</v>
      </c>
      <c r="J280" t="n">
        <v>1</v>
      </c>
      <c r="K280" t="n">
        <v>0</v>
      </c>
      <c r="L280" t="n">
        <v>0</v>
      </c>
      <c r="M280" t="n">
        <v>0</v>
      </c>
      <c r="N280" t="n">
        <v>0</v>
      </c>
      <c r="O280" t="n">
        <v>1</v>
      </c>
      <c r="P280" t="n">
        <v>0</v>
      </c>
      <c r="Q280" t="n">
        <v>2</v>
      </c>
      <c r="R280" s="2" t="inlineStr">
        <is>
          <t>Reliktbock
Svavelriska</t>
        </is>
      </c>
      <c r="S280">
        <f>HYPERLINK("https://klasma.github.io/Logging_0305/artfynd/A 45565-2025 artfynd.xlsx", "A 45565-2025")</f>
        <v/>
      </c>
      <c r="T280">
        <f>HYPERLINK("https://klasma.github.io/Logging_0305/kartor/A 45565-2025 karta.png", "A 45565-2025")</f>
        <v/>
      </c>
      <c r="V280">
        <f>HYPERLINK("https://klasma.github.io/Logging_0305/klagomål/A 45565-2025 FSC-klagomål.docx", "A 45565-2025")</f>
        <v/>
      </c>
      <c r="W280">
        <f>HYPERLINK("https://klasma.github.io/Logging_0305/klagomålsmail/A 45565-2025 FSC-klagomål mail.docx", "A 45565-2025")</f>
        <v/>
      </c>
      <c r="X280">
        <f>HYPERLINK("https://klasma.github.io/Logging_0305/tillsyn/A 45565-2025 tillsynsbegäran.docx", "A 45565-2025")</f>
        <v/>
      </c>
      <c r="Y280">
        <f>HYPERLINK("https://klasma.github.io/Logging_0305/tillsynsmail/A 45565-2025 tillsynsbegäran mail.docx", "A 45565-2025")</f>
        <v/>
      </c>
    </row>
    <row r="281" ht="15" customHeight="1">
      <c r="A281" t="inlineStr">
        <is>
          <t>A 59728-2025</t>
        </is>
      </c>
      <c r="B281" s="1" t="n">
        <v>45992.55565972222</v>
      </c>
      <c r="C281" s="1" t="n">
        <v>46098</v>
      </c>
      <c r="D281" t="inlineStr">
        <is>
          <t>UPPSALA LÄN</t>
        </is>
      </c>
      <c r="E281" t="inlineStr">
        <is>
          <t>HEBY</t>
        </is>
      </c>
      <c r="G281" t="n">
        <v>2.8</v>
      </c>
      <c r="H281" t="n">
        <v>1</v>
      </c>
      <c r="I281" t="n">
        <v>0</v>
      </c>
      <c r="J281" t="n">
        <v>1</v>
      </c>
      <c r="K281" t="n">
        <v>1</v>
      </c>
      <c r="L281" t="n">
        <v>0</v>
      </c>
      <c r="M281" t="n">
        <v>0</v>
      </c>
      <c r="N281" t="n">
        <v>0</v>
      </c>
      <c r="O281" t="n">
        <v>2</v>
      </c>
      <c r="P281" t="n">
        <v>1</v>
      </c>
      <c r="Q281" t="n">
        <v>2</v>
      </c>
      <c r="R281" s="2" t="inlineStr">
        <is>
          <t>Knärot
Motaggsvamp</t>
        </is>
      </c>
      <c r="S281">
        <f>HYPERLINK("https://klasma.github.io/Logging_0331/artfynd/A 59728-2025 artfynd.xlsx", "A 59728-2025")</f>
        <v/>
      </c>
      <c r="T281">
        <f>HYPERLINK("https://klasma.github.io/Logging_0331/kartor/A 59728-2025 karta.png", "A 59728-2025")</f>
        <v/>
      </c>
      <c r="U281">
        <f>HYPERLINK("https://klasma.github.io/Logging_0331/knärot/A 59728-2025 karta knärot.png", "A 59728-2025")</f>
        <v/>
      </c>
      <c r="V281">
        <f>HYPERLINK("https://klasma.github.io/Logging_0331/klagomål/A 59728-2025 FSC-klagomål.docx", "A 59728-2025")</f>
        <v/>
      </c>
      <c r="W281">
        <f>HYPERLINK("https://klasma.github.io/Logging_0331/klagomålsmail/A 59728-2025 FSC-klagomål mail.docx", "A 59728-2025")</f>
        <v/>
      </c>
      <c r="X281">
        <f>HYPERLINK("https://klasma.github.io/Logging_0331/tillsyn/A 59728-2025 tillsynsbegäran.docx", "A 59728-2025")</f>
        <v/>
      </c>
      <c r="Y281">
        <f>HYPERLINK("https://klasma.github.io/Logging_0331/tillsynsmail/A 59728-2025 tillsynsbegäran mail.docx", "A 59728-2025")</f>
        <v/>
      </c>
    </row>
    <row r="282" ht="15" customHeight="1">
      <c r="A282" t="inlineStr">
        <is>
          <t>A 60304-2025</t>
        </is>
      </c>
      <c r="B282" s="1" t="n">
        <v>45993</v>
      </c>
      <c r="C282" s="1" t="n">
        <v>46098</v>
      </c>
      <c r="D282" t="inlineStr">
        <is>
          <t>UPPSALA LÄN</t>
        </is>
      </c>
      <c r="E282" t="inlineStr">
        <is>
          <t>HEBY</t>
        </is>
      </c>
      <c r="G282" t="n">
        <v>19.6</v>
      </c>
      <c r="H282" t="n">
        <v>2</v>
      </c>
      <c r="I282" t="n">
        <v>0</v>
      </c>
      <c r="J282" t="n">
        <v>1</v>
      </c>
      <c r="K282" t="n">
        <v>0</v>
      </c>
      <c r="L282" t="n">
        <v>0</v>
      </c>
      <c r="M282" t="n">
        <v>0</v>
      </c>
      <c r="N282" t="n">
        <v>0</v>
      </c>
      <c r="O282" t="n">
        <v>1</v>
      </c>
      <c r="P282" t="n">
        <v>0</v>
      </c>
      <c r="Q282" t="n">
        <v>2</v>
      </c>
      <c r="R282" s="2" t="inlineStr">
        <is>
          <t>Grönsångare
Blåsippa</t>
        </is>
      </c>
      <c r="S282">
        <f>HYPERLINK("https://klasma.github.io/Logging_0331/artfynd/A 60304-2025 artfynd.xlsx", "A 60304-2025")</f>
        <v/>
      </c>
      <c r="T282">
        <f>HYPERLINK("https://klasma.github.io/Logging_0331/kartor/A 60304-2025 karta.png", "A 60304-2025")</f>
        <v/>
      </c>
      <c r="V282">
        <f>HYPERLINK("https://klasma.github.io/Logging_0331/klagomål/A 60304-2025 FSC-klagomål.docx", "A 60304-2025")</f>
        <v/>
      </c>
      <c r="W282">
        <f>HYPERLINK("https://klasma.github.io/Logging_0331/klagomålsmail/A 60304-2025 FSC-klagomål mail.docx", "A 60304-2025")</f>
        <v/>
      </c>
      <c r="X282">
        <f>HYPERLINK("https://klasma.github.io/Logging_0331/tillsyn/A 60304-2025 tillsynsbegäran.docx", "A 60304-2025")</f>
        <v/>
      </c>
      <c r="Y282">
        <f>HYPERLINK("https://klasma.github.io/Logging_0331/tillsynsmail/A 60304-2025 tillsynsbegäran mail.docx", "A 60304-2025")</f>
        <v/>
      </c>
      <c r="Z282">
        <f>HYPERLINK("https://klasma.github.io/Logging_0331/fåglar/A 60304-2025 prioriterade fågelarter.docx", "A 60304-2025")</f>
        <v/>
      </c>
    </row>
    <row r="283" ht="15" customHeight="1">
      <c r="A283" t="inlineStr">
        <is>
          <t>A 60103-2025</t>
        </is>
      </c>
      <c r="B283" s="1" t="n">
        <v>45993.99002314815</v>
      </c>
      <c r="C283" s="1" t="n">
        <v>46098</v>
      </c>
      <c r="D283" t="inlineStr">
        <is>
          <t>UPPSALA LÄN</t>
        </is>
      </c>
      <c r="E283" t="inlineStr">
        <is>
          <t>HEBY</t>
        </is>
      </c>
      <c r="G283" t="n">
        <v>3.1</v>
      </c>
      <c r="H283" t="n">
        <v>2</v>
      </c>
      <c r="I283" t="n">
        <v>0</v>
      </c>
      <c r="J283" t="n">
        <v>0</v>
      </c>
      <c r="K283" t="n">
        <v>0</v>
      </c>
      <c r="L283" t="n">
        <v>0</v>
      </c>
      <c r="M283" t="n">
        <v>0</v>
      </c>
      <c r="N283" t="n">
        <v>0</v>
      </c>
      <c r="O283" t="n">
        <v>0</v>
      </c>
      <c r="P283" t="n">
        <v>0</v>
      </c>
      <c r="Q283" t="n">
        <v>2</v>
      </c>
      <c r="R283" s="2" t="inlineStr">
        <is>
          <t>Lopplummer (aggregat)
Revlummer</t>
        </is>
      </c>
      <c r="S283">
        <f>HYPERLINK("https://klasma.github.io/Logging_0331/artfynd/A 60103-2025 artfynd.xlsx", "A 60103-2025")</f>
        <v/>
      </c>
      <c r="T283">
        <f>HYPERLINK("https://klasma.github.io/Logging_0331/kartor/A 60103-2025 karta.png", "A 60103-2025")</f>
        <v/>
      </c>
      <c r="V283">
        <f>HYPERLINK("https://klasma.github.io/Logging_0331/klagomål/A 60103-2025 FSC-klagomål.docx", "A 60103-2025")</f>
        <v/>
      </c>
      <c r="W283">
        <f>HYPERLINK("https://klasma.github.io/Logging_0331/klagomålsmail/A 60103-2025 FSC-klagomål mail.docx", "A 60103-2025")</f>
        <v/>
      </c>
      <c r="X283">
        <f>HYPERLINK("https://klasma.github.io/Logging_0331/tillsyn/A 60103-2025 tillsynsbegäran.docx", "A 60103-2025")</f>
        <v/>
      </c>
      <c r="Y283">
        <f>HYPERLINK("https://klasma.github.io/Logging_0331/tillsynsmail/A 60103-2025 tillsynsbegäran mail.docx", "A 60103-2025")</f>
        <v/>
      </c>
    </row>
    <row r="284" ht="15" customHeight="1">
      <c r="A284" t="inlineStr">
        <is>
          <t>A 2554-2024</t>
        </is>
      </c>
      <c r="B284" s="1" t="n">
        <v>45313</v>
      </c>
      <c r="C284" s="1" t="n">
        <v>46098</v>
      </c>
      <c r="D284" t="inlineStr">
        <is>
          <t>UPPSALA LÄN</t>
        </is>
      </c>
      <c r="E284" t="inlineStr">
        <is>
          <t>HEBY</t>
        </is>
      </c>
      <c r="G284" t="n">
        <v>2.4</v>
      </c>
      <c r="H284" t="n">
        <v>1</v>
      </c>
      <c r="I284" t="n">
        <v>0</v>
      </c>
      <c r="J284" t="n">
        <v>1</v>
      </c>
      <c r="K284" t="n">
        <v>1</v>
      </c>
      <c r="L284" t="n">
        <v>0</v>
      </c>
      <c r="M284" t="n">
        <v>0</v>
      </c>
      <c r="N284" t="n">
        <v>0</v>
      </c>
      <c r="O284" t="n">
        <v>2</v>
      </c>
      <c r="P284" t="n">
        <v>1</v>
      </c>
      <c r="Q284" t="n">
        <v>2</v>
      </c>
      <c r="R284" s="2" t="inlineStr">
        <is>
          <t>Knärot
Motaggsvamp</t>
        </is>
      </c>
      <c r="S284">
        <f>HYPERLINK("https://klasma.github.io/Logging_0331/artfynd/A 2554-2024 artfynd.xlsx", "A 2554-2024")</f>
        <v/>
      </c>
      <c r="T284">
        <f>HYPERLINK("https://klasma.github.io/Logging_0331/kartor/A 2554-2024 karta.png", "A 2554-2024")</f>
        <v/>
      </c>
      <c r="U284">
        <f>HYPERLINK("https://klasma.github.io/Logging_0331/knärot/A 2554-2024 karta knärot.png", "A 2554-2024")</f>
        <v/>
      </c>
      <c r="V284">
        <f>HYPERLINK("https://klasma.github.io/Logging_0331/klagomål/A 2554-2024 FSC-klagomål.docx", "A 2554-2024")</f>
        <v/>
      </c>
      <c r="W284">
        <f>HYPERLINK("https://klasma.github.io/Logging_0331/klagomålsmail/A 2554-2024 FSC-klagomål mail.docx", "A 2554-2024")</f>
        <v/>
      </c>
      <c r="X284">
        <f>HYPERLINK("https://klasma.github.io/Logging_0331/tillsyn/A 2554-2024 tillsynsbegäran.docx", "A 2554-2024")</f>
        <v/>
      </c>
      <c r="Y284">
        <f>HYPERLINK("https://klasma.github.io/Logging_0331/tillsynsmail/A 2554-2024 tillsynsbegäran mail.docx", "A 2554-2024")</f>
        <v/>
      </c>
    </row>
    <row r="285" ht="15" customHeight="1">
      <c r="A285" t="inlineStr">
        <is>
          <t>A 58906-2021</t>
        </is>
      </c>
      <c r="B285" s="1" t="n">
        <v>44489</v>
      </c>
      <c r="C285" s="1" t="n">
        <v>46098</v>
      </c>
      <c r="D285" t="inlineStr">
        <is>
          <t>UPPSALA LÄN</t>
        </is>
      </c>
      <c r="E285" t="inlineStr">
        <is>
          <t>UPPSALA</t>
        </is>
      </c>
      <c r="G285" t="n">
        <v>8.6</v>
      </c>
      <c r="H285" t="n">
        <v>1</v>
      </c>
      <c r="I285" t="n">
        <v>0</v>
      </c>
      <c r="J285" t="n">
        <v>1</v>
      </c>
      <c r="K285" t="n">
        <v>0</v>
      </c>
      <c r="L285" t="n">
        <v>0</v>
      </c>
      <c r="M285" t="n">
        <v>0</v>
      </c>
      <c r="N285" t="n">
        <v>0</v>
      </c>
      <c r="O285" t="n">
        <v>1</v>
      </c>
      <c r="P285" t="n">
        <v>0</v>
      </c>
      <c r="Q285" t="n">
        <v>2</v>
      </c>
      <c r="R285" s="2" t="inlineStr">
        <is>
          <t>Ullticka
Tjäder</t>
        </is>
      </c>
      <c r="S285">
        <f>HYPERLINK("https://klasma.github.io/Logging_0380/artfynd/A 58906-2021 artfynd.xlsx", "A 58906-2021")</f>
        <v/>
      </c>
      <c r="T285">
        <f>HYPERLINK("https://klasma.github.io/Logging_0380/kartor/A 58906-2021 karta.png", "A 58906-2021")</f>
        <v/>
      </c>
      <c r="V285">
        <f>HYPERLINK("https://klasma.github.io/Logging_0380/klagomål/A 58906-2021 FSC-klagomål.docx", "A 58906-2021")</f>
        <v/>
      </c>
      <c r="W285">
        <f>HYPERLINK("https://klasma.github.io/Logging_0380/klagomålsmail/A 58906-2021 FSC-klagomål mail.docx", "A 58906-2021")</f>
        <v/>
      </c>
      <c r="X285">
        <f>HYPERLINK("https://klasma.github.io/Logging_0380/tillsyn/A 58906-2021 tillsynsbegäran.docx", "A 58906-2021")</f>
        <v/>
      </c>
      <c r="Y285">
        <f>HYPERLINK("https://klasma.github.io/Logging_0380/tillsynsmail/A 58906-2021 tillsynsbegäran mail.docx", "A 58906-2021")</f>
        <v/>
      </c>
      <c r="Z285">
        <f>HYPERLINK("https://klasma.github.io/Logging_0380/fåglar/A 58906-2021 prioriterade fågelarter.docx", "A 58906-2021")</f>
        <v/>
      </c>
    </row>
    <row r="286" ht="15" customHeight="1">
      <c r="A286" t="inlineStr">
        <is>
          <t>A 18425-2025</t>
        </is>
      </c>
      <c r="B286" s="1" t="n">
        <v>45762.62260416667</v>
      </c>
      <c r="C286" s="1" t="n">
        <v>46098</v>
      </c>
      <c r="D286" t="inlineStr">
        <is>
          <t>UPPSALA LÄN</t>
        </is>
      </c>
      <c r="E286" t="inlineStr">
        <is>
          <t>UPPSALA</t>
        </is>
      </c>
      <c r="G286" t="n">
        <v>9.800000000000001</v>
      </c>
      <c r="H286" t="n">
        <v>1</v>
      </c>
      <c r="I286" t="n">
        <v>0</v>
      </c>
      <c r="J286" t="n">
        <v>2</v>
      </c>
      <c r="K286" t="n">
        <v>0</v>
      </c>
      <c r="L286" t="n">
        <v>0</v>
      </c>
      <c r="M286" t="n">
        <v>0</v>
      </c>
      <c r="N286" t="n">
        <v>0</v>
      </c>
      <c r="O286" t="n">
        <v>2</v>
      </c>
      <c r="P286" t="n">
        <v>0</v>
      </c>
      <c r="Q286" t="n">
        <v>2</v>
      </c>
      <c r="R286" s="2" t="inlineStr">
        <is>
          <t>Spillkråka
Tallticka</t>
        </is>
      </c>
      <c r="S286">
        <f>HYPERLINK("https://klasma.github.io/Logging_0380/artfynd/A 18425-2025 artfynd.xlsx", "A 18425-2025")</f>
        <v/>
      </c>
      <c r="T286">
        <f>HYPERLINK("https://klasma.github.io/Logging_0380/kartor/A 18425-2025 karta.png", "A 18425-2025")</f>
        <v/>
      </c>
      <c r="V286">
        <f>HYPERLINK("https://klasma.github.io/Logging_0380/klagomål/A 18425-2025 FSC-klagomål.docx", "A 18425-2025")</f>
        <v/>
      </c>
      <c r="W286">
        <f>HYPERLINK("https://klasma.github.io/Logging_0380/klagomålsmail/A 18425-2025 FSC-klagomål mail.docx", "A 18425-2025")</f>
        <v/>
      </c>
      <c r="X286">
        <f>HYPERLINK("https://klasma.github.io/Logging_0380/tillsyn/A 18425-2025 tillsynsbegäran.docx", "A 18425-2025")</f>
        <v/>
      </c>
      <c r="Y286">
        <f>HYPERLINK("https://klasma.github.io/Logging_0380/tillsynsmail/A 18425-2025 tillsynsbegäran mail.docx", "A 18425-2025")</f>
        <v/>
      </c>
      <c r="Z286">
        <f>HYPERLINK("https://klasma.github.io/Logging_0380/fåglar/A 18425-2025 prioriterade fågelarter.docx", "A 18425-2025")</f>
        <v/>
      </c>
    </row>
    <row r="287" ht="15" customHeight="1">
      <c r="A287" t="inlineStr">
        <is>
          <t>A 60898-2025</t>
        </is>
      </c>
      <c r="B287" s="1" t="n">
        <v>45999.58256944444</v>
      </c>
      <c r="C287" s="1" t="n">
        <v>46098</v>
      </c>
      <c r="D287" t="inlineStr">
        <is>
          <t>UPPSALA LÄN</t>
        </is>
      </c>
      <c r="E287" t="inlineStr">
        <is>
          <t>ÖSTHAMMAR</t>
        </is>
      </c>
      <c r="G287" t="n">
        <v>3.9</v>
      </c>
      <c r="H287" t="n">
        <v>0</v>
      </c>
      <c r="I287" t="n">
        <v>2</v>
      </c>
      <c r="J287" t="n">
        <v>0</v>
      </c>
      <c r="K287" t="n">
        <v>0</v>
      </c>
      <c r="L287" t="n">
        <v>0</v>
      </c>
      <c r="M287" t="n">
        <v>0</v>
      </c>
      <c r="N287" t="n">
        <v>0</v>
      </c>
      <c r="O287" t="n">
        <v>0</v>
      </c>
      <c r="P287" t="n">
        <v>0</v>
      </c>
      <c r="Q287" t="n">
        <v>2</v>
      </c>
      <c r="R287" s="2" t="inlineStr">
        <is>
          <t>Anisspindling
Svavelriska</t>
        </is>
      </c>
      <c r="S287">
        <f>HYPERLINK("https://klasma.github.io/Logging_0382/artfynd/A 60898-2025 artfynd.xlsx", "A 60898-2025")</f>
        <v/>
      </c>
      <c r="T287">
        <f>HYPERLINK("https://klasma.github.io/Logging_0382/kartor/A 60898-2025 karta.png", "A 60898-2025")</f>
        <v/>
      </c>
      <c r="V287">
        <f>HYPERLINK("https://klasma.github.io/Logging_0382/klagomål/A 60898-2025 FSC-klagomål.docx", "A 60898-2025")</f>
        <v/>
      </c>
      <c r="W287">
        <f>HYPERLINK("https://klasma.github.io/Logging_0382/klagomålsmail/A 60898-2025 FSC-klagomål mail.docx", "A 60898-2025")</f>
        <v/>
      </c>
      <c r="X287">
        <f>HYPERLINK("https://klasma.github.io/Logging_0382/tillsyn/A 60898-2025 tillsynsbegäran.docx", "A 60898-2025")</f>
        <v/>
      </c>
      <c r="Y287">
        <f>HYPERLINK("https://klasma.github.io/Logging_0382/tillsynsmail/A 60898-2025 tillsynsbegäran mail.docx", "A 60898-2025")</f>
        <v/>
      </c>
    </row>
    <row r="288" ht="15" customHeight="1">
      <c r="A288" t="inlineStr">
        <is>
          <t>A 61400-2025</t>
        </is>
      </c>
      <c r="B288" s="1" t="n">
        <v>46001.47858796296</v>
      </c>
      <c r="C288" s="1" t="n">
        <v>46098</v>
      </c>
      <c r="D288" t="inlineStr">
        <is>
          <t>UPPSALA LÄN</t>
        </is>
      </c>
      <c r="E288" t="inlineStr">
        <is>
          <t>ÖSTHAMMAR</t>
        </is>
      </c>
      <c r="F288" t="inlineStr">
        <is>
          <t>Naturvårdsverket</t>
        </is>
      </c>
      <c r="G288" t="n">
        <v>10.9</v>
      </c>
      <c r="H288" t="n">
        <v>0</v>
      </c>
      <c r="I288" t="n">
        <v>2</v>
      </c>
      <c r="J288" t="n">
        <v>0</v>
      </c>
      <c r="K288" t="n">
        <v>0</v>
      </c>
      <c r="L288" t="n">
        <v>0</v>
      </c>
      <c r="M288" t="n">
        <v>0</v>
      </c>
      <c r="N288" t="n">
        <v>0</v>
      </c>
      <c r="O288" t="n">
        <v>0</v>
      </c>
      <c r="P288" t="n">
        <v>0</v>
      </c>
      <c r="Q288" t="n">
        <v>2</v>
      </c>
      <c r="R288" s="2" t="inlineStr">
        <is>
          <t>Granbarkgnagare
Kattfotslav</t>
        </is>
      </c>
      <c r="S288">
        <f>HYPERLINK("https://klasma.github.io/Logging_0382/artfynd/A 61400-2025 artfynd.xlsx", "A 61400-2025")</f>
        <v/>
      </c>
      <c r="T288">
        <f>HYPERLINK("https://klasma.github.io/Logging_0382/kartor/A 61400-2025 karta.png", "A 61400-2025")</f>
        <v/>
      </c>
      <c r="V288">
        <f>HYPERLINK("https://klasma.github.io/Logging_0382/klagomål/A 61400-2025 FSC-klagomål.docx", "A 61400-2025")</f>
        <v/>
      </c>
      <c r="W288">
        <f>HYPERLINK("https://klasma.github.io/Logging_0382/klagomålsmail/A 61400-2025 FSC-klagomål mail.docx", "A 61400-2025")</f>
        <v/>
      </c>
      <c r="X288">
        <f>HYPERLINK("https://klasma.github.io/Logging_0382/tillsyn/A 61400-2025 tillsynsbegäran.docx", "A 61400-2025")</f>
        <v/>
      </c>
      <c r="Y288">
        <f>HYPERLINK("https://klasma.github.io/Logging_0382/tillsynsmail/A 61400-2025 tillsynsbegäran mail.docx", "A 61400-2025")</f>
        <v/>
      </c>
    </row>
    <row r="289" ht="15" customHeight="1">
      <c r="A289" t="inlineStr">
        <is>
          <t>A 33269-2025</t>
        </is>
      </c>
      <c r="B289" s="1" t="n">
        <v>45840.68208333333</v>
      </c>
      <c r="C289" s="1" t="n">
        <v>46098</v>
      </c>
      <c r="D289" t="inlineStr">
        <is>
          <t>UPPSALA LÄN</t>
        </is>
      </c>
      <c r="E289" t="inlineStr">
        <is>
          <t>ÖSTHAMMAR</t>
        </is>
      </c>
      <c r="G289" t="n">
        <v>14.9</v>
      </c>
      <c r="H289" t="n">
        <v>0</v>
      </c>
      <c r="I289" t="n">
        <v>1</v>
      </c>
      <c r="J289" t="n">
        <v>0</v>
      </c>
      <c r="K289" t="n">
        <v>1</v>
      </c>
      <c r="L289" t="n">
        <v>0</v>
      </c>
      <c r="M289" t="n">
        <v>0</v>
      </c>
      <c r="N289" t="n">
        <v>0</v>
      </c>
      <c r="O289" t="n">
        <v>1</v>
      </c>
      <c r="P289" t="n">
        <v>1</v>
      </c>
      <c r="Q289" t="n">
        <v>2</v>
      </c>
      <c r="R289" s="2" t="inlineStr">
        <is>
          <t>Violgubbe
Kamjordstjärna</t>
        </is>
      </c>
      <c r="S289">
        <f>HYPERLINK("https://klasma.github.io/Logging_0382/artfynd/A 33269-2025 artfynd.xlsx", "A 33269-2025")</f>
        <v/>
      </c>
      <c r="T289">
        <f>HYPERLINK("https://klasma.github.io/Logging_0382/kartor/A 33269-2025 karta.png", "A 33269-2025")</f>
        <v/>
      </c>
      <c r="V289">
        <f>HYPERLINK("https://klasma.github.io/Logging_0382/klagomål/A 33269-2025 FSC-klagomål.docx", "A 33269-2025")</f>
        <v/>
      </c>
      <c r="W289">
        <f>HYPERLINK("https://klasma.github.io/Logging_0382/klagomålsmail/A 33269-2025 FSC-klagomål mail.docx", "A 33269-2025")</f>
        <v/>
      </c>
      <c r="X289">
        <f>HYPERLINK("https://klasma.github.io/Logging_0382/tillsyn/A 33269-2025 tillsynsbegäran.docx", "A 33269-2025")</f>
        <v/>
      </c>
      <c r="Y289">
        <f>HYPERLINK("https://klasma.github.io/Logging_0382/tillsynsmail/A 33269-2025 tillsynsbegäran mail.docx", "A 33269-2025")</f>
        <v/>
      </c>
    </row>
    <row r="290" ht="15" customHeight="1">
      <c r="A290" t="inlineStr">
        <is>
          <t>A 33708-2025</t>
        </is>
      </c>
      <c r="B290" s="1" t="n">
        <v>45841.81555555556</v>
      </c>
      <c r="C290" s="1" t="n">
        <v>46098</v>
      </c>
      <c r="D290" t="inlineStr">
        <is>
          <t>UPPSALA LÄN</t>
        </is>
      </c>
      <c r="E290" t="inlineStr">
        <is>
          <t>UPPSALA</t>
        </is>
      </c>
      <c r="F290" t="inlineStr">
        <is>
          <t>Holmen skog AB</t>
        </is>
      </c>
      <c r="G290" t="n">
        <v>2</v>
      </c>
      <c r="H290" t="n">
        <v>0</v>
      </c>
      <c r="I290" t="n">
        <v>1</v>
      </c>
      <c r="J290" t="n">
        <v>0</v>
      </c>
      <c r="K290" t="n">
        <v>0</v>
      </c>
      <c r="L290" t="n">
        <v>0</v>
      </c>
      <c r="M290" t="n">
        <v>1</v>
      </c>
      <c r="N290" t="n">
        <v>0</v>
      </c>
      <c r="O290" t="n">
        <v>1</v>
      </c>
      <c r="P290" t="n">
        <v>1</v>
      </c>
      <c r="Q290" t="n">
        <v>2</v>
      </c>
      <c r="R290" s="2" t="inlineStr">
        <is>
          <t>Skogsalm
Svavelriska</t>
        </is>
      </c>
      <c r="S290">
        <f>HYPERLINK("https://klasma.github.io/Logging_0380/artfynd/A 33708-2025 artfynd.xlsx", "A 33708-2025")</f>
        <v/>
      </c>
      <c r="T290">
        <f>HYPERLINK("https://klasma.github.io/Logging_0380/kartor/A 33708-2025 karta.png", "A 33708-2025")</f>
        <v/>
      </c>
      <c r="V290">
        <f>HYPERLINK("https://klasma.github.io/Logging_0380/klagomål/A 33708-2025 FSC-klagomål.docx", "A 33708-2025")</f>
        <v/>
      </c>
      <c r="W290">
        <f>HYPERLINK("https://klasma.github.io/Logging_0380/klagomålsmail/A 33708-2025 FSC-klagomål mail.docx", "A 33708-2025")</f>
        <v/>
      </c>
      <c r="X290">
        <f>HYPERLINK("https://klasma.github.io/Logging_0380/tillsyn/A 33708-2025 tillsynsbegäran.docx", "A 33708-2025")</f>
        <v/>
      </c>
      <c r="Y290">
        <f>HYPERLINK("https://klasma.github.io/Logging_0380/tillsynsmail/A 33708-2025 tillsynsbegäran mail.docx", "A 33708-2025")</f>
        <v/>
      </c>
    </row>
    <row r="291" ht="15" customHeight="1">
      <c r="A291" t="inlineStr">
        <is>
          <t>A 44675-2023</t>
        </is>
      </c>
      <c r="B291" s="1" t="n">
        <v>45189</v>
      </c>
      <c r="C291" s="1" t="n">
        <v>46098</v>
      </c>
      <c r="D291" t="inlineStr">
        <is>
          <t>UPPSALA LÄN</t>
        </is>
      </c>
      <c r="E291" t="inlineStr">
        <is>
          <t>UPPSALA</t>
        </is>
      </c>
      <c r="G291" t="n">
        <v>7.1</v>
      </c>
      <c r="H291" t="n">
        <v>2</v>
      </c>
      <c r="I291" t="n">
        <v>0</v>
      </c>
      <c r="J291" t="n">
        <v>1</v>
      </c>
      <c r="K291" t="n">
        <v>1</v>
      </c>
      <c r="L291" t="n">
        <v>0</v>
      </c>
      <c r="M291" t="n">
        <v>0</v>
      </c>
      <c r="N291" t="n">
        <v>0</v>
      </c>
      <c r="O291" t="n">
        <v>2</v>
      </c>
      <c r="P291" t="n">
        <v>1</v>
      </c>
      <c r="Q291" t="n">
        <v>2</v>
      </c>
      <c r="R291" s="2" t="inlineStr">
        <is>
          <t>Knärot
Talltita</t>
        </is>
      </c>
      <c r="S291">
        <f>HYPERLINK("https://klasma.github.io/Logging_0380/artfynd/A 44675-2023 artfynd.xlsx", "A 44675-2023")</f>
        <v/>
      </c>
      <c r="T291">
        <f>HYPERLINK("https://klasma.github.io/Logging_0380/kartor/A 44675-2023 karta.png", "A 44675-2023")</f>
        <v/>
      </c>
      <c r="U291">
        <f>HYPERLINK("https://klasma.github.io/Logging_0380/knärot/A 44675-2023 karta knärot.png", "A 44675-2023")</f>
        <v/>
      </c>
      <c r="V291">
        <f>HYPERLINK("https://klasma.github.io/Logging_0380/klagomål/A 44675-2023 FSC-klagomål.docx", "A 44675-2023")</f>
        <v/>
      </c>
      <c r="W291">
        <f>HYPERLINK("https://klasma.github.io/Logging_0380/klagomålsmail/A 44675-2023 FSC-klagomål mail.docx", "A 44675-2023")</f>
        <v/>
      </c>
      <c r="X291">
        <f>HYPERLINK("https://klasma.github.io/Logging_0380/tillsyn/A 44675-2023 tillsynsbegäran.docx", "A 44675-2023")</f>
        <v/>
      </c>
      <c r="Y291">
        <f>HYPERLINK("https://klasma.github.io/Logging_0380/tillsynsmail/A 44675-2023 tillsynsbegäran mail.docx", "A 44675-2023")</f>
        <v/>
      </c>
      <c r="Z291">
        <f>HYPERLINK("https://klasma.github.io/Logging_0380/fåglar/A 44675-2023 prioriterade fågelarter.docx", "A 44675-2023")</f>
        <v/>
      </c>
    </row>
    <row r="292" ht="15" customHeight="1">
      <c r="A292" t="inlineStr">
        <is>
          <t>A 15040-2024</t>
        </is>
      </c>
      <c r="B292" s="1" t="n">
        <v>45399.48680555556</v>
      </c>
      <c r="C292" s="1" t="n">
        <v>46098</v>
      </c>
      <c r="D292" t="inlineStr">
        <is>
          <t>UPPSALA LÄN</t>
        </is>
      </c>
      <c r="E292" t="inlineStr">
        <is>
          <t>TIERP</t>
        </is>
      </c>
      <c r="G292" t="n">
        <v>7.2</v>
      </c>
      <c r="H292" t="n">
        <v>1</v>
      </c>
      <c r="I292" t="n">
        <v>2</v>
      </c>
      <c r="J292" t="n">
        <v>0</v>
      </c>
      <c r="K292" t="n">
        <v>0</v>
      </c>
      <c r="L292" t="n">
        <v>0</v>
      </c>
      <c r="M292" t="n">
        <v>0</v>
      </c>
      <c r="N292" t="n">
        <v>0</v>
      </c>
      <c r="O292" t="n">
        <v>0</v>
      </c>
      <c r="P292" t="n">
        <v>0</v>
      </c>
      <c r="Q292" t="n">
        <v>2</v>
      </c>
      <c r="R292" s="2" t="inlineStr">
        <is>
          <t>Granbräken
Grönkulla</t>
        </is>
      </c>
      <c r="S292">
        <f>HYPERLINK("https://klasma.github.io/Logging_0360/artfynd/A 15040-2024 artfynd.xlsx", "A 15040-2024")</f>
        <v/>
      </c>
      <c r="T292">
        <f>HYPERLINK("https://klasma.github.io/Logging_0360/kartor/A 15040-2024 karta.png", "A 15040-2024")</f>
        <v/>
      </c>
      <c r="V292">
        <f>HYPERLINK("https://klasma.github.io/Logging_0360/klagomål/A 15040-2024 FSC-klagomål.docx", "A 15040-2024")</f>
        <v/>
      </c>
      <c r="W292">
        <f>HYPERLINK("https://klasma.github.io/Logging_0360/klagomålsmail/A 15040-2024 FSC-klagomål mail.docx", "A 15040-2024")</f>
        <v/>
      </c>
      <c r="X292">
        <f>HYPERLINK("https://klasma.github.io/Logging_0360/tillsyn/A 15040-2024 tillsynsbegäran.docx", "A 15040-2024")</f>
        <v/>
      </c>
      <c r="Y292">
        <f>HYPERLINK("https://klasma.github.io/Logging_0360/tillsynsmail/A 15040-2024 tillsynsbegäran mail.docx", "A 15040-2024")</f>
        <v/>
      </c>
    </row>
    <row r="293" ht="15" customHeight="1">
      <c r="A293" t="inlineStr">
        <is>
          <t>A 63026-2025</t>
        </is>
      </c>
      <c r="B293" s="1" t="n">
        <v>46009.59555555556</v>
      </c>
      <c r="C293" s="1" t="n">
        <v>46098</v>
      </c>
      <c r="D293" t="inlineStr">
        <is>
          <t>UPPSALA LÄN</t>
        </is>
      </c>
      <c r="E293" t="inlineStr">
        <is>
          <t>UPPSALA</t>
        </is>
      </c>
      <c r="G293" t="n">
        <v>1.1</v>
      </c>
      <c r="H293" t="n">
        <v>1</v>
      </c>
      <c r="I293" t="n">
        <v>1</v>
      </c>
      <c r="J293" t="n">
        <v>1</v>
      </c>
      <c r="K293" t="n">
        <v>0</v>
      </c>
      <c r="L293" t="n">
        <v>0</v>
      </c>
      <c r="M293" t="n">
        <v>0</v>
      </c>
      <c r="N293" t="n">
        <v>0</v>
      </c>
      <c r="O293" t="n">
        <v>1</v>
      </c>
      <c r="P293" t="n">
        <v>0</v>
      </c>
      <c r="Q293" t="n">
        <v>2</v>
      </c>
      <c r="R293" s="2" t="inlineStr">
        <is>
          <t>Spillkråka
Jättesvampmal</t>
        </is>
      </c>
      <c r="S293">
        <f>HYPERLINK("https://klasma.github.io/Logging_0380/artfynd/A 63026-2025 artfynd.xlsx", "A 63026-2025")</f>
        <v/>
      </c>
      <c r="T293">
        <f>HYPERLINK("https://klasma.github.io/Logging_0380/kartor/A 63026-2025 karta.png", "A 63026-2025")</f>
        <v/>
      </c>
      <c r="V293">
        <f>HYPERLINK("https://klasma.github.io/Logging_0380/klagomål/A 63026-2025 FSC-klagomål.docx", "A 63026-2025")</f>
        <v/>
      </c>
      <c r="W293">
        <f>HYPERLINK("https://klasma.github.io/Logging_0380/klagomålsmail/A 63026-2025 FSC-klagomål mail.docx", "A 63026-2025")</f>
        <v/>
      </c>
      <c r="X293">
        <f>HYPERLINK("https://klasma.github.io/Logging_0380/tillsyn/A 63026-2025 tillsynsbegäran.docx", "A 63026-2025")</f>
        <v/>
      </c>
      <c r="Y293">
        <f>HYPERLINK("https://klasma.github.io/Logging_0380/tillsynsmail/A 63026-2025 tillsynsbegäran mail.docx", "A 63026-2025")</f>
        <v/>
      </c>
      <c r="Z293">
        <f>HYPERLINK("https://klasma.github.io/Logging_0380/fåglar/A 63026-2025 prioriterade fågelarter.docx", "A 63026-2025")</f>
        <v/>
      </c>
    </row>
    <row r="294" ht="15" customHeight="1">
      <c r="A294" t="inlineStr">
        <is>
          <t>A 37768-2025</t>
        </is>
      </c>
      <c r="B294" s="1" t="n">
        <v>45880</v>
      </c>
      <c r="C294" s="1" t="n">
        <v>46098</v>
      </c>
      <c r="D294" t="inlineStr">
        <is>
          <t>UPPSALA LÄN</t>
        </is>
      </c>
      <c r="E294" t="inlineStr">
        <is>
          <t>ÖSTHAMMAR</t>
        </is>
      </c>
      <c r="G294" t="n">
        <v>4.8</v>
      </c>
      <c r="H294" t="n">
        <v>0</v>
      </c>
      <c r="I294" t="n">
        <v>1</v>
      </c>
      <c r="J294" t="n">
        <v>1</v>
      </c>
      <c r="K294" t="n">
        <v>0</v>
      </c>
      <c r="L294" t="n">
        <v>0</v>
      </c>
      <c r="M294" t="n">
        <v>0</v>
      </c>
      <c r="N294" t="n">
        <v>0</v>
      </c>
      <c r="O294" t="n">
        <v>1</v>
      </c>
      <c r="P294" t="n">
        <v>0</v>
      </c>
      <c r="Q294" t="n">
        <v>2</v>
      </c>
      <c r="R294" s="2" t="inlineStr">
        <is>
          <t>Äggspindling
Anisspindling</t>
        </is>
      </c>
      <c r="S294">
        <f>HYPERLINK("https://klasma.github.io/Logging_0382/artfynd/A 37768-2025 artfynd.xlsx", "A 37768-2025")</f>
        <v/>
      </c>
      <c r="T294">
        <f>HYPERLINK("https://klasma.github.io/Logging_0382/kartor/A 37768-2025 karta.png", "A 37768-2025")</f>
        <v/>
      </c>
      <c r="V294">
        <f>HYPERLINK("https://klasma.github.io/Logging_0382/klagomål/A 37768-2025 FSC-klagomål.docx", "A 37768-2025")</f>
        <v/>
      </c>
      <c r="W294">
        <f>HYPERLINK("https://klasma.github.io/Logging_0382/klagomålsmail/A 37768-2025 FSC-klagomål mail.docx", "A 37768-2025")</f>
        <v/>
      </c>
      <c r="X294">
        <f>HYPERLINK("https://klasma.github.io/Logging_0382/tillsyn/A 37768-2025 tillsynsbegäran.docx", "A 37768-2025")</f>
        <v/>
      </c>
      <c r="Y294">
        <f>HYPERLINK("https://klasma.github.io/Logging_0382/tillsynsmail/A 37768-2025 tillsynsbegäran mail.docx", "A 37768-2025")</f>
        <v/>
      </c>
    </row>
    <row r="295" ht="15" customHeight="1">
      <c r="A295" t="inlineStr">
        <is>
          <t>A 9147-2026</t>
        </is>
      </c>
      <c r="B295" s="1" t="n">
        <v>46070.30649305556</v>
      </c>
      <c r="C295" s="1" t="n">
        <v>46098</v>
      </c>
      <c r="D295" t="inlineStr">
        <is>
          <t>UPPSALA LÄN</t>
        </is>
      </c>
      <c r="E295" t="inlineStr">
        <is>
          <t>ENKÖPING</t>
        </is>
      </c>
      <c r="G295" t="n">
        <v>1.6</v>
      </c>
      <c r="H295" t="n">
        <v>0</v>
      </c>
      <c r="I295" t="n">
        <v>1</v>
      </c>
      <c r="J295" t="n">
        <v>1</v>
      </c>
      <c r="K295" t="n">
        <v>0</v>
      </c>
      <c r="L295" t="n">
        <v>0</v>
      </c>
      <c r="M295" t="n">
        <v>0</v>
      </c>
      <c r="N295" t="n">
        <v>0</v>
      </c>
      <c r="O295" t="n">
        <v>1</v>
      </c>
      <c r="P295" t="n">
        <v>0</v>
      </c>
      <c r="Q295" t="n">
        <v>2</v>
      </c>
      <c r="R295" s="2" t="inlineStr">
        <is>
          <t>Motaggsvamp
Dropptaggsvamp</t>
        </is>
      </c>
      <c r="S295">
        <f>HYPERLINK("https://klasma.github.io/Logging_0381/artfynd/A 9147-2026 artfynd.xlsx", "A 9147-2026")</f>
        <v/>
      </c>
      <c r="T295">
        <f>HYPERLINK("https://klasma.github.io/Logging_0381/kartor/A 9147-2026 karta.png", "A 9147-2026")</f>
        <v/>
      </c>
      <c r="V295">
        <f>HYPERLINK("https://klasma.github.io/Logging_0381/klagomål/A 9147-2026 FSC-klagomål.docx", "A 9147-2026")</f>
        <v/>
      </c>
      <c r="W295">
        <f>HYPERLINK("https://klasma.github.io/Logging_0381/klagomålsmail/A 9147-2026 FSC-klagomål mail.docx", "A 9147-2026")</f>
        <v/>
      </c>
      <c r="X295">
        <f>HYPERLINK("https://klasma.github.io/Logging_0381/tillsyn/A 9147-2026 tillsynsbegäran.docx", "A 9147-2026")</f>
        <v/>
      </c>
      <c r="Y295">
        <f>HYPERLINK("https://klasma.github.io/Logging_0381/tillsynsmail/A 9147-2026 tillsynsbegäran mail.docx", "A 9147-2026")</f>
        <v/>
      </c>
    </row>
    <row r="296" ht="15" customHeight="1">
      <c r="A296" t="inlineStr">
        <is>
          <t>A 58546-2025</t>
        </is>
      </c>
      <c r="B296" s="1" t="n">
        <v>45985</v>
      </c>
      <c r="C296" s="1" t="n">
        <v>46098</v>
      </c>
      <c r="D296" t="inlineStr">
        <is>
          <t>UPPSALA LÄN</t>
        </is>
      </c>
      <c r="E296" t="inlineStr">
        <is>
          <t>UPPSALA</t>
        </is>
      </c>
      <c r="G296" t="n">
        <v>0.6</v>
      </c>
      <c r="H296" t="n">
        <v>1</v>
      </c>
      <c r="I296" t="n">
        <v>0</v>
      </c>
      <c r="J296" t="n">
        <v>1</v>
      </c>
      <c r="K296" t="n">
        <v>0</v>
      </c>
      <c r="L296" t="n">
        <v>0</v>
      </c>
      <c r="M296" t="n">
        <v>0</v>
      </c>
      <c r="N296" t="n">
        <v>0</v>
      </c>
      <c r="O296" t="n">
        <v>1</v>
      </c>
      <c r="P296" t="n">
        <v>0</v>
      </c>
      <c r="Q296" t="n">
        <v>2</v>
      </c>
      <c r="R296" s="2" t="inlineStr">
        <is>
          <t>Vedtrappmossa
Revlummer</t>
        </is>
      </c>
      <c r="S296">
        <f>HYPERLINK("https://klasma.github.io/Logging_0380/artfynd/A 58546-2025 artfynd.xlsx", "A 58546-2025")</f>
        <v/>
      </c>
      <c r="T296">
        <f>HYPERLINK("https://klasma.github.io/Logging_0380/kartor/A 58546-2025 karta.png", "A 58546-2025")</f>
        <v/>
      </c>
      <c r="U296">
        <f>HYPERLINK("https://klasma.github.io/Logging_0380/knärot/A 58546-2025 karta knärot.png", "A 58546-2025")</f>
        <v/>
      </c>
      <c r="V296">
        <f>HYPERLINK("https://klasma.github.io/Logging_0380/klagomål/A 58546-2025 FSC-klagomål.docx", "A 58546-2025")</f>
        <v/>
      </c>
      <c r="W296">
        <f>HYPERLINK("https://klasma.github.io/Logging_0380/klagomålsmail/A 58546-2025 FSC-klagomål mail.docx", "A 58546-2025")</f>
        <v/>
      </c>
      <c r="X296">
        <f>HYPERLINK("https://klasma.github.io/Logging_0380/tillsyn/A 58546-2025 tillsynsbegäran.docx", "A 58546-2025")</f>
        <v/>
      </c>
      <c r="Y296">
        <f>HYPERLINK("https://klasma.github.io/Logging_0380/tillsynsmail/A 58546-2025 tillsynsbegäran mail.docx", "A 58546-2025")</f>
        <v/>
      </c>
    </row>
    <row r="297" ht="15" customHeight="1">
      <c r="A297" t="inlineStr">
        <is>
          <t>A 18539-2024</t>
        </is>
      </c>
      <c r="B297" s="1" t="n">
        <v>45425.63697916667</v>
      </c>
      <c r="C297" s="1" t="n">
        <v>46098</v>
      </c>
      <c r="D297" t="inlineStr">
        <is>
          <t>UPPSALA LÄN</t>
        </is>
      </c>
      <c r="E297" t="inlineStr">
        <is>
          <t>ÖSTHAMMAR</t>
        </is>
      </c>
      <c r="G297" t="n">
        <v>4.7</v>
      </c>
      <c r="H297" t="n">
        <v>0</v>
      </c>
      <c r="I297" t="n">
        <v>2</v>
      </c>
      <c r="J297" t="n">
        <v>0</v>
      </c>
      <c r="K297" t="n">
        <v>0</v>
      </c>
      <c r="L297" t="n">
        <v>0</v>
      </c>
      <c r="M297" t="n">
        <v>0</v>
      </c>
      <c r="N297" t="n">
        <v>0</v>
      </c>
      <c r="O297" t="n">
        <v>0</v>
      </c>
      <c r="P297" t="n">
        <v>0</v>
      </c>
      <c r="Q297" t="n">
        <v>2</v>
      </c>
      <c r="R297" s="2" t="inlineStr">
        <is>
          <t>Bronshjon
Vågbandad barkbock</t>
        </is>
      </c>
      <c r="S297">
        <f>HYPERLINK("https://klasma.github.io/Logging_0382/artfynd/A 18539-2024 artfynd.xlsx", "A 18539-2024")</f>
        <v/>
      </c>
      <c r="T297">
        <f>HYPERLINK("https://klasma.github.io/Logging_0382/kartor/A 18539-2024 karta.png", "A 18539-2024")</f>
        <v/>
      </c>
      <c r="V297">
        <f>HYPERLINK("https://klasma.github.io/Logging_0382/klagomål/A 18539-2024 FSC-klagomål.docx", "A 18539-2024")</f>
        <v/>
      </c>
      <c r="W297">
        <f>HYPERLINK("https://klasma.github.io/Logging_0382/klagomålsmail/A 18539-2024 FSC-klagomål mail.docx", "A 18539-2024")</f>
        <v/>
      </c>
      <c r="X297">
        <f>HYPERLINK("https://klasma.github.io/Logging_0382/tillsyn/A 18539-2024 tillsynsbegäran.docx", "A 18539-2024")</f>
        <v/>
      </c>
      <c r="Y297">
        <f>HYPERLINK("https://klasma.github.io/Logging_0382/tillsynsmail/A 18539-2024 tillsynsbegäran mail.docx", "A 18539-2024")</f>
        <v/>
      </c>
    </row>
    <row r="298" ht="15" customHeight="1">
      <c r="A298" t="inlineStr">
        <is>
          <t>A 50105-2023</t>
        </is>
      </c>
      <c r="B298" s="1" t="n">
        <v>45215</v>
      </c>
      <c r="C298" s="1" t="n">
        <v>46098</v>
      </c>
      <c r="D298" t="inlineStr">
        <is>
          <t>UPPSALA LÄN</t>
        </is>
      </c>
      <c r="E298" t="inlineStr">
        <is>
          <t>ENKÖPING</t>
        </is>
      </c>
      <c r="G298" t="n">
        <v>8.5</v>
      </c>
      <c r="H298" t="n">
        <v>0</v>
      </c>
      <c r="I298" t="n">
        <v>0</v>
      </c>
      <c r="J298" t="n">
        <v>1</v>
      </c>
      <c r="K298" t="n">
        <v>1</v>
      </c>
      <c r="L298" t="n">
        <v>0</v>
      </c>
      <c r="M298" t="n">
        <v>0</v>
      </c>
      <c r="N298" t="n">
        <v>0</v>
      </c>
      <c r="O298" t="n">
        <v>2</v>
      </c>
      <c r="P298" t="n">
        <v>1</v>
      </c>
      <c r="Q298" t="n">
        <v>2</v>
      </c>
      <c r="R298" s="2" t="inlineStr">
        <is>
          <t>Smalskaftslav
Ullticka</t>
        </is>
      </c>
      <c r="S298">
        <f>HYPERLINK("https://klasma.github.io/Logging_0381/artfynd/A 50105-2023 artfynd.xlsx", "A 50105-2023")</f>
        <v/>
      </c>
      <c r="T298">
        <f>HYPERLINK("https://klasma.github.io/Logging_0381/kartor/A 50105-2023 karta.png", "A 50105-2023")</f>
        <v/>
      </c>
      <c r="V298">
        <f>HYPERLINK("https://klasma.github.io/Logging_0381/klagomål/A 50105-2023 FSC-klagomål.docx", "A 50105-2023")</f>
        <v/>
      </c>
      <c r="W298">
        <f>HYPERLINK("https://klasma.github.io/Logging_0381/klagomålsmail/A 50105-2023 FSC-klagomål mail.docx", "A 50105-2023")</f>
        <v/>
      </c>
      <c r="X298">
        <f>HYPERLINK("https://klasma.github.io/Logging_0381/tillsyn/A 50105-2023 tillsynsbegäran.docx", "A 50105-2023")</f>
        <v/>
      </c>
      <c r="Y298">
        <f>HYPERLINK("https://klasma.github.io/Logging_0381/tillsynsmail/A 50105-2023 tillsynsbegäran mail.docx", "A 50105-2023")</f>
        <v/>
      </c>
    </row>
    <row r="299" ht="15" customHeight="1">
      <c r="A299" t="inlineStr">
        <is>
          <t>A 5755-2025</t>
        </is>
      </c>
      <c r="B299" s="1" t="n">
        <v>45694.55559027778</v>
      </c>
      <c r="C299" s="1" t="n">
        <v>46098</v>
      </c>
      <c r="D299" t="inlineStr">
        <is>
          <t>UPPSALA LÄN</t>
        </is>
      </c>
      <c r="E299" t="inlineStr">
        <is>
          <t>UPPSALA</t>
        </is>
      </c>
      <c r="G299" t="n">
        <v>1.3</v>
      </c>
      <c r="H299" t="n">
        <v>0</v>
      </c>
      <c r="I299" t="n">
        <v>2</v>
      </c>
      <c r="J299" t="n">
        <v>0</v>
      </c>
      <c r="K299" t="n">
        <v>0</v>
      </c>
      <c r="L299" t="n">
        <v>0</v>
      </c>
      <c r="M299" t="n">
        <v>0</v>
      </c>
      <c r="N299" t="n">
        <v>0</v>
      </c>
      <c r="O299" t="n">
        <v>0</v>
      </c>
      <c r="P299" t="n">
        <v>0</v>
      </c>
      <c r="Q299" t="n">
        <v>2</v>
      </c>
      <c r="R299" s="2" t="inlineStr">
        <is>
          <t>Fällmossa
Hasselticka</t>
        </is>
      </c>
      <c r="S299">
        <f>HYPERLINK("https://klasma.github.io/Logging_0380/artfynd/A 5755-2025 artfynd.xlsx", "A 5755-2025")</f>
        <v/>
      </c>
      <c r="T299">
        <f>HYPERLINK("https://klasma.github.io/Logging_0380/kartor/A 5755-2025 karta.png", "A 5755-2025")</f>
        <v/>
      </c>
      <c r="V299">
        <f>HYPERLINK("https://klasma.github.io/Logging_0380/klagomål/A 5755-2025 FSC-klagomål.docx", "A 5755-2025")</f>
        <v/>
      </c>
      <c r="W299">
        <f>HYPERLINK("https://klasma.github.io/Logging_0380/klagomålsmail/A 5755-2025 FSC-klagomål mail.docx", "A 5755-2025")</f>
        <v/>
      </c>
      <c r="X299">
        <f>HYPERLINK("https://klasma.github.io/Logging_0380/tillsyn/A 5755-2025 tillsynsbegäran.docx", "A 5755-2025")</f>
        <v/>
      </c>
      <c r="Y299">
        <f>HYPERLINK("https://klasma.github.io/Logging_0380/tillsynsmail/A 5755-2025 tillsynsbegäran mail.docx", "A 5755-2025")</f>
        <v/>
      </c>
    </row>
    <row r="300" ht="15" customHeight="1">
      <c r="A300" t="inlineStr">
        <is>
          <t>A 3853-2025</t>
        </is>
      </c>
      <c r="B300" s="1" t="n">
        <v>45683</v>
      </c>
      <c r="C300" s="1" t="n">
        <v>46098</v>
      </c>
      <c r="D300" t="inlineStr">
        <is>
          <t>UPPSALA LÄN</t>
        </is>
      </c>
      <c r="E300" t="inlineStr">
        <is>
          <t>TIERP</t>
        </is>
      </c>
      <c r="G300" t="n">
        <v>1.4</v>
      </c>
      <c r="H300" t="n">
        <v>2</v>
      </c>
      <c r="I300" t="n">
        <v>1</v>
      </c>
      <c r="J300" t="n">
        <v>0</v>
      </c>
      <c r="K300" t="n">
        <v>0</v>
      </c>
      <c r="L300" t="n">
        <v>0</v>
      </c>
      <c r="M300" t="n">
        <v>0</v>
      </c>
      <c r="N300" t="n">
        <v>0</v>
      </c>
      <c r="O300" t="n">
        <v>0</v>
      </c>
      <c r="P300" t="n">
        <v>0</v>
      </c>
      <c r="Q300" t="n">
        <v>2</v>
      </c>
      <c r="R300" s="2" t="inlineStr">
        <is>
          <t>Tvåblad
Lopplummer (aggregat)</t>
        </is>
      </c>
      <c r="S300">
        <f>HYPERLINK("https://klasma.github.io/Logging_0360/artfynd/A 3853-2025 artfynd.xlsx", "A 3853-2025")</f>
        <v/>
      </c>
      <c r="T300">
        <f>HYPERLINK("https://klasma.github.io/Logging_0360/kartor/A 3853-2025 karta.png", "A 3853-2025")</f>
        <v/>
      </c>
      <c r="V300">
        <f>HYPERLINK("https://klasma.github.io/Logging_0360/klagomål/A 3853-2025 FSC-klagomål.docx", "A 3853-2025")</f>
        <v/>
      </c>
      <c r="W300">
        <f>HYPERLINK("https://klasma.github.io/Logging_0360/klagomålsmail/A 3853-2025 FSC-klagomål mail.docx", "A 3853-2025")</f>
        <v/>
      </c>
      <c r="X300">
        <f>HYPERLINK("https://klasma.github.io/Logging_0360/tillsyn/A 3853-2025 tillsynsbegäran.docx", "A 3853-2025")</f>
        <v/>
      </c>
      <c r="Y300">
        <f>HYPERLINK("https://klasma.github.io/Logging_0360/tillsynsmail/A 3853-2025 tillsynsbegäran mail.docx", "A 3853-2025")</f>
        <v/>
      </c>
    </row>
    <row r="301" ht="15" customHeight="1">
      <c r="A301" t="inlineStr">
        <is>
          <t>A 20553-2025</t>
        </is>
      </c>
      <c r="B301" s="1" t="n">
        <v>45775.63983796296</v>
      </c>
      <c r="C301" s="1" t="n">
        <v>46098</v>
      </c>
      <c r="D301" t="inlineStr">
        <is>
          <t>UPPSALA LÄN</t>
        </is>
      </c>
      <c r="E301" t="inlineStr">
        <is>
          <t>ÖSTHAMMAR</t>
        </is>
      </c>
      <c r="G301" t="n">
        <v>0.4</v>
      </c>
      <c r="H301" t="n">
        <v>0</v>
      </c>
      <c r="I301" t="n">
        <v>2</v>
      </c>
      <c r="J301" t="n">
        <v>0</v>
      </c>
      <c r="K301" t="n">
        <v>0</v>
      </c>
      <c r="L301" t="n">
        <v>0</v>
      </c>
      <c r="M301" t="n">
        <v>0</v>
      </c>
      <c r="N301" t="n">
        <v>0</v>
      </c>
      <c r="O301" t="n">
        <v>0</v>
      </c>
      <c r="P301" t="n">
        <v>0</v>
      </c>
      <c r="Q301" t="n">
        <v>2</v>
      </c>
      <c r="R301" s="2" t="inlineStr">
        <is>
          <t>Jättesvampmal
Robust tickgnagare</t>
        </is>
      </c>
      <c r="S301">
        <f>HYPERLINK("https://klasma.github.io/Logging_0382/artfynd/A 20553-2025 artfynd.xlsx", "A 20553-2025")</f>
        <v/>
      </c>
      <c r="T301">
        <f>HYPERLINK("https://klasma.github.io/Logging_0382/kartor/A 20553-2025 karta.png", "A 20553-2025")</f>
        <v/>
      </c>
      <c r="V301">
        <f>HYPERLINK("https://klasma.github.io/Logging_0382/klagomål/A 20553-2025 FSC-klagomål.docx", "A 20553-2025")</f>
        <v/>
      </c>
      <c r="W301">
        <f>HYPERLINK("https://klasma.github.io/Logging_0382/klagomålsmail/A 20553-2025 FSC-klagomål mail.docx", "A 20553-2025")</f>
        <v/>
      </c>
      <c r="X301">
        <f>HYPERLINK("https://klasma.github.io/Logging_0382/tillsyn/A 20553-2025 tillsynsbegäran.docx", "A 20553-2025")</f>
        <v/>
      </c>
      <c r="Y301">
        <f>HYPERLINK("https://klasma.github.io/Logging_0382/tillsynsmail/A 20553-2025 tillsynsbegäran mail.docx", "A 20553-2025")</f>
        <v/>
      </c>
    </row>
    <row r="302" ht="15" customHeight="1">
      <c r="A302" t="inlineStr">
        <is>
          <t>A 40662-2023</t>
        </is>
      </c>
      <c r="B302" s="1" t="n">
        <v>45170</v>
      </c>
      <c r="C302" s="1" t="n">
        <v>46098</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13287-2022</t>
        </is>
      </c>
      <c r="B303" s="1" t="n">
        <v>44644</v>
      </c>
      <c r="C303" s="1" t="n">
        <v>46098</v>
      </c>
      <c r="D303" t="inlineStr">
        <is>
          <t>UPPSALA LÄN</t>
        </is>
      </c>
      <c r="E303" t="inlineStr">
        <is>
          <t>ÖSTHAMMAR</t>
        </is>
      </c>
      <c r="G303" t="n">
        <v>14.6</v>
      </c>
      <c r="H303" t="n">
        <v>0</v>
      </c>
      <c r="I303" t="n">
        <v>1</v>
      </c>
      <c r="J303" t="n">
        <v>0</v>
      </c>
      <c r="K303" t="n">
        <v>1</v>
      </c>
      <c r="L303" t="n">
        <v>0</v>
      </c>
      <c r="M303" t="n">
        <v>0</v>
      </c>
      <c r="N303" t="n">
        <v>0</v>
      </c>
      <c r="O303" t="n">
        <v>1</v>
      </c>
      <c r="P303" t="n">
        <v>1</v>
      </c>
      <c r="Q303" t="n">
        <v>2</v>
      </c>
      <c r="R303" s="2" t="inlineStr">
        <is>
          <t>Bullspindling
Olivspindling</t>
        </is>
      </c>
      <c r="S303">
        <f>HYPERLINK("https://klasma.github.io/Logging_0382/artfynd/A 13287-2022 artfynd.xlsx", "A 13287-2022")</f>
        <v/>
      </c>
      <c r="T303">
        <f>HYPERLINK("https://klasma.github.io/Logging_0382/kartor/A 13287-2022 karta.png", "A 13287-2022")</f>
        <v/>
      </c>
      <c r="V303">
        <f>HYPERLINK("https://klasma.github.io/Logging_0382/klagomål/A 13287-2022 FSC-klagomål.docx", "A 13287-2022")</f>
        <v/>
      </c>
      <c r="W303">
        <f>HYPERLINK("https://klasma.github.io/Logging_0382/klagomålsmail/A 13287-2022 FSC-klagomål mail.docx", "A 13287-2022")</f>
        <v/>
      </c>
      <c r="X303">
        <f>HYPERLINK("https://klasma.github.io/Logging_0382/tillsyn/A 13287-2022 tillsynsbegäran.docx", "A 13287-2022")</f>
        <v/>
      </c>
      <c r="Y303">
        <f>HYPERLINK("https://klasma.github.io/Logging_0382/tillsynsmail/A 13287-2022 tillsynsbegäran mail.docx", "A 13287-2022")</f>
        <v/>
      </c>
    </row>
    <row r="304" ht="15" customHeight="1">
      <c r="A304" t="inlineStr">
        <is>
          <t>A 45851-2022</t>
        </is>
      </c>
      <c r="B304" s="1" t="n">
        <v>44846</v>
      </c>
      <c r="C304" s="1" t="n">
        <v>46098</v>
      </c>
      <c r="D304" t="inlineStr">
        <is>
          <t>UPPSALA LÄN</t>
        </is>
      </c>
      <c r="E304" t="inlineStr">
        <is>
          <t>TIERP</t>
        </is>
      </c>
      <c r="G304" t="n">
        <v>2.6</v>
      </c>
      <c r="H304" t="n">
        <v>0</v>
      </c>
      <c r="I304" t="n">
        <v>2</v>
      </c>
      <c r="J304" t="n">
        <v>0</v>
      </c>
      <c r="K304" t="n">
        <v>0</v>
      </c>
      <c r="L304" t="n">
        <v>0</v>
      </c>
      <c r="M304" t="n">
        <v>0</v>
      </c>
      <c r="N304" t="n">
        <v>0</v>
      </c>
      <c r="O304" t="n">
        <v>0</v>
      </c>
      <c r="P304" t="n">
        <v>0</v>
      </c>
      <c r="Q304" t="n">
        <v>2</v>
      </c>
      <c r="R304" s="2" t="inlineStr">
        <is>
          <t>Olivspindling
Rödgul trumpetsvamp</t>
        </is>
      </c>
      <c r="S304">
        <f>HYPERLINK("https://klasma.github.io/Logging_0360/artfynd/A 45851-2022 artfynd.xlsx", "A 45851-2022")</f>
        <v/>
      </c>
      <c r="T304">
        <f>HYPERLINK("https://klasma.github.io/Logging_0360/kartor/A 45851-2022 karta.png", "A 45851-2022")</f>
        <v/>
      </c>
      <c r="V304">
        <f>HYPERLINK("https://klasma.github.io/Logging_0360/klagomål/A 45851-2022 FSC-klagomål.docx", "A 45851-2022")</f>
        <v/>
      </c>
      <c r="W304">
        <f>HYPERLINK("https://klasma.github.io/Logging_0360/klagomålsmail/A 45851-2022 FSC-klagomål mail.docx", "A 45851-2022")</f>
        <v/>
      </c>
      <c r="X304">
        <f>HYPERLINK("https://klasma.github.io/Logging_0360/tillsyn/A 45851-2022 tillsynsbegäran.docx", "A 45851-2022")</f>
        <v/>
      </c>
      <c r="Y304">
        <f>HYPERLINK("https://klasma.github.io/Logging_0360/tillsynsmail/A 45851-2022 tillsynsbegäran mail.docx", "A 45851-2022")</f>
        <v/>
      </c>
    </row>
    <row r="305" ht="15" customHeight="1">
      <c r="A305" t="inlineStr">
        <is>
          <t>A 17748-2025</t>
        </is>
      </c>
      <c r="B305" s="1" t="n">
        <v>45758.4828125</v>
      </c>
      <c r="C305" s="1" t="n">
        <v>46098</v>
      </c>
      <c r="D305" t="inlineStr">
        <is>
          <t>UPPSALA LÄN</t>
        </is>
      </c>
      <c r="E305" t="inlineStr">
        <is>
          <t>TIERP</t>
        </is>
      </c>
      <c r="F305" t="inlineStr">
        <is>
          <t>Bergvik skog öst AB</t>
        </is>
      </c>
      <c r="G305" t="n">
        <v>9.800000000000001</v>
      </c>
      <c r="H305" t="n">
        <v>1</v>
      </c>
      <c r="I305" t="n">
        <v>2</v>
      </c>
      <c r="J305" t="n">
        <v>0</v>
      </c>
      <c r="K305" t="n">
        <v>0</v>
      </c>
      <c r="L305" t="n">
        <v>0</v>
      </c>
      <c r="M305" t="n">
        <v>0</v>
      </c>
      <c r="N305" t="n">
        <v>0</v>
      </c>
      <c r="O305" t="n">
        <v>0</v>
      </c>
      <c r="P305" t="n">
        <v>0</v>
      </c>
      <c r="Q305" t="n">
        <v>2</v>
      </c>
      <c r="R305" s="2" t="inlineStr">
        <is>
          <t>Opalfingersvamp
Skogsknipprot</t>
        </is>
      </c>
      <c r="S305">
        <f>HYPERLINK("https://klasma.github.io/Logging_0360/artfynd/A 17748-2025 artfynd.xlsx", "A 17748-2025")</f>
        <v/>
      </c>
      <c r="T305">
        <f>HYPERLINK("https://klasma.github.io/Logging_0360/kartor/A 17748-2025 karta.png", "A 17748-2025")</f>
        <v/>
      </c>
      <c r="V305">
        <f>HYPERLINK("https://klasma.github.io/Logging_0360/klagomål/A 17748-2025 FSC-klagomål.docx", "A 17748-2025")</f>
        <v/>
      </c>
      <c r="W305">
        <f>HYPERLINK("https://klasma.github.io/Logging_0360/klagomålsmail/A 17748-2025 FSC-klagomål mail.docx", "A 17748-2025")</f>
        <v/>
      </c>
      <c r="X305">
        <f>HYPERLINK("https://klasma.github.io/Logging_0360/tillsyn/A 17748-2025 tillsynsbegäran.docx", "A 17748-2025")</f>
        <v/>
      </c>
      <c r="Y305">
        <f>HYPERLINK("https://klasma.github.io/Logging_0360/tillsynsmail/A 17748-2025 tillsynsbegäran mail.docx", "A 17748-2025")</f>
        <v/>
      </c>
    </row>
    <row r="306" ht="15" customHeight="1">
      <c r="A306" t="inlineStr">
        <is>
          <t>A 30943-2024</t>
        </is>
      </c>
      <c r="B306" s="1" t="n">
        <v>45499</v>
      </c>
      <c r="C306" s="1" t="n">
        <v>46098</v>
      </c>
      <c r="D306" t="inlineStr">
        <is>
          <t>UPPSALA LÄN</t>
        </is>
      </c>
      <c r="E306" t="inlineStr">
        <is>
          <t>ÖSTHAMMAR</t>
        </is>
      </c>
      <c r="G306" t="n">
        <v>4.5</v>
      </c>
      <c r="H306" t="n">
        <v>0</v>
      </c>
      <c r="I306" t="n">
        <v>2</v>
      </c>
      <c r="J306" t="n">
        <v>0</v>
      </c>
      <c r="K306" t="n">
        <v>0</v>
      </c>
      <c r="L306" t="n">
        <v>0</v>
      </c>
      <c r="M306" t="n">
        <v>0</v>
      </c>
      <c r="N306" t="n">
        <v>0</v>
      </c>
      <c r="O306" t="n">
        <v>0</v>
      </c>
      <c r="P306" t="n">
        <v>0</v>
      </c>
      <c r="Q306" t="n">
        <v>2</v>
      </c>
      <c r="R306" s="2" t="inlineStr">
        <is>
          <t>Tibast
Underviol</t>
        </is>
      </c>
      <c r="S306">
        <f>HYPERLINK("https://klasma.github.io/Logging_0382/artfynd/A 30943-2024 artfynd.xlsx", "A 30943-2024")</f>
        <v/>
      </c>
      <c r="T306">
        <f>HYPERLINK("https://klasma.github.io/Logging_0382/kartor/A 30943-2024 karta.png", "A 30943-2024")</f>
        <v/>
      </c>
      <c r="V306">
        <f>HYPERLINK("https://klasma.github.io/Logging_0382/klagomål/A 30943-2024 FSC-klagomål.docx", "A 30943-2024")</f>
        <v/>
      </c>
      <c r="W306">
        <f>HYPERLINK("https://klasma.github.io/Logging_0382/klagomålsmail/A 30943-2024 FSC-klagomål mail.docx", "A 30943-2024")</f>
        <v/>
      </c>
      <c r="X306">
        <f>HYPERLINK("https://klasma.github.io/Logging_0382/tillsyn/A 30943-2024 tillsynsbegäran.docx", "A 30943-2024")</f>
        <v/>
      </c>
      <c r="Y306">
        <f>HYPERLINK("https://klasma.github.io/Logging_0382/tillsynsmail/A 30943-2024 tillsynsbegäran mail.docx", "A 30943-2024")</f>
        <v/>
      </c>
    </row>
    <row r="307" ht="15" customHeight="1">
      <c r="A307" t="inlineStr">
        <is>
          <t>A 140-2024</t>
        </is>
      </c>
      <c r="B307" s="1" t="n">
        <v>45294.44883101852</v>
      </c>
      <c r="C307" s="1" t="n">
        <v>46098</v>
      </c>
      <c r="D307" t="inlineStr">
        <is>
          <t>UPPSALA LÄN</t>
        </is>
      </c>
      <c r="E307" t="inlineStr">
        <is>
          <t>TIERP</t>
        </is>
      </c>
      <c r="G307" t="n">
        <v>2.9</v>
      </c>
      <c r="H307" t="n">
        <v>2</v>
      </c>
      <c r="I307" t="n">
        <v>0</v>
      </c>
      <c r="J307" t="n">
        <v>2</v>
      </c>
      <c r="K307" t="n">
        <v>0</v>
      </c>
      <c r="L307" t="n">
        <v>0</v>
      </c>
      <c r="M307" t="n">
        <v>0</v>
      </c>
      <c r="N307" t="n">
        <v>0</v>
      </c>
      <c r="O307" t="n">
        <v>2</v>
      </c>
      <c r="P307" t="n">
        <v>0</v>
      </c>
      <c r="Q307" t="n">
        <v>2</v>
      </c>
      <c r="R307" s="2" t="inlineStr">
        <is>
          <t>Gulsparv
Ärtsångare</t>
        </is>
      </c>
      <c r="S307">
        <f>HYPERLINK("https://klasma.github.io/Logging_0360/artfynd/A 140-2024 artfynd.xlsx", "A 140-2024")</f>
        <v/>
      </c>
      <c r="T307">
        <f>HYPERLINK("https://klasma.github.io/Logging_0360/kartor/A 140-2024 karta.png", "A 140-2024")</f>
        <v/>
      </c>
      <c r="V307">
        <f>HYPERLINK("https://klasma.github.io/Logging_0360/klagomål/A 140-2024 FSC-klagomål.docx", "A 140-2024")</f>
        <v/>
      </c>
      <c r="W307">
        <f>HYPERLINK("https://klasma.github.io/Logging_0360/klagomålsmail/A 140-2024 FSC-klagomål mail.docx", "A 140-2024")</f>
        <v/>
      </c>
      <c r="X307">
        <f>HYPERLINK("https://klasma.github.io/Logging_0360/tillsyn/A 140-2024 tillsynsbegäran.docx", "A 140-2024")</f>
        <v/>
      </c>
      <c r="Y307">
        <f>HYPERLINK("https://klasma.github.io/Logging_0360/tillsynsmail/A 140-2024 tillsynsbegäran mail.docx", "A 140-2024")</f>
        <v/>
      </c>
      <c r="Z307">
        <f>HYPERLINK("https://klasma.github.io/Logging_0360/fåglar/A 140-2024 prioriterade fågelarter.docx", "A 140-2024")</f>
        <v/>
      </c>
    </row>
    <row r="308" ht="15" customHeight="1">
      <c r="A308" t="inlineStr">
        <is>
          <t>A 9646-2024</t>
        </is>
      </c>
      <c r="B308" s="1" t="n">
        <v>45362.37055555556</v>
      </c>
      <c r="C308" s="1" t="n">
        <v>46098</v>
      </c>
      <c r="D308" t="inlineStr">
        <is>
          <t>UPPSALA LÄN</t>
        </is>
      </c>
      <c r="E308" t="inlineStr">
        <is>
          <t>ÖSTHAMMAR</t>
        </is>
      </c>
      <c r="G308" t="n">
        <v>1.6</v>
      </c>
      <c r="H308" t="n">
        <v>0</v>
      </c>
      <c r="I308" t="n">
        <v>0</v>
      </c>
      <c r="J308" t="n">
        <v>1</v>
      </c>
      <c r="K308" t="n">
        <v>1</v>
      </c>
      <c r="L308" t="n">
        <v>0</v>
      </c>
      <c r="M308" t="n">
        <v>0</v>
      </c>
      <c r="N308" t="n">
        <v>0</v>
      </c>
      <c r="O308" t="n">
        <v>2</v>
      </c>
      <c r="P308" t="n">
        <v>1</v>
      </c>
      <c r="Q308" t="n">
        <v>2</v>
      </c>
      <c r="R308" s="2" t="inlineStr">
        <is>
          <t>Violgubbe
Gultoppig fingersvamp</t>
        </is>
      </c>
      <c r="S308">
        <f>HYPERLINK("https://klasma.github.io/Logging_0382/artfynd/A 9646-2024 artfynd.xlsx", "A 9646-2024")</f>
        <v/>
      </c>
      <c r="T308">
        <f>HYPERLINK("https://klasma.github.io/Logging_0382/kartor/A 9646-2024 karta.png", "A 9646-2024")</f>
        <v/>
      </c>
      <c r="V308">
        <f>HYPERLINK("https://klasma.github.io/Logging_0382/klagomål/A 9646-2024 FSC-klagomål.docx", "A 9646-2024")</f>
        <v/>
      </c>
      <c r="W308">
        <f>HYPERLINK("https://klasma.github.io/Logging_0382/klagomålsmail/A 9646-2024 FSC-klagomål mail.docx", "A 9646-2024")</f>
        <v/>
      </c>
      <c r="X308">
        <f>HYPERLINK("https://klasma.github.io/Logging_0382/tillsyn/A 9646-2024 tillsynsbegäran.docx", "A 9646-2024")</f>
        <v/>
      </c>
      <c r="Y308">
        <f>HYPERLINK("https://klasma.github.io/Logging_0382/tillsynsmail/A 9646-2024 tillsynsbegäran mail.docx", "A 9646-2024")</f>
        <v/>
      </c>
    </row>
    <row r="309" ht="15" customHeight="1">
      <c r="A309" t="inlineStr">
        <is>
          <t>A 34979-2023</t>
        </is>
      </c>
      <c r="B309" s="1" t="n">
        <v>45142</v>
      </c>
      <c r="C309" s="1" t="n">
        <v>46098</v>
      </c>
      <c r="D309" t="inlineStr">
        <is>
          <t>UPPSALA LÄN</t>
        </is>
      </c>
      <c r="E309" t="inlineStr">
        <is>
          <t>TIERP</t>
        </is>
      </c>
      <c r="F309" t="inlineStr">
        <is>
          <t>Bergvik skog öst AB</t>
        </is>
      </c>
      <c r="G309" t="n">
        <v>1.2</v>
      </c>
      <c r="H309" t="n">
        <v>0</v>
      </c>
      <c r="I309" t="n">
        <v>2</v>
      </c>
      <c r="J309" t="n">
        <v>0</v>
      </c>
      <c r="K309" t="n">
        <v>0</v>
      </c>
      <c r="L309" t="n">
        <v>0</v>
      </c>
      <c r="M309" t="n">
        <v>0</v>
      </c>
      <c r="N309" t="n">
        <v>0</v>
      </c>
      <c r="O309" t="n">
        <v>0</v>
      </c>
      <c r="P309" t="n">
        <v>0</v>
      </c>
      <c r="Q309" t="n">
        <v>2</v>
      </c>
      <c r="R309" s="2" t="inlineStr">
        <is>
          <t>Fjällig taggsvamp s.str.
Vedticka</t>
        </is>
      </c>
      <c r="S309">
        <f>HYPERLINK("https://klasma.github.io/Logging_0360/artfynd/A 34979-2023 artfynd.xlsx", "A 34979-2023")</f>
        <v/>
      </c>
      <c r="T309">
        <f>HYPERLINK("https://klasma.github.io/Logging_0360/kartor/A 34979-2023 karta.png", "A 34979-2023")</f>
        <v/>
      </c>
      <c r="V309">
        <f>HYPERLINK("https://klasma.github.io/Logging_0360/klagomål/A 34979-2023 FSC-klagomål.docx", "A 34979-2023")</f>
        <v/>
      </c>
      <c r="W309">
        <f>HYPERLINK("https://klasma.github.io/Logging_0360/klagomålsmail/A 34979-2023 FSC-klagomål mail.docx", "A 34979-2023")</f>
        <v/>
      </c>
      <c r="X309">
        <f>HYPERLINK("https://klasma.github.io/Logging_0360/tillsyn/A 34979-2023 tillsynsbegäran.docx", "A 34979-2023")</f>
        <v/>
      </c>
      <c r="Y309">
        <f>HYPERLINK("https://klasma.github.io/Logging_0360/tillsynsmail/A 34979-2023 tillsynsbegäran mail.docx", "A 34979-2023")</f>
        <v/>
      </c>
    </row>
    <row r="310" ht="15" customHeight="1">
      <c r="A310" t="inlineStr">
        <is>
          <t>A 51749-2023</t>
        </is>
      </c>
      <c r="B310" s="1" t="n">
        <v>45222</v>
      </c>
      <c r="C310" s="1" t="n">
        <v>46098</v>
      </c>
      <c r="D310" t="inlineStr">
        <is>
          <t>UPPSALA LÄN</t>
        </is>
      </c>
      <c r="E310" t="inlineStr">
        <is>
          <t>UPPSALA</t>
        </is>
      </c>
      <c r="G310" t="n">
        <v>3.6</v>
      </c>
      <c r="H310" t="n">
        <v>1</v>
      </c>
      <c r="I310" t="n">
        <v>0</v>
      </c>
      <c r="J310" t="n">
        <v>1</v>
      </c>
      <c r="K310" t="n">
        <v>0</v>
      </c>
      <c r="L310" t="n">
        <v>0</v>
      </c>
      <c r="M310" t="n">
        <v>0</v>
      </c>
      <c r="N310" t="n">
        <v>0</v>
      </c>
      <c r="O310" t="n">
        <v>1</v>
      </c>
      <c r="P310" t="n">
        <v>0</v>
      </c>
      <c r="Q310" t="n">
        <v>2</v>
      </c>
      <c r="R310" s="2" t="inlineStr">
        <is>
          <t>Säfferot
Gullviva</t>
        </is>
      </c>
      <c r="S310">
        <f>HYPERLINK("https://klasma.github.io/Logging_0380/artfynd/A 51749-2023 artfynd.xlsx", "A 51749-2023")</f>
        <v/>
      </c>
      <c r="T310">
        <f>HYPERLINK("https://klasma.github.io/Logging_0380/kartor/A 51749-2023 karta.png", "A 51749-2023")</f>
        <v/>
      </c>
      <c r="V310">
        <f>HYPERLINK("https://klasma.github.io/Logging_0380/klagomål/A 51749-2023 FSC-klagomål.docx", "A 51749-2023")</f>
        <v/>
      </c>
      <c r="W310">
        <f>HYPERLINK("https://klasma.github.io/Logging_0380/klagomålsmail/A 51749-2023 FSC-klagomål mail.docx", "A 51749-2023")</f>
        <v/>
      </c>
      <c r="X310">
        <f>HYPERLINK("https://klasma.github.io/Logging_0380/tillsyn/A 51749-2023 tillsynsbegäran.docx", "A 51749-2023")</f>
        <v/>
      </c>
      <c r="Y310">
        <f>HYPERLINK("https://klasma.github.io/Logging_0380/tillsynsmail/A 51749-2023 tillsynsbegäran mail.docx", "A 51749-2023")</f>
        <v/>
      </c>
    </row>
    <row r="311" ht="15" customHeight="1">
      <c r="A311" t="inlineStr">
        <is>
          <t>A 14774-2023</t>
        </is>
      </c>
      <c r="B311" s="1" t="n">
        <v>45014</v>
      </c>
      <c r="C311" s="1" t="n">
        <v>46098</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53324-2021</t>
        </is>
      </c>
      <c r="B312" s="1" t="n">
        <v>44468</v>
      </c>
      <c r="C312" s="1" t="n">
        <v>46098</v>
      </c>
      <c r="D312" t="inlineStr">
        <is>
          <t>UPPSALA LÄN</t>
        </is>
      </c>
      <c r="E312" t="inlineStr">
        <is>
          <t>TIERP</t>
        </is>
      </c>
      <c r="G312" t="n">
        <v>0.8</v>
      </c>
      <c r="H312" t="n">
        <v>0</v>
      </c>
      <c r="I312" t="n">
        <v>1</v>
      </c>
      <c r="J312" t="n">
        <v>1</v>
      </c>
      <c r="K312" t="n">
        <v>0</v>
      </c>
      <c r="L312" t="n">
        <v>0</v>
      </c>
      <c r="M312" t="n">
        <v>0</v>
      </c>
      <c r="N312" t="n">
        <v>0</v>
      </c>
      <c r="O312" t="n">
        <v>1</v>
      </c>
      <c r="P312" t="n">
        <v>0</v>
      </c>
      <c r="Q312" t="n">
        <v>2</v>
      </c>
      <c r="R312" s="2" t="inlineStr">
        <is>
          <t>Granticka
Stor aspticka</t>
        </is>
      </c>
      <c r="S312">
        <f>HYPERLINK("https://klasma.github.io/Logging_0360/artfynd/A 53324-2021 artfynd.xlsx", "A 53324-2021")</f>
        <v/>
      </c>
      <c r="T312">
        <f>HYPERLINK("https://klasma.github.io/Logging_0360/kartor/A 53324-2021 karta.png", "A 53324-2021")</f>
        <v/>
      </c>
      <c r="V312">
        <f>HYPERLINK("https://klasma.github.io/Logging_0360/klagomål/A 53324-2021 FSC-klagomål.docx", "A 53324-2021")</f>
        <v/>
      </c>
      <c r="W312">
        <f>HYPERLINK("https://klasma.github.io/Logging_0360/klagomålsmail/A 53324-2021 FSC-klagomål mail.docx", "A 53324-2021")</f>
        <v/>
      </c>
      <c r="X312">
        <f>HYPERLINK("https://klasma.github.io/Logging_0360/tillsyn/A 53324-2021 tillsynsbegäran.docx", "A 53324-2021")</f>
        <v/>
      </c>
      <c r="Y312">
        <f>HYPERLINK("https://klasma.github.io/Logging_0360/tillsynsmail/A 53324-2021 tillsynsbegäran mail.docx", "A 53324-2021")</f>
        <v/>
      </c>
    </row>
    <row r="313" ht="15" customHeight="1">
      <c r="A313" t="inlineStr">
        <is>
          <t>A 26277-2024</t>
        </is>
      </c>
      <c r="B313" s="1" t="n">
        <v>45468</v>
      </c>
      <c r="C313" s="1" t="n">
        <v>46098</v>
      </c>
      <c r="D313" t="inlineStr">
        <is>
          <t>UPPSALA LÄN</t>
        </is>
      </c>
      <c r="E313" t="inlineStr">
        <is>
          <t>ÖSTHAMMAR</t>
        </is>
      </c>
      <c r="G313" t="n">
        <v>3.5</v>
      </c>
      <c r="H313" t="n">
        <v>1</v>
      </c>
      <c r="I313" t="n">
        <v>2</v>
      </c>
      <c r="J313" t="n">
        <v>0</v>
      </c>
      <c r="K313" t="n">
        <v>0</v>
      </c>
      <c r="L313" t="n">
        <v>0</v>
      </c>
      <c r="M313" t="n">
        <v>0</v>
      </c>
      <c r="N313" t="n">
        <v>0</v>
      </c>
      <c r="O313" t="n">
        <v>0</v>
      </c>
      <c r="P313" t="n">
        <v>0</v>
      </c>
      <c r="Q313" t="n">
        <v>2</v>
      </c>
      <c r="R313" s="2" t="inlineStr">
        <is>
          <t>Nästrot
Sårläka</t>
        </is>
      </c>
      <c r="S313">
        <f>HYPERLINK("https://klasma.github.io/Logging_0382/artfynd/A 26277-2024 artfynd.xlsx", "A 26277-2024")</f>
        <v/>
      </c>
      <c r="T313">
        <f>HYPERLINK("https://klasma.github.io/Logging_0382/kartor/A 26277-2024 karta.png", "A 26277-2024")</f>
        <v/>
      </c>
      <c r="V313">
        <f>HYPERLINK("https://klasma.github.io/Logging_0382/klagomål/A 26277-2024 FSC-klagomål.docx", "A 26277-2024")</f>
        <v/>
      </c>
      <c r="W313">
        <f>HYPERLINK("https://klasma.github.io/Logging_0382/klagomålsmail/A 26277-2024 FSC-klagomål mail.docx", "A 26277-2024")</f>
        <v/>
      </c>
      <c r="X313">
        <f>HYPERLINK("https://klasma.github.io/Logging_0382/tillsyn/A 26277-2024 tillsynsbegäran.docx", "A 26277-2024")</f>
        <v/>
      </c>
      <c r="Y313">
        <f>HYPERLINK("https://klasma.github.io/Logging_0382/tillsynsmail/A 26277-2024 tillsynsbegäran mail.docx", "A 26277-2024")</f>
        <v/>
      </c>
    </row>
    <row r="314" ht="15" customHeight="1">
      <c r="A314" t="inlineStr">
        <is>
          <t>A 67855-2021</t>
        </is>
      </c>
      <c r="B314" s="1" t="n">
        <v>44525</v>
      </c>
      <c r="C314" s="1" t="n">
        <v>46098</v>
      </c>
      <c r="D314" t="inlineStr">
        <is>
          <t>UPPSALA LÄN</t>
        </is>
      </c>
      <c r="E314" t="inlineStr">
        <is>
          <t>ÖSTHAMMAR</t>
        </is>
      </c>
      <c r="G314" t="n">
        <v>7.5</v>
      </c>
      <c r="H314" t="n">
        <v>0</v>
      </c>
      <c r="I314" t="n">
        <v>2</v>
      </c>
      <c r="J314" t="n">
        <v>0</v>
      </c>
      <c r="K314" t="n">
        <v>0</v>
      </c>
      <c r="L314" t="n">
        <v>0</v>
      </c>
      <c r="M314" t="n">
        <v>0</v>
      </c>
      <c r="N314" t="n">
        <v>0</v>
      </c>
      <c r="O314" t="n">
        <v>0</v>
      </c>
      <c r="P314" t="n">
        <v>0</v>
      </c>
      <c r="Q314" t="n">
        <v>2</v>
      </c>
      <c r="R314" s="2" t="inlineStr">
        <is>
          <t>Guldkremla
Kamjordstjärna</t>
        </is>
      </c>
      <c r="S314">
        <f>HYPERLINK("https://klasma.github.io/Logging_0382/artfynd/A 67855-2021 artfynd.xlsx", "A 67855-2021")</f>
        <v/>
      </c>
      <c r="T314">
        <f>HYPERLINK("https://klasma.github.io/Logging_0382/kartor/A 67855-2021 karta.png", "A 67855-2021")</f>
        <v/>
      </c>
      <c r="V314">
        <f>HYPERLINK("https://klasma.github.io/Logging_0382/klagomål/A 67855-2021 FSC-klagomål.docx", "A 67855-2021")</f>
        <v/>
      </c>
      <c r="W314">
        <f>HYPERLINK("https://klasma.github.io/Logging_0382/klagomålsmail/A 67855-2021 FSC-klagomål mail.docx", "A 67855-2021")</f>
        <v/>
      </c>
      <c r="X314">
        <f>HYPERLINK("https://klasma.github.io/Logging_0382/tillsyn/A 67855-2021 tillsynsbegäran.docx", "A 67855-2021")</f>
        <v/>
      </c>
      <c r="Y314">
        <f>HYPERLINK("https://klasma.github.io/Logging_0382/tillsynsmail/A 67855-2021 tillsynsbegäran mail.docx", "A 67855-2021")</f>
        <v/>
      </c>
    </row>
    <row r="315" ht="15" customHeight="1">
      <c r="A315" t="inlineStr">
        <is>
          <t>A 39933-2023</t>
        </is>
      </c>
      <c r="B315" s="1" t="n">
        <v>45168.50667824074</v>
      </c>
      <c r="C315" s="1" t="n">
        <v>46098</v>
      </c>
      <c r="D315" t="inlineStr">
        <is>
          <t>UPPSALA LÄN</t>
        </is>
      </c>
      <c r="E315" t="inlineStr">
        <is>
          <t>UPPSALA</t>
        </is>
      </c>
      <c r="F315" t="inlineStr">
        <is>
          <t>Holmen skog AB</t>
        </is>
      </c>
      <c r="G315" t="n">
        <v>6.3</v>
      </c>
      <c r="H315" t="n">
        <v>2</v>
      </c>
      <c r="I315" t="n">
        <v>0</v>
      </c>
      <c r="J315" t="n">
        <v>2</v>
      </c>
      <c r="K315" t="n">
        <v>0</v>
      </c>
      <c r="L315" t="n">
        <v>0</v>
      </c>
      <c r="M315" t="n">
        <v>0</v>
      </c>
      <c r="N315" t="n">
        <v>0</v>
      </c>
      <c r="O315" t="n">
        <v>2</v>
      </c>
      <c r="P315" t="n">
        <v>0</v>
      </c>
      <c r="Q315" t="n">
        <v>2</v>
      </c>
      <c r="R315" s="2" t="inlineStr">
        <is>
          <t>Entita
Spillkråka</t>
        </is>
      </c>
      <c r="S315">
        <f>HYPERLINK("https://klasma.github.io/Logging_0380/artfynd/A 39933-2023 artfynd.xlsx", "A 39933-2023")</f>
        <v/>
      </c>
      <c r="T315">
        <f>HYPERLINK("https://klasma.github.io/Logging_0380/kartor/A 39933-2023 karta.png", "A 39933-2023")</f>
        <v/>
      </c>
      <c r="V315">
        <f>HYPERLINK("https://klasma.github.io/Logging_0380/klagomål/A 39933-2023 FSC-klagomål.docx", "A 39933-2023")</f>
        <v/>
      </c>
      <c r="W315">
        <f>HYPERLINK("https://klasma.github.io/Logging_0380/klagomålsmail/A 39933-2023 FSC-klagomål mail.docx", "A 39933-2023")</f>
        <v/>
      </c>
      <c r="X315">
        <f>HYPERLINK("https://klasma.github.io/Logging_0380/tillsyn/A 39933-2023 tillsynsbegäran.docx", "A 39933-2023")</f>
        <v/>
      </c>
      <c r="Y315">
        <f>HYPERLINK("https://klasma.github.io/Logging_0380/tillsynsmail/A 39933-2023 tillsynsbegäran mail.docx", "A 39933-2023")</f>
        <v/>
      </c>
      <c r="Z315">
        <f>HYPERLINK("https://klasma.github.io/Logging_0380/fåglar/A 39933-2023 prioriterade fågelarter.docx", "A 39933-2023")</f>
        <v/>
      </c>
    </row>
    <row r="316" ht="15" customHeight="1">
      <c r="A316" t="inlineStr">
        <is>
          <t>A 21453-2023</t>
        </is>
      </c>
      <c r="B316" s="1" t="n">
        <v>45063</v>
      </c>
      <c r="C316" s="1" t="n">
        <v>46098</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73981-2021</t>
        </is>
      </c>
      <c r="B317" s="1" t="n">
        <v>44555</v>
      </c>
      <c r="C317" s="1" t="n">
        <v>46098</v>
      </c>
      <c r="D317" t="inlineStr">
        <is>
          <t>UPPSALA LÄN</t>
        </is>
      </c>
      <c r="E317" t="inlineStr">
        <is>
          <t>ÖSTHAMMAR</t>
        </is>
      </c>
      <c r="G317" t="n">
        <v>2.4</v>
      </c>
      <c r="H317" t="n">
        <v>0</v>
      </c>
      <c r="I317" t="n">
        <v>1</v>
      </c>
      <c r="J317" t="n">
        <v>1</v>
      </c>
      <c r="K317" t="n">
        <v>0</v>
      </c>
      <c r="L317" t="n">
        <v>0</v>
      </c>
      <c r="M317" t="n">
        <v>0</v>
      </c>
      <c r="N317" t="n">
        <v>0</v>
      </c>
      <c r="O317" t="n">
        <v>1</v>
      </c>
      <c r="P317" t="n">
        <v>0</v>
      </c>
      <c r="Q317" t="n">
        <v>2</v>
      </c>
      <c r="R317" s="2" t="inlineStr">
        <is>
          <t>Skogsklocka
Vårärt</t>
        </is>
      </c>
      <c r="S317">
        <f>HYPERLINK("https://klasma.github.io/Logging_0382/artfynd/A 73981-2021 artfynd.xlsx", "A 73981-2021")</f>
        <v/>
      </c>
      <c r="T317">
        <f>HYPERLINK("https://klasma.github.io/Logging_0382/kartor/A 73981-2021 karta.png", "A 73981-2021")</f>
        <v/>
      </c>
      <c r="V317">
        <f>HYPERLINK("https://klasma.github.io/Logging_0382/klagomål/A 73981-2021 FSC-klagomål.docx", "A 73981-2021")</f>
        <v/>
      </c>
      <c r="W317">
        <f>HYPERLINK("https://klasma.github.io/Logging_0382/klagomålsmail/A 73981-2021 FSC-klagomål mail.docx", "A 73981-2021")</f>
        <v/>
      </c>
      <c r="X317">
        <f>HYPERLINK("https://klasma.github.io/Logging_0382/tillsyn/A 73981-2021 tillsynsbegäran.docx", "A 73981-2021")</f>
        <v/>
      </c>
      <c r="Y317">
        <f>HYPERLINK("https://klasma.github.io/Logging_0382/tillsynsmail/A 73981-2021 tillsynsbegäran mail.docx", "A 73981-2021")</f>
        <v/>
      </c>
    </row>
    <row r="318" ht="15" customHeight="1">
      <c r="A318" t="inlineStr">
        <is>
          <t>A 21422-2023</t>
        </is>
      </c>
      <c r="B318" s="1" t="n">
        <v>45063</v>
      </c>
      <c r="C318" s="1" t="n">
        <v>46098</v>
      </c>
      <c r="D318" t="inlineStr">
        <is>
          <t>UPPSALA LÄN</t>
        </is>
      </c>
      <c r="E318" t="inlineStr">
        <is>
          <t>ÖSTHAMMAR</t>
        </is>
      </c>
      <c r="F318" t="inlineStr">
        <is>
          <t>Sveaskog</t>
        </is>
      </c>
      <c r="G318" t="n">
        <v>2.8</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HYPERLINK("https://klasma.github.io/Logging_0382/artfynd/A 21422-2023 artfynd.xlsx", "A 21422-2023")</f>
        <v/>
      </c>
      <c r="T318">
        <f>HYPERLINK("https://klasma.github.io/Logging_0382/kartor/A 21422-2023 karta.png", "A 21422-2023")</f>
        <v/>
      </c>
      <c r="V318">
        <f>HYPERLINK("https://klasma.github.io/Logging_0382/klagomål/A 21422-2023 FSC-klagomål.docx", "A 21422-2023")</f>
        <v/>
      </c>
      <c r="W318">
        <f>HYPERLINK("https://klasma.github.io/Logging_0382/klagomålsmail/A 21422-2023 FSC-klagomål mail.docx", "A 21422-2023")</f>
        <v/>
      </c>
      <c r="X318">
        <f>HYPERLINK("https://klasma.github.io/Logging_0382/tillsyn/A 21422-2023 tillsynsbegäran.docx", "A 21422-2023")</f>
        <v/>
      </c>
      <c r="Y318">
        <f>HYPERLINK("https://klasma.github.io/Logging_0382/tillsynsmail/A 21422-2023 tillsynsbegäran mail.docx", "A 21422-2023")</f>
        <v/>
      </c>
    </row>
    <row r="319" ht="15" customHeight="1">
      <c r="A319" t="inlineStr">
        <is>
          <t>A 88-2024</t>
        </is>
      </c>
      <c r="B319" s="1" t="n">
        <v>45293</v>
      </c>
      <c r="C319" s="1" t="n">
        <v>46098</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17101-2023</t>
        </is>
      </c>
      <c r="B320" s="1" t="n">
        <v>45034</v>
      </c>
      <c r="C320" s="1" t="n">
        <v>46098</v>
      </c>
      <c r="D320" t="inlineStr">
        <is>
          <t>UPPSALA LÄN</t>
        </is>
      </c>
      <c r="E320" t="inlineStr">
        <is>
          <t>KNIVSTA</t>
        </is>
      </c>
      <c r="G320" t="n">
        <v>4.2</v>
      </c>
      <c r="H320" t="n">
        <v>2</v>
      </c>
      <c r="I320" t="n">
        <v>0</v>
      </c>
      <c r="J320" t="n">
        <v>2</v>
      </c>
      <c r="K320" t="n">
        <v>0</v>
      </c>
      <c r="L320" t="n">
        <v>0</v>
      </c>
      <c r="M320" t="n">
        <v>0</v>
      </c>
      <c r="N320" t="n">
        <v>0</v>
      </c>
      <c r="O320" t="n">
        <v>2</v>
      </c>
      <c r="P320" t="n">
        <v>0</v>
      </c>
      <c r="Q320" t="n">
        <v>2</v>
      </c>
      <c r="R320" s="2" t="inlineStr">
        <is>
          <t>Entita
Mindre hackspett</t>
        </is>
      </c>
      <c r="S320">
        <f>HYPERLINK("https://klasma.github.io/Logging_0330/artfynd/A 17101-2023 artfynd.xlsx", "A 17101-2023")</f>
        <v/>
      </c>
      <c r="T320">
        <f>HYPERLINK("https://klasma.github.io/Logging_0330/kartor/A 17101-2023 karta.png", "A 17101-2023")</f>
        <v/>
      </c>
      <c r="V320">
        <f>HYPERLINK("https://klasma.github.io/Logging_0330/klagomål/A 17101-2023 FSC-klagomål.docx", "A 17101-2023")</f>
        <v/>
      </c>
      <c r="W320">
        <f>HYPERLINK("https://klasma.github.io/Logging_0330/klagomålsmail/A 17101-2023 FSC-klagomål mail.docx", "A 17101-2023")</f>
        <v/>
      </c>
      <c r="X320">
        <f>HYPERLINK("https://klasma.github.io/Logging_0330/tillsyn/A 17101-2023 tillsynsbegäran.docx", "A 17101-2023")</f>
        <v/>
      </c>
      <c r="Y320">
        <f>HYPERLINK("https://klasma.github.io/Logging_0330/tillsynsmail/A 17101-2023 tillsynsbegäran mail.docx", "A 17101-2023")</f>
        <v/>
      </c>
      <c r="Z320">
        <f>HYPERLINK("https://klasma.github.io/Logging_0330/fåglar/A 17101-2023 prioriterade fågelarter.docx", "A 17101-2023")</f>
        <v/>
      </c>
    </row>
    <row r="321" ht="15" customHeight="1">
      <c r="A321" t="inlineStr">
        <is>
          <t>A 25098-2022</t>
        </is>
      </c>
      <c r="B321" s="1" t="n">
        <v>44729.44149305556</v>
      </c>
      <c r="C321" s="1" t="n">
        <v>46098</v>
      </c>
      <c r="D321" t="inlineStr">
        <is>
          <t>UPPSALA LÄN</t>
        </is>
      </c>
      <c r="E321" t="inlineStr">
        <is>
          <t>ÖSTHAMMAR</t>
        </is>
      </c>
      <c r="G321" t="n">
        <v>2.9</v>
      </c>
      <c r="H321" t="n">
        <v>2</v>
      </c>
      <c r="I321" t="n">
        <v>0</v>
      </c>
      <c r="J321" t="n">
        <v>0</v>
      </c>
      <c r="K321" t="n">
        <v>0</v>
      </c>
      <c r="L321" t="n">
        <v>0</v>
      </c>
      <c r="M321" t="n">
        <v>0</v>
      </c>
      <c r="N321" t="n">
        <v>0</v>
      </c>
      <c r="O321" t="n">
        <v>0</v>
      </c>
      <c r="P321" t="n">
        <v>0</v>
      </c>
      <c r="Q321" t="n">
        <v>2</v>
      </c>
      <c r="R321" s="2" t="inlineStr">
        <is>
          <t>Blåsippa
Gullviva</t>
        </is>
      </c>
      <c r="S321">
        <f>HYPERLINK("https://klasma.github.io/Logging_0382/artfynd/A 25098-2022 artfynd.xlsx", "A 25098-2022")</f>
        <v/>
      </c>
      <c r="T321">
        <f>HYPERLINK("https://klasma.github.io/Logging_0382/kartor/A 25098-2022 karta.png", "A 25098-2022")</f>
        <v/>
      </c>
      <c r="V321">
        <f>HYPERLINK("https://klasma.github.io/Logging_0382/klagomål/A 25098-2022 FSC-klagomål.docx", "A 25098-2022")</f>
        <v/>
      </c>
      <c r="W321">
        <f>HYPERLINK("https://klasma.github.io/Logging_0382/klagomålsmail/A 25098-2022 FSC-klagomål mail.docx", "A 25098-2022")</f>
        <v/>
      </c>
      <c r="X321">
        <f>HYPERLINK("https://klasma.github.io/Logging_0382/tillsyn/A 25098-2022 tillsynsbegäran.docx", "A 25098-2022")</f>
        <v/>
      </c>
      <c r="Y321">
        <f>HYPERLINK("https://klasma.github.io/Logging_0382/tillsynsmail/A 25098-2022 tillsynsbegäran mail.docx", "A 25098-2022")</f>
        <v/>
      </c>
    </row>
    <row r="322" ht="15" customHeight="1">
      <c r="A322" t="inlineStr">
        <is>
          <t>A 425-2024</t>
        </is>
      </c>
      <c r="B322" s="1" t="n">
        <v>45296</v>
      </c>
      <c r="C322" s="1" t="n">
        <v>46098</v>
      </c>
      <c r="D322" t="inlineStr">
        <is>
          <t>UPPSALA LÄN</t>
        </is>
      </c>
      <c r="E322" t="inlineStr">
        <is>
          <t>ENKÖPING</t>
        </is>
      </c>
      <c r="G322" t="n">
        <v>8.300000000000001</v>
      </c>
      <c r="H322" t="n">
        <v>2</v>
      </c>
      <c r="I322" t="n">
        <v>0</v>
      </c>
      <c r="J322" t="n">
        <v>0</v>
      </c>
      <c r="K322" t="n">
        <v>0</v>
      </c>
      <c r="L322" t="n">
        <v>0</v>
      </c>
      <c r="M322" t="n">
        <v>0</v>
      </c>
      <c r="N322" t="n">
        <v>0</v>
      </c>
      <c r="O322" t="n">
        <v>0</v>
      </c>
      <c r="P322" t="n">
        <v>0</v>
      </c>
      <c r="Q322" t="n">
        <v>2</v>
      </c>
      <c r="R322" s="2" t="inlineStr">
        <is>
          <t>Grönsiska
Orre</t>
        </is>
      </c>
      <c r="S322">
        <f>HYPERLINK("https://klasma.github.io/Logging_0381/artfynd/A 425-2024 artfynd.xlsx", "A 425-2024")</f>
        <v/>
      </c>
      <c r="T322">
        <f>HYPERLINK("https://klasma.github.io/Logging_0381/kartor/A 425-2024 karta.png", "A 425-2024")</f>
        <v/>
      </c>
      <c r="V322">
        <f>HYPERLINK("https://klasma.github.io/Logging_0381/klagomål/A 425-2024 FSC-klagomål.docx", "A 425-2024")</f>
        <v/>
      </c>
      <c r="W322">
        <f>HYPERLINK("https://klasma.github.io/Logging_0381/klagomålsmail/A 425-2024 FSC-klagomål mail.docx", "A 425-2024")</f>
        <v/>
      </c>
      <c r="X322">
        <f>HYPERLINK("https://klasma.github.io/Logging_0381/tillsyn/A 425-2024 tillsynsbegäran.docx", "A 425-2024")</f>
        <v/>
      </c>
      <c r="Y322">
        <f>HYPERLINK("https://klasma.github.io/Logging_0381/tillsynsmail/A 425-2024 tillsynsbegäran mail.docx", "A 425-2024")</f>
        <v/>
      </c>
      <c r="Z322">
        <f>HYPERLINK("https://klasma.github.io/Logging_0381/fåglar/A 425-2024 prioriterade fågelarter.docx", "A 425-2024")</f>
        <v/>
      </c>
    </row>
    <row r="323" ht="15" customHeight="1">
      <c r="A323" t="inlineStr">
        <is>
          <t>A 39018-2024</t>
        </is>
      </c>
      <c r="B323" s="1" t="n">
        <v>45548.4465162037</v>
      </c>
      <c r="C323" s="1" t="n">
        <v>46098</v>
      </c>
      <c r="D323" t="inlineStr">
        <is>
          <t>UPPSALA LÄN</t>
        </is>
      </c>
      <c r="E323" t="inlineStr">
        <is>
          <t>TIERP</t>
        </is>
      </c>
      <c r="F323" t="inlineStr">
        <is>
          <t>Bergvik skog öst AB</t>
        </is>
      </c>
      <c r="G323" t="n">
        <v>19.1</v>
      </c>
      <c r="H323" t="n">
        <v>2</v>
      </c>
      <c r="I323" t="n">
        <v>0</v>
      </c>
      <c r="J323" t="n">
        <v>2</v>
      </c>
      <c r="K323" t="n">
        <v>0</v>
      </c>
      <c r="L323" t="n">
        <v>0</v>
      </c>
      <c r="M323" t="n">
        <v>0</v>
      </c>
      <c r="N323" t="n">
        <v>0</v>
      </c>
      <c r="O323" t="n">
        <v>2</v>
      </c>
      <c r="P323" t="n">
        <v>0</v>
      </c>
      <c r="Q323" t="n">
        <v>2</v>
      </c>
      <c r="R323" s="2" t="inlineStr">
        <is>
          <t>Rödvingetrast
Talltita</t>
        </is>
      </c>
      <c r="S323">
        <f>HYPERLINK("https://klasma.github.io/Logging_0360/artfynd/A 39018-2024 artfynd.xlsx", "A 39018-2024")</f>
        <v/>
      </c>
      <c r="T323">
        <f>HYPERLINK("https://klasma.github.io/Logging_0360/kartor/A 39018-2024 karta.png", "A 39018-2024")</f>
        <v/>
      </c>
      <c r="V323">
        <f>HYPERLINK("https://klasma.github.io/Logging_0360/klagomål/A 39018-2024 FSC-klagomål.docx", "A 39018-2024")</f>
        <v/>
      </c>
      <c r="W323">
        <f>HYPERLINK("https://klasma.github.io/Logging_0360/klagomålsmail/A 39018-2024 FSC-klagomål mail.docx", "A 39018-2024")</f>
        <v/>
      </c>
      <c r="X323">
        <f>HYPERLINK("https://klasma.github.io/Logging_0360/tillsyn/A 39018-2024 tillsynsbegäran.docx", "A 39018-2024")</f>
        <v/>
      </c>
      <c r="Y323">
        <f>HYPERLINK("https://klasma.github.io/Logging_0360/tillsynsmail/A 39018-2024 tillsynsbegäran mail.docx", "A 39018-2024")</f>
        <v/>
      </c>
      <c r="Z323">
        <f>HYPERLINK("https://klasma.github.io/Logging_0360/fåglar/A 39018-2024 prioriterade fågelarter.docx", "A 39018-2024")</f>
        <v/>
      </c>
    </row>
    <row r="324" ht="15" customHeight="1">
      <c r="A324" t="inlineStr">
        <is>
          <t>A 2535-2022</t>
        </is>
      </c>
      <c r="B324" s="1" t="n">
        <v>44579.9575</v>
      </c>
      <c r="C324" s="1" t="n">
        <v>46098</v>
      </c>
      <c r="D324" t="inlineStr">
        <is>
          <t>UPPSALA LÄN</t>
        </is>
      </c>
      <c r="E324" t="inlineStr">
        <is>
          <t>TIERP</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HYPERLINK("https://klasma.github.io/Logging_0360/artfynd/A 2535-2022 artfynd.xlsx", "A 2535-2022")</f>
        <v/>
      </c>
      <c r="T324">
        <f>HYPERLINK("https://klasma.github.io/Logging_0360/kartor/A 2535-2022 karta.png", "A 2535-2022")</f>
        <v/>
      </c>
      <c r="U324">
        <f>HYPERLINK("https://klasma.github.io/Logging_0360/knärot/A 2535-2022 karta knärot.png", "A 2535-2022")</f>
        <v/>
      </c>
      <c r="V324">
        <f>HYPERLINK("https://klasma.github.io/Logging_0360/klagomål/A 2535-2022 FSC-klagomål.docx", "A 2535-2022")</f>
        <v/>
      </c>
      <c r="W324">
        <f>HYPERLINK("https://klasma.github.io/Logging_0360/klagomålsmail/A 2535-2022 FSC-klagomål mail.docx", "A 2535-2022")</f>
        <v/>
      </c>
      <c r="X324">
        <f>HYPERLINK("https://klasma.github.io/Logging_0360/tillsyn/A 2535-2022 tillsynsbegäran.docx", "A 2535-2022")</f>
        <v/>
      </c>
      <c r="Y324">
        <f>HYPERLINK("https://klasma.github.io/Logging_0360/tillsynsmail/A 2535-2022 tillsynsbegäran mail.docx", "A 2535-2022")</f>
        <v/>
      </c>
    </row>
    <row r="325" ht="15" customHeight="1">
      <c r="A325" t="inlineStr">
        <is>
          <t>A 36523-2021</t>
        </is>
      </c>
      <c r="B325" s="1" t="n">
        <v>44391</v>
      </c>
      <c r="C325" s="1" t="n">
        <v>46098</v>
      </c>
      <c r="D325" t="inlineStr">
        <is>
          <t>UPPSALA LÄN</t>
        </is>
      </c>
      <c r="E325" t="inlineStr">
        <is>
          <t>ENKÖPING</t>
        </is>
      </c>
      <c r="G325" t="n">
        <v>3.5</v>
      </c>
      <c r="H325" t="n">
        <v>1</v>
      </c>
      <c r="I325" t="n">
        <v>0</v>
      </c>
      <c r="J325" t="n">
        <v>1</v>
      </c>
      <c r="K325" t="n">
        <v>0</v>
      </c>
      <c r="L325" t="n">
        <v>0</v>
      </c>
      <c r="M325" t="n">
        <v>0</v>
      </c>
      <c r="N325" t="n">
        <v>0</v>
      </c>
      <c r="O325" t="n">
        <v>1</v>
      </c>
      <c r="P325" t="n">
        <v>0</v>
      </c>
      <c r="Q325" t="n">
        <v>1</v>
      </c>
      <c r="R325" s="2" t="inlineStr">
        <is>
          <t>Spillkråka</t>
        </is>
      </c>
      <c r="S325">
        <f>HYPERLINK("https://klasma.github.io/Logging_0381/artfynd/A 36523-2021 artfynd.xlsx", "A 36523-2021")</f>
        <v/>
      </c>
      <c r="T325">
        <f>HYPERLINK("https://klasma.github.io/Logging_0381/kartor/A 36523-2021 karta.png", "A 36523-2021")</f>
        <v/>
      </c>
      <c r="V325">
        <f>HYPERLINK("https://klasma.github.io/Logging_0381/klagomål/A 36523-2021 FSC-klagomål.docx", "A 36523-2021")</f>
        <v/>
      </c>
      <c r="W325">
        <f>HYPERLINK("https://klasma.github.io/Logging_0381/klagomålsmail/A 36523-2021 FSC-klagomål mail.docx", "A 36523-2021")</f>
        <v/>
      </c>
      <c r="X325">
        <f>HYPERLINK("https://klasma.github.io/Logging_0381/tillsyn/A 36523-2021 tillsynsbegäran.docx", "A 36523-2021")</f>
        <v/>
      </c>
      <c r="Y325">
        <f>HYPERLINK("https://klasma.github.io/Logging_0381/tillsynsmail/A 36523-2021 tillsynsbegäran mail.docx", "A 36523-2021")</f>
        <v/>
      </c>
      <c r="Z325">
        <f>HYPERLINK("https://klasma.github.io/Logging_0381/fåglar/A 36523-2021 prioriterade fågelarter.docx", "A 36523-2021")</f>
        <v/>
      </c>
    </row>
    <row r="326" ht="15" customHeight="1">
      <c r="A326" t="inlineStr">
        <is>
          <t>A 38442-2022</t>
        </is>
      </c>
      <c r="B326" s="1" t="n">
        <v>44813</v>
      </c>
      <c r="C326" s="1" t="n">
        <v>46098</v>
      </c>
      <c r="D326" t="inlineStr">
        <is>
          <t>UPPSALA LÄN</t>
        </is>
      </c>
      <c r="E326" t="inlineStr">
        <is>
          <t>ÖSTHAMMAR</t>
        </is>
      </c>
      <c r="F326" t="inlineStr">
        <is>
          <t>Kyrkan</t>
        </is>
      </c>
      <c r="G326" t="n">
        <v>2.9</v>
      </c>
      <c r="H326" t="n">
        <v>0</v>
      </c>
      <c r="I326" t="n">
        <v>0</v>
      </c>
      <c r="J326" t="n">
        <v>1</v>
      </c>
      <c r="K326" t="n">
        <v>0</v>
      </c>
      <c r="L326" t="n">
        <v>0</v>
      </c>
      <c r="M326" t="n">
        <v>0</v>
      </c>
      <c r="N326" t="n">
        <v>0</v>
      </c>
      <c r="O326" t="n">
        <v>1</v>
      </c>
      <c r="P326" t="n">
        <v>0</v>
      </c>
      <c r="Q326" t="n">
        <v>1</v>
      </c>
      <c r="R326" s="2" t="inlineStr">
        <is>
          <t>Slåtterfibbla</t>
        </is>
      </c>
      <c r="S326">
        <f>HYPERLINK("https://klasma.github.io/Logging_0382/artfynd/A 38442-2022 artfynd.xlsx", "A 38442-2022")</f>
        <v/>
      </c>
      <c r="T326">
        <f>HYPERLINK("https://klasma.github.io/Logging_0382/kartor/A 38442-2022 karta.png", "A 38442-2022")</f>
        <v/>
      </c>
      <c r="V326">
        <f>HYPERLINK("https://klasma.github.io/Logging_0382/klagomål/A 38442-2022 FSC-klagomål.docx", "A 38442-2022")</f>
        <v/>
      </c>
      <c r="W326">
        <f>HYPERLINK("https://klasma.github.io/Logging_0382/klagomålsmail/A 38442-2022 FSC-klagomål mail.docx", "A 38442-2022")</f>
        <v/>
      </c>
      <c r="X326">
        <f>HYPERLINK("https://klasma.github.io/Logging_0382/tillsyn/A 38442-2022 tillsynsbegäran.docx", "A 38442-2022")</f>
        <v/>
      </c>
      <c r="Y326">
        <f>HYPERLINK("https://klasma.github.io/Logging_0382/tillsynsmail/A 38442-2022 tillsynsbegäran mail.docx", "A 38442-2022")</f>
        <v/>
      </c>
    </row>
    <row r="327" ht="15" customHeight="1">
      <c r="A327" t="inlineStr">
        <is>
          <t>A 8865-2022</t>
        </is>
      </c>
      <c r="B327" s="1" t="n">
        <v>44614</v>
      </c>
      <c r="C327" s="1" t="n">
        <v>46098</v>
      </c>
      <c r="D327" t="inlineStr">
        <is>
          <t>UPPSALA LÄN</t>
        </is>
      </c>
      <c r="E327" t="inlineStr">
        <is>
          <t>UPPSALA</t>
        </is>
      </c>
      <c r="G327" t="n">
        <v>1.1</v>
      </c>
      <c r="H327" t="n">
        <v>0</v>
      </c>
      <c r="I327" t="n">
        <v>1</v>
      </c>
      <c r="J327" t="n">
        <v>0</v>
      </c>
      <c r="K327" t="n">
        <v>0</v>
      </c>
      <c r="L327" t="n">
        <v>0</v>
      </c>
      <c r="M327" t="n">
        <v>0</v>
      </c>
      <c r="N327" t="n">
        <v>0</v>
      </c>
      <c r="O327" t="n">
        <v>0</v>
      </c>
      <c r="P327" t="n">
        <v>0</v>
      </c>
      <c r="Q327" t="n">
        <v>1</v>
      </c>
      <c r="R327" s="2" t="inlineStr">
        <is>
          <t>Narrtagging</t>
        </is>
      </c>
      <c r="S327">
        <f>HYPERLINK("https://klasma.github.io/Logging_0380/artfynd/A 8865-2022 artfynd.xlsx", "A 8865-2022")</f>
        <v/>
      </c>
      <c r="T327">
        <f>HYPERLINK("https://klasma.github.io/Logging_0380/kartor/A 8865-2022 karta.png", "A 8865-2022")</f>
        <v/>
      </c>
      <c r="V327">
        <f>HYPERLINK("https://klasma.github.io/Logging_0380/klagomål/A 8865-2022 FSC-klagomål.docx", "A 8865-2022")</f>
        <v/>
      </c>
      <c r="W327">
        <f>HYPERLINK("https://klasma.github.io/Logging_0380/klagomålsmail/A 8865-2022 FSC-klagomål mail.docx", "A 8865-2022")</f>
        <v/>
      </c>
      <c r="X327">
        <f>HYPERLINK("https://klasma.github.io/Logging_0380/tillsyn/A 8865-2022 tillsynsbegäran.docx", "A 8865-2022")</f>
        <v/>
      </c>
      <c r="Y327">
        <f>HYPERLINK("https://klasma.github.io/Logging_0380/tillsynsmail/A 8865-2022 tillsynsbegäran mail.docx", "A 8865-2022")</f>
        <v/>
      </c>
    </row>
    <row r="328" ht="15" customHeight="1">
      <c r="A328" t="inlineStr">
        <is>
          <t>A 46086-2022</t>
        </is>
      </c>
      <c r="B328" s="1" t="n">
        <v>44847</v>
      </c>
      <c r="C328" s="1" t="n">
        <v>46098</v>
      </c>
      <c r="D328" t="inlineStr">
        <is>
          <t>UPPSALA LÄN</t>
        </is>
      </c>
      <c r="E328" t="inlineStr">
        <is>
          <t>HEBY</t>
        </is>
      </c>
      <c r="G328" t="n">
        <v>3.3</v>
      </c>
      <c r="H328" t="n">
        <v>0</v>
      </c>
      <c r="I328" t="n">
        <v>0</v>
      </c>
      <c r="J328" t="n">
        <v>1</v>
      </c>
      <c r="K328" t="n">
        <v>0</v>
      </c>
      <c r="L328" t="n">
        <v>0</v>
      </c>
      <c r="M328" t="n">
        <v>0</v>
      </c>
      <c r="N328" t="n">
        <v>0</v>
      </c>
      <c r="O328" t="n">
        <v>1</v>
      </c>
      <c r="P328" t="n">
        <v>0</v>
      </c>
      <c r="Q328" t="n">
        <v>1</v>
      </c>
      <c r="R328" s="2" t="inlineStr">
        <is>
          <t>Garnlav</t>
        </is>
      </c>
      <c r="S328">
        <f>HYPERLINK("https://klasma.github.io/Logging_0331/artfynd/A 46086-2022 artfynd.xlsx", "A 46086-2022")</f>
        <v/>
      </c>
      <c r="T328">
        <f>HYPERLINK("https://klasma.github.io/Logging_0331/kartor/A 46086-2022 karta.png", "A 46086-2022")</f>
        <v/>
      </c>
      <c r="U328">
        <f>HYPERLINK("https://klasma.github.io/Logging_0331/knärot/A 46086-2022 karta knärot.png", "A 46086-2022")</f>
        <v/>
      </c>
      <c r="V328">
        <f>HYPERLINK("https://klasma.github.io/Logging_0331/klagomål/A 46086-2022 FSC-klagomål.docx", "A 46086-2022")</f>
        <v/>
      </c>
      <c r="W328">
        <f>HYPERLINK("https://klasma.github.io/Logging_0331/klagomålsmail/A 46086-2022 FSC-klagomål mail.docx", "A 46086-2022")</f>
        <v/>
      </c>
      <c r="X328">
        <f>HYPERLINK("https://klasma.github.io/Logging_0331/tillsyn/A 46086-2022 tillsynsbegäran.docx", "A 46086-2022")</f>
        <v/>
      </c>
      <c r="Y328">
        <f>HYPERLINK("https://klasma.github.io/Logging_0331/tillsynsmail/A 46086-2022 tillsynsbegäran mail.docx", "A 46086-2022")</f>
        <v/>
      </c>
    </row>
    <row r="329" ht="15" customHeight="1">
      <c r="A329" t="inlineStr">
        <is>
          <t>A 34020-2021</t>
        </is>
      </c>
      <c r="B329" s="1" t="n">
        <v>44379</v>
      </c>
      <c r="C329" s="1" t="n">
        <v>46098</v>
      </c>
      <c r="D329" t="inlineStr">
        <is>
          <t>UPPSALA LÄN</t>
        </is>
      </c>
      <c r="E329" t="inlineStr">
        <is>
          <t>UPPSALA</t>
        </is>
      </c>
      <c r="G329" t="n">
        <v>1.9</v>
      </c>
      <c r="H329" t="n">
        <v>0</v>
      </c>
      <c r="I329" t="n">
        <v>0</v>
      </c>
      <c r="J329" t="n">
        <v>1</v>
      </c>
      <c r="K329" t="n">
        <v>0</v>
      </c>
      <c r="L329" t="n">
        <v>0</v>
      </c>
      <c r="M329" t="n">
        <v>0</v>
      </c>
      <c r="N329" t="n">
        <v>0</v>
      </c>
      <c r="O329" t="n">
        <v>1</v>
      </c>
      <c r="P329" t="n">
        <v>0</v>
      </c>
      <c r="Q329" t="n">
        <v>1</v>
      </c>
      <c r="R329" s="2" t="inlineStr">
        <is>
          <t>Tallticka</t>
        </is>
      </c>
      <c r="S329">
        <f>HYPERLINK("https://klasma.github.io/Logging_0380/artfynd/A 34020-2021 artfynd.xlsx", "A 34020-2021")</f>
        <v/>
      </c>
      <c r="T329">
        <f>HYPERLINK("https://klasma.github.io/Logging_0380/kartor/A 34020-2021 karta.png", "A 34020-2021")</f>
        <v/>
      </c>
      <c r="V329">
        <f>HYPERLINK("https://klasma.github.io/Logging_0380/klagomål/A 34020-2021 FSC-klagomål.docx", "A 34020-2021")</f>
        <v/>
      </c>
      <c r="W329">
        <f>HYPERLINK("https://klasma.github.io/Logging_0380/klagomålsmail/A 34020-2021 FSC-klagomål mail.docx", "A 34020-2021")</f>
        <v/>
      </c>
      <c r="X329">
        <f>HYPERLINK("https://klasma.github.io/Logging_0380/tillsyn/A 34020-2021 tillsynsbegäran.docx", "A 34020-2021")</f>
        <v/>
      </c>
      <c r="Y329">
        <f>HYPERLINK("https://klasma.github.io/Logging_0380/tillsynsmail/A 34020-2021 tillsynsbegäran mail.docx", "A 34020-2021")</f>
        <v/>
      </c>
    </row>
    <row r="330" ht="15" customHeight="1">
      <c r="A330" t="inlineStr">
        <is>
          <t>A 41971-2022</t>
        </is>
      </c>
      <c r="B330" s="1" t="n">
        <v>44827</v>
      </c>
      <c r="C330" s="1" t="n">
        <v>46098</v>
      </c>
      <c r="D330" t="inlineStr">
        <is>
          <t>UPPSALA LÄN</t>
        </is>
      </c>
      <c r="E330" t="inlineStr">
        <is>
          <t>TIERP</t>
        </is>
      </c>
      <c r="G330" t="n">
        <v>10</v>
      </c>
      <c r="H330" t="n">
        <v>1</v>
      </c>
      <c r="I330" t="n">
        <v>0</v>
      </c>
      <c r="J330" t="n">
        <v>1</v>
      </c>
      <c r="K330" t="n">
        <v>0</v>
      </c>
      <c r="L330" t="n">
        <v>0</v>
      </c>
      <c r="M330" t="n">
        <v>0</v>
      </c>
      <c r="N330" t="n">
        <v>0</v>
      </c>
      <c r="O330" t="n">
        <v>1</v>
      </c>
      <c r="P330" t="n">
        <v>0</v>
      </c>
      <c r="Q330" t="n">
        <v>1</v>
      </c>
      <c r="R330" s="2" t="inlineStr">
        <is>
          <t>Havsörn</t>
        </is>
      </c>
      <c r="S330">
        <f>HYPERLINK("https://klasma.github.io/Logging_0360/artfynd/A 41971-2022 artfynd.xlsx", "A 41971-2022")</f>
        <v/>
      </c>
      <c r="T330">
        <f>HYPERLINK("https://klasma.github.io/Logging_0360/kartor/A 41971-2022 karta.png", "A 41971-2022")</f>
        <v/>
      </c>
      <c r="V330">
        <f>HYPERLINK("https://klasma.github.io/Logging_0360/klagomål/A 41971-2022 FSC-klagomål.docx", "A 41971-2022")</f>
        <v/>
      </c>
      <c r="W330">
        <f>HYPERLINK("https://klasma.github.io/Logging_0360/klagomålsmail/A 41971-2022 FSC-klagomål mail.docx", "A 41971-2022")</f>
        <v/>
      </c>
      <c r="X330">
        <f>HYPERLINK("https://klasma.github.io/Logging_0360/tillsyn/A 41971-2022 tillsynsbegäran.docx", "A 41971-2022")</f>
        <v/>
      </c>
      <c r="Y330">
        <f>HYPERLINK("https://klasma.github.io/Logging_0360/tillsynsmail/A 41971-2022 tillsynsbegäran mail.docx", "A 41971-2022")</f>
        <v/>
      </c>
      <c r="Z330">
        <f>HYPERLINK("https://klasma.github.io/Logging_0360/fåglar/A 41971-2022 prioriterade fågelarter.docx", "A 41971-2022")</f>
        <v/>
      </c>
    </row>
    <row r="331" ht="15" customHeight="1">
      <c r="A331" t="inlineStr">
        <is>
          <t>A 14255-2022</t>
        </is>
      </c>
      <c r="B331" s="1" t="n">
        <v>44651</v>
      </c>
      <c r="C331" s="1" t="n">
        <v>46098</v>
      </c>
      <c r="D331" t="inlineStr">
        <is>
          <t>UPPSALA LÄN</t>
        </is>
      </c>
      <c r="E331" t="inlineStr">
        <is>
          <t>UPPSALA</t>
        </is>
      </c>
      <c r="F331" t="inlineStr">
        <is>
          <t>Holmen skog AB</t>
        </is>
      </c>
      <c r="G331" t="n">
        <v>3</v>
      </c>
      <c r="H331" t="n">
        <v>0</v>
      </c>
      <c r="I331" t="n">
        <v>0</v>
      </c>
      <c r="J331" t="n">
        <v>1</v>
      </c>
      <c r="K331" t="n">
        <v>0</v>
      </c>
      <c r="L331" t="n">
        <v>0</v>
      </c>
      <c r="M331" t="n">
        <v>0</v>
      </c>
      <c r="N331" t="n">
        <v>0</v>
      </c>
      <c r="O331" t="n">
        <v>1</v>
      </c>
      <c r="P331" t="n">
        <v>0</v>
      </c>
      <c r="Q331" t="n">
        <v>1</v>
      </c>
      <c r="R331" s="2" t="inlineStr">
        <is>
          <t>Rödbrun blekspik</t>
        </is>
      </c>
      <c r="S331">
        <f>HYPERLINK("https://klasma.github.io/Logging_0380/artfynd/A 14255-2022 artfynd.xlsx", "A 14255-2022")</f>
        <v/>
      </c>
      <c r="T331">
        <f>HYPERLINK("https://klasma.github.io/Logging_0380/kartor/A 14255-2022 karta.png", "A 14255-2022")</f>
        <v/>
      </c>
      <c r="V331">
        <f>HYPERLINK("https://klasma.github.io/Logging_0380/klagomål/A 14255-2022 FSC-klagomål.docx", "A 14255-2022")</f>
        <v/>
      </c>
      <c r="W331">
        <f>HYPERLINK("https://klasma.github.io/Logging_0380/klagomålsmail/A 14255-2022 FSC-klagomål mail.docx", "A 14255-2022")</f>
        <v/>
      </c>
      <c r="X331">
        <f>HYPERLINK("https://klasma.github.io/Logging_0380/tillsyn/A 14255-2022 tillsynsbegäran.docx", "A 14255-2022")</f>
        <v/>
      </c>
      <c r="Y331">
        <f>HYPERLINK("https://klasma.github.io/Logging_0380/tillsynsmail/A 14255-2022 tillsynsbegäran mail.docx", "A 14255-2022")</f>
        <v/>
      </c>
    </row>
    <row r="332" ht="15" customHeight="1">
      <c r="A332" t="inlineStr">
        <is>
          <t>A 29983-2022</t>
        </is>
      </c>
      <c r="B332" s="1" t="n">
        <v>44756.69783564815</v>
      </c>
      <c r="C332" s="1" t="n">
        <v>46098</v>
      </c>
      <c r="D332" t="inlineStr">
        <is>
          <t>UPPSALA LÄN</t>
        </is>
      </c>
      <c r="E332" t="inlineStr">
        <is>
          <t>TIERP</t>
        </is>
      </c>
      <c r="G332" t="n">
        <v>0.8</v>
      </c>
      <c r="H332" t="n">
        <v>1</v>
      </c>
      <c r="I332" t="n">
        <v>0</v>
      </c>
      <c r="J332" t="n">
        <v>0</v>
      </c>
      <c r="K332" t="n">
        <v>1</v>
      </c>
      <c r="L332" t="n">
        <v>0</v>
      </c>
      <c r="M332" t="n">
        <v>0</v>
      </c>
      <c r="N332" t="n">
        <v>0</v>
      </c>
      <c r="O332" t="n">
        <v>1</v>
      </c>
      <c r="P332" t="n">
        <v>1</v>
      </c>
      <c r="Q332" t="n">
        <v>1</v>
      </c>
      <c r="R332" s="2" t="inlineStr">
        <is>
          <t>Hussvala</t>
        </is>
      </c>
      <c r="S332">
        <f>HYPERLINK("https://klasma.github.io/Logging_0360/artfynd/A 29983-2022 artfynd.xlsx", "A 29983-2022")</f>
        <v/>
      </c>
      <c r="T332">
        <f>HYPERLINK("https://klasma.github.io/Logging_0360/kartor/A 29983-2022 karta.png", "A 29983-2022")</f>
        <v/>
      </c>
      <c r="V332">
        <f>HYPERLINK("https://klasma.github.io/Logging_0360/klagomål/A 29983-2022 FSC-klagomål.docx", "A 29983-2022")</f>
        <v/>
      </c>
      <c r="W332">
        <f>HYPERLINK("https://klasma.github.io/Logging_0360/klagomålsmail/A 29983-2022 FSC-klagomål mail.docx", "A 29983-2022")</f>
        <v/>
      </c>
      <c r="X332">
        <f>HYPERLINK("https://klasma.github.io/Logging_0360/tillsyn/A 29983-2022 tillsynsbegäran.docx", "A 29983-2022")</f>
        <v/>
      </c>
      <c r="Y332">
        <f>HYPERLINK("https://klasma.github.io/Logging_0360/tillsynsmail/A 29983-2022 tillsynsbegäran mail.docx", "A 29983-2022")</f>
        <v/>
      </c>
    </row>
    <row r="333" ht="15" customHeight="1">
      <c r="A333" t="inlineStr">
        <is>
          <t>A 33375-2022</t>
        </is>
      </c>
      <c r="B333" s="1" t="n">
        <v>44788</v>
      </c>
      <c r="C333" s="1" t="n">
        <v>46098</v>
      </c>
      <c r="D333" t="inlineStr">
        <is>
          <t>UPPSALA LÄN</t>
        </is>
      </c>
      <c r="E333" t="inlineStr">
        <is>
          <t>TIERP</t>
        </is>
      </c>
      <c r="G333" t="n">
        <v>4.7</v>
      </c>
      <c r="H333" t="n">
        <v>0</v>
      </c>
      <c r="I333" t="n">
        <v>0</v>
      </c>
      <c r="J333" t="n">
        <v>0</v>
      </c>
      <c r="K333" t="n">
        <v>0</v>
      </c>
      <c r="L333" t="n">
        <v>1</v>
      </c>
      <c r="M333" t="n">
        <v>0</v>
      </c>
      <c r="N333" t="n">
        <v>0</v>
      </c>
      <c r="O333" t="n">
        <v>1</v>
      </c>
      <c r="P333" t="n">
        <v>1</v>
      </c>
      <c r="Q333" t="n">
        <v>1</v>
      </c>
      <c r="R333" s="2" t="inlineStr">
        <is>
          <t>Fältgentiana</t>
        </is>
      </c>
      <c r="S333">
        <f>HYPERLINK("https://klasma.github.io/Logging_0360/artfynd/A 33375-2022 artfynd.xlsx", "A 33375-2022")</f>
        <v/>
      </c>
      <c r="T333">
        <f>HYPERLINK("https://klasma.github.io/Logging_0360/kartor/A 33375-2022 karta.png", "A 33375-2022")</f>
        <v/>
      </c>
      <c r="V333">
        <f>HYPERLINK("https://klasma.github.io/Logging_0360/klagomål/A 33375-2022 FSC-klagomål.docx", "A 33375-2022")</f>
        <v/>
      </c>
      <c r="W333">
        <f>HYPERLINK("https://klasma.github.io/Logging_0360/klagomålsmail/A 33375-2022 FSC-klagomål mail.docx", "A 33375-2022")</f>
        <v/>
      </c>
      <c r="X333">
        <f>HYPERLINK("https://klasma.github.io/Logging_0360/tillsyn/A 33375-2022 tillsynsbegäran.docx", "A 33375-2022")</f>
        <v/>
      </c>
      <c r="Y333">
        <f>HYPERLINK("https://klasma.github.io/Logging_0360/tillsynsmail/A 33375-2022 tillsynsbegäran mail.docx", "A 33375-2022")</f>
        <v/>
      </c>
    </row>
    <row r="334" ht="15" customHeight="1">
      <c r="A334" t="inlineStr">
        <is>
          <t>A 48167-2022</t>
        </is>
      </c>
      <c r="B334" s="1" t="n">
        <v>44858.36881944445</v>
      </c>
      <c r="C334" s="1" t="n">
        <v>46098</v>
      </c>
      <c r="D334" t="inlineStr">
        <is>
          <t>UPPSALA LÄN</t>
        </is>
      </c>
      <c r="E334" t="inlineStr">
        <is>
          <t>HEBY</t>
        </is>
      </c>
      <c r="G334" t="n">
        <v>3.5</v>
      </c>
      <c r="H334" t="n">
        <v>1</v>
      </c>
      <c r="I334" t="n">
        <v>0</v>
      </c>
      <c r="J334" t="n">
        <v>0</v>
      </c>
      <c r="K334" t="n">
        <v>0</v>
      </c>
      <c r="L334" t="n">
        <v>0</v>
      </c>
      <c r="M334" t="n">
        <v>0</v>
      </c>
      <c r="N334" t="n">
        <v>0</v>
      </c>
      <c r="O334" t="n">
        <v>0</v>
      </c>
      <c r="P334" t="n">
        <v>0</v>
      </c>
      <c r="Q334" t="n">
        <v>1</v>
      </c>
      <c r="R334" s="2" t="inlineStr">
        <is>
          <t>Tjäder</t>
        </is>
      </c>
      <c r="S334">
        <f>HYPERLINK("https://klasma.github.io/Logging_0331/artfynd/A 48167-2022 artfynd.xlsx", "A 48167-2022")</f>
        <v/>
      </c>
      <c r="T334">
        <f>HYPERLINK("https://klasma.github.io/Logging_0331/kartor/A 48167-2022 karta.png", "A 48167-2022")</f>
        <v/>
      </c>
      <c r="V334">
        <f>HYPERLINK("https://klasma.github.io/Logging_0331/klagomål/A 48167-2022 FSC-klagomål.docx", "A 48167-2022")</f>
        <v/>
      </c>
      <c r="W334">
        <f>HYPERLINK("https://klasma.github.io/Logging_0331/klagomålsmail/A 48167-2022 FSC-klagomål mail.docx", "A 48167-2022")</f>
        <v/>
      </c>
      <c r="X334">
        <f>HYPERLINK("https://klasma.github.io/Logging_0331/tillsyn/A 48167-2022 tillsynsbegäran.docx", "A 48167-2022")</f>
        <v/>
      </c>
      <c r="Y334">
        <f>HYPERLINK("https://klasma.github.io/Logging_0331/tillsynsmail/A 48167-2022 tillsynsbegäran mail.docx", "A 48167-2022")</f>
        <v/>
      </c>
      <c r="Z334">
        <f>HYPERLINK("https://klasma.github.io/Logging_0331/fåglar/A 48167-2022 prioriterade fågelarter.docx", "A 48167-2022")</f>
        <v/>
      </c>
    </row>
    <row r="335" ht="15" customHeight="1">
      <c r="A335" t="inlineStr">
        <is>
          <t>A 61536-2021</t>
        </is>
      </c>
      <c r="B335" s="1" t="n">
        <v>44501</v>
      </c>
      <c r="C335" s="1" t="n">
        <v>46098</v>
      </c>
      <c r="D335" t="inlineStr">
        <is>
          <t>UPPSALA LÄN</t>
        </is>
      </c>
      <c r="E335" t="inlineStr">
        <is>
          <t>ÖSTHAMMAR</t>
        </is>
      </c>
      <c r="F335" t="inlineStr">
        <is>
          <t>Sveaskog</t>
        </is>
      </c>
      <c r="G335" t="n">
        <v>2.1</v>
      </c>
      <c r="H335" t="n">
        <v>0</v>
      </c>
      <c r="I335" t="n">
        <v>0</v>
      </c>
      <c r="J335" t="n">
        <v>1</v>
      </c>
      <c r="K335" t="n">
        <v>0</v>
      </c>
      <c r="L335" t="n">
        <v>0</v>
      </c>
      <c r="M335" t="n">
        <v>0</v>
      </c>
      <c r="N335" t="n">
        <v>0</v>
      </c>
      <c r="O335" t="n">
        <v>1</v>
      </c>
      <c r="P335" t="n">
        <v>0</v>
      </c>
      <c r="Q335" t="n">
        <v>1</v>
      </c>
      <c r="R335" s="2" t="inlineStr">
        <is>
          <t>Klasefibbla</t>
        </is>
      </c>
      <c r="S335">
        <f>HYPERLINK("https://klasma.github.io/Logging_0382/artfynd/A 61536-2021 artfynd.xlsx", "A 61536-2021")</f>
        <v/>
      </c>
      <c r="T335">
        <f>HYPERLINK("https://klasma.github.io/Logging_0382/kartor/A 61536-2021 karta.png", "A 61536-2021")</f>
        <v/>
      </c>
      <c r="V335">
        <f>HYPERLINK("https://klasma.github.io/Logging_0382/klagomål/A 61536-2021 FSC-klagomål.docx", "A 61536-2021")</f>
        <v/>
      </c>
      <c r="W335">
        <f>HYPERLINK("https://klasma.github.io/Logging_0382/klagomålsmail/A 61536-2021 FSC-klagomål mail.docx", "A 61536-2021")</f>
        <v/>
      </c>
      <c r="X335">
        <f>HYPERLINK("https://klasma.github.io/Logging_0382/tillsyn/A 61536-2021 tillsynsbegäran.docx", "A 61536-2021")</f>
        <v/>
      </c>
      <c r="Y335">
        <f>HYPERLINK("https://klasma.github.io/Logging_0382/tillsynsmail/A 61536-2021 tillsynsbegäran mail.docx", "A 61536-2021")</f>
        <v/>
      </c>
    </row>
    <row r="336" ht="15" customHeight="1">
      <c r="A336" t="inlineStr">
        <is>
          <t>A 41382-2022</t>
        </is>
      </c>
      <c r="B336" s="1" t="n">
        <v>44826.59002314815</v>
      </c>
      <c r="C336" s="1" t="n">
        <v>46098</v>
      </c>
      <c r="D336" t="inlineStr">
        <is>
          <t>UPPSALA LÄN</t>
        </is>
      </c>
      <c r="E336" t="inlineStr">
        <is>
          <t>HEBY</t>
        </is>
      </c>
      <c r="G336" t="n">
        <v>2.2</v>
      </c>
      <c r="H336" t="n">
        <v>1</v>
      </c>
      <c r="I336" t="n">
        <v>0</v>
      </c>
      <c r="J336" t="n">
        <v>0</v>
      </c>
      <c r="K336" t="n">
        <v>0</v>
      </c>
      <c r="L336" t="n">
        <v>0</v>
      </c>
      <c r="M336" t="n">
        <v>0</v>
      </c>
      <c r="N336" t="n">
        <v>0</v>
      </c>
      <c r="O336" t="n">
        <v>0</v>
      </c>
      <c r="P336" t="n">
        <v>0</v>
      </c>
      <c r="Q336" t="n">
        <v>1</v>
      </c>
      <c r="R336" s="2" t="inlineStr">
        <is>
          <t>Nattviol</t>
        </is>
      </c>
      <c r="S336">
        <f>HYPERLINK("https://klasma.github.io/Logging_0331/artfynd/A 41382-2022 artfynd.xlsx", "A 41382-2022")</f>
        <v/>
      </c>
      <c r="T336">
        <f>HYPERLINK("https://klasma.github.io/Logging_0331/kartor/A 41382-2022 karta.png", "A 41382-2022")</f>
        <v/>
      </c>
      <c r="V336">
        <f>HYPERLINK("https://klasma.github.io/Logging_0331/klagomål/A 41382-2022 FSC-klagomål.docx", "A 41382-2022")</f>
        <v/>
      </c>
      <c r="W336">
        <f>HYPERLINK("https://klasma.github.io/Logging_0331/klagomålsmail/A 41382-2022 FSC-klagomål mail.docx", "A 41382-2022")</f>
        <v/>
      </c>
      <c r="X336">
        <f>HYPERLINK("https://klasma.github.io/Logging_0331/tillsyn/A 41382-2022 tillsynsbegäran.docx", "A 41382-2022")</f>
        <v/>
      </c>
      <c r="Y336">
        <f>HYPERLINK("https://klasma.github.io/Logging_0331/tillsynsmail/A 41382-2022 tillsynsbegäran mail.docx", "A 41382-2022")</f>
        <v/>
      </c>
    </row>
    <row r="337" ht="15" customHeight="1">
      <c r="A337" t="inlineStr">
        <is>
          <t>A 74028-2021</t>
        </is>
      </c>
      <c r="B337" s="1" t="n">
        <v>44557.4596875</v>
      </c>
      <c r="C337" s="1" t="n">
        <v>46098</v>
      </c>
      <c r="D337" t="inlineStr">
        <is>
          <t>UPPSALA LÄN</t>
        </is>
      </c>
      <c r="E337" t="inlineStr">
        <is>
          <t>ENKÖPING</t>
        </is>
      </c>
      <c r="G337" t="n">
        <v>7.3</v>
      </c>
      <c r="H337" t="n">
        <v>1</v>
      </c>
      <c r="I337" t="n">
        <v>0</v>
      </c>
      <c r="J337" t="n">
        <v>0</v>
      </c>
      <c r="K337" t="n">
        <v>0</v>
      </c>
      <c r="L337" t="n">
        <v>0</v>
      </c>
      <c r="M337" t="n">
        <v>0</v>
      </c>
      <c r="N337" t="n">
        <v>0</v>
      </c>
      <c r="O337" t="n">
        <v>0</v>
      </c>
      <c r="P337" t="n">
        <v>0</v>
      </c>
      <c r="Q337" t="n">
        <v>1</v>
      </c>
      <c r="R337" s="2" t="inlineStr">
        <is>
          <t>Tjäder</t>
        </is>
      </c>
      <c r="S337">
        <f>HYPERLINK("https://klasma.github.io/Logging_0381/artfynd/A 74028-2021 artfynd.xlsx", "A 74028-2021")</f>
        <v/>
      </c>
      <c r="T337">
        <f>HYPERLINK("https://klasma.github.io/Logging_0381/kartor/A 74028-2021 karta.png", "A 74028-2021")</f>
        <v/>
      </c>
      <c r="V337">
        <f>HYPERLINK("https://klasma.github.io/Logging_0381/klagomål/A 74028-2021 FSC-klagomål.docx", "A 74028-2021")</f>
        <v/>
      </c>
      <c r="W337">
        <f>HYPERLINK("https://klasma.github.io/Logging_0381/klagomålsmail/A 74028-2021 FSC-klagomål mail.docx", "A 74028-2021")</f>
        <v/>
      </c>
      <c r="X337">
        <f>HYPERLINK("https://klasma.github.io/Logging_0381/tillsyn/A 74028-2021 tillsynsbegäran.docx", "A 74028-2021")</f>
        <v/>
      </c>
      <c r="Y337">
        <f>HYPERLINK("https://klasma.github.io/Logging_0381/tillsynsmail/A 74028-2021 tillsynsbegäran mail.docx", "A 74028-2021")</f>
        <v/>
      </c>
      <c r="Z337">
        <f>HYPERLINK("https://klasma.github.io/Logging_0381/fåglar/A 74028-2021 prioriterade fågelarter.docx", "A 74028-2021")</f>
        <v/>
      </c>
    </row>
    <row r="338" ht="15" customHeight="1">
      <c r="A338" t="inlineStr">
        <is>
          <t>A 47425-2022</t>
        </is>
      </c>
      <c r="B338" s="1" t="n">
        <v>44851</v>
      </c>
      <c r="C338" s="1" t="n">
        <v>46098</v>
      </c>
      <c r="D338" t="inlineStr">
        <is>
          <t>UPPSALA LÄN</t>
        </is>
      </c>
      <c r="E338" t="inlineStr">
        <is>
          <t>HÅBO</t>
        </is>
      </c>
      <c r="G338" t="n">
        <v>1.7</v>
      </c>
      <c r="H338" t="n">
        <v>0</v>
      </c>
      <c r="I338" t="n">
        <v>1</v>
      </c>
      <c r="J338" t="n">
        <v>0</v>
      </c>
      <c r="K338" t="n">
        <v>0</v>
      </c>
      <c r="L338" t="n">
        <v>0</v>
      </c>
      <c r="M338" t="n">
        <v>0</v>
      </c>
      <c r="N338" t="n">
        <v>0</v>
      </c>
      <c r="O338" t="n">
        <v>0</v>
      </c>
      <c r="P338" t="n">
        <v>0</v>
      </c>
      <c r="Q338" t="n">
        <v>1</v>
      </c>
      <c r="R338" s="2" t="inlineStr">
        <is>
          <t>Strimspindling</t>
        </is>
      </c>
      <c r="S338">
        <f>HYPERLINK("https://klasma.github.io/Logging_0305/artfynd/A 47425-2022 artfynd.xlsx", "A 47425-2022")</f>
        <v/>
      </c>
      <c r="T338">
        <f>HYPERLINK("https://klasma.github.io/Logging_0305/kartor/A 47425-2022 karta.png", "A 47425-2022")</f>
        <v/>
      </c>
      <c r="V338">
        <f>HYPERLINK("https://klasma.github.io/Logging_0305/klagomål/A 47425-2022 FSC-klagomål.docx", "A 47425-2022")</f>
        <v/>
      </c>
      <c r="W338">
        <f>HYPERLINK("https://klasma.github.io/Logging_0305/klagomålsmail/A 47425-2022 FSC-klagomål mail.docx", "A 47425-2022")</f>
        <v/>
      </c>
      <c r="X338">
        <f>HYPERLINK("https://klasma.github.io/Logging_0305/tillsyn/A 47425-2022 tillsynsbegäran.docx", "A 47425-2022")</f>
        <v/>
      </c>
      <c r="Y338">
        <f>HYPERLINK("https://klasma.github.io/Logging_0305/tillsynsmail/A 47425-2022 tillsynsbegäran mail.docx", "A 47425-2022")</f>
        <v/>
      </c>
    </row>
    <row r="339" ht="15" customHeight="1">
      <c r="A339" t="inlineStr">
        <is>
          <t>A 49871-2021</t>
        </is>
      </c>
      <c r="B339" s="1" t="n">
        <v>44455</v>
      </c>
      <c r="C339" s="1" t="n">
        <v>46098</v>
      </c>
      <c r="D339" t="inlineStr">
        <is>
          <t>UPPSALA LÄN</t>
        </is>
      </c>
      <c r="E339" t="inlineStr">
        <is>
          <t>ÖSTHAMMAR</t>
        </is>
      </c>
      <c r="G339" t="n">
        <v>0.5</v>
      </c>
      <c r="H339" t="n">
        <v>0</v>
      </c>
      <c r="I339" t="n">
        <v>1</v>
      </c>
      <c r="J339" t="n">
        <v>0</v>
      </c>
      <c r="K339" t="n">
        <v>0</v>
      </c>
      <c r="L339" t="n">
        <v>0</v>
      </c>
      <c r="M339" t="n">
        <v>0</v>
      </c>
      <c r="N339" t="n">
        <v>0</v>
      </c>
      <c r="O339" t="n">
        <v>0</v>
      </c>
      <c r="P339" t="n">
        <v>0</v>
      </c>
      <c r="Q339" t="n">
        <v>1</v>
      </c>
      <c r="R339" s="2" t="inlineStr">
        <is>
          <t>Anisspindling</t>
        </is>
      </c>
      <c r="S339">
        <f>HYPERLINK("https://klasma.github.io/Logging_0382/artfynd/A 49871-2021 artfynd.xlsx", "A 49871-2021")</f>
        <v/>
      </c>
      <c r="T339">
        <f>HYPERLINK("https://klasma.github.io/Logging_0382/kartor/A 49871-2021 karta.png", "A 49871-2021")</f>
        <v/>
      </c>
      <c r="V339">
        <f>HYPERLINK("https://klasma.github.io/Logging_0382/klagomål/A 49871-2021 FSC-klagomål.docx", "A 49871-2021")</f>
        <v/>
      </c>
      <c r="W339">
        <f>HYPERLINK("https://klasma.github.io/Logging_0382/klagomålsmail/A 49871-2021 FSC-klagomål mail.docx", "A 49871-2021")</f>
        <v/>
      </c>
      <c r="X339">
        <f>HYPERLINK("https://klasma.github.io/Logging_0382/tillsyn/A 49871-2021 tillsynsbegäran.docx", "A 49871-2021")</f>
        <v/>
      </c>
      <c r="Y339">
        <f>HYPERLINK("https://klasma.github.io/Logging_0382/tillsynsmail/A 49871-2021 tillsynsbegäran mail.docx", "A 49871-2021")</f>
        <v/>
      </c>
    </row>
    <row r="340" ht="15" customHeight="1">
      <c r="A340" t="inlineStr">
        <is>
          <t>A 23385-2021</t>
        </is>
      </c>
      <c r="B340" s="1" t="n">
        <v>44333.6091087963</v>
      </c>
      <c r="C340" s="1" t="n">
        <v>46098</v>
      </c>
      <c r="D340" t="inlineStr">
        <is>
          <t>UPPSALA LÄN</t>
        </is>
      </c>
      <c r="E340" t="inlineStr">
        <is>
          <t>ENKÖPING</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HYPERLINK("https://klasma.github.io/Logging_0381/artfynd/A 23385-2021 artfynd.xlsx", "A 23385-2021")</f>
        <v/>
      </c>
      <c r="T340">
        <f>HYPERLINK("https://klasma.github.io/Logging_0381/kartor/A 23385-2021 karta.png", "A 23385-2021")</f>
        <v/>
      </c>
      <c r="V340">
        <f>HYPERLINK("https://klasma.github.io/Logging_0381/klagomål/A 23385-2021 FSC-klagomål.docx", "A 23385-2021")</f>
        <v/>
      </c>
      <c r="W340">
        <f>HYPERLINK("https://klasma.github.io/Logging_0381/klagomålsmail/A 23385-2021 FSC-klagomål mail.docx", "A 23385-2021")</f>
        <v/>
      </c>
      <c r="X340">
        <f>HYPERLINK("https://klasma.github.io/Logging_0381/tillsyn/A 23385-2021 tillsynsbegäran.docx", "A 23385-2021")</f>
        <v/>
      </c>
      <c r="Y340">
        <f>HYPERLINK("https://klasma.github.io/Logging_0381/tillsynsmail/A 23385-2021 tillsynsbegäran mail.docx", "A 23385-2021")</f>
        <v/>
      </c>
      <c r="Z340">
        <f>HYPERLINK("https://klasma.github.io/Logging_0381/fåglar/A 23385-2021 prioriterade fågelarter.docx", "A 23385-2021")</f>
        <v/>
      </c>
    </row>
    <row r="341" ht="15" customHeight="1">
      <c r="A341" t="inlineStr">
        <is>
          <t>A 52651-2022</t>
        </is>
      </c>
      <c r="B341" s="1" t="n">
        <v>44874</v>
      </c>
      <c r="C341" s="1" t="n">
        <v>46098</v>
      </c>
      <c r="D341" t="inlineStr">
        <is>
          <t>UPPSALA LÄN</t>
        </is>
      </c>
      <c r="E341" t="inlineStr">
        <is>
          <t>ÖSTHAMMAR</t>
        </is>
      </c>
      <c r="F341" t="inlineStr">
        <is>
          <t>Bergvik skog öst AB</t>
        </is>
      </c>
      <c r="G341" t="n">
        <v>0.6</v>
      </c>
      <c r="H341" t="n">
        <v>1</v>
      </c>
      <c r="I341" t="n">
        <v>0</v>
      </c>
      <c r="J341" t="n">
        <v>1</v>
      </c>
      <c r="K341" t="n">
        <v>0</v>
      </c>
      <c r="L341" t="n">
        <v>0</v>
      </c>
      <c r="M341" t="n">
        <v>0</v>
      </c>
      <c r="N341" t="n">
        <v>0</v>
      </c>
      <c r="O341" t="n">
        <v>1</v>
      </c>
      <c r="P341" t="n">
        <v>0</v>
      </c>
      <c r="Q341" t="n">
        <v>1</v>
      </c>
      <c r="R341" s="2" t="inlineStr">
        <is>
          <t>Svartvit flugsnappare</t>
        </is>
      </c>
      <c r="S341">
        <f>HYPERLINK("https://klasma.github.io/Logging_0382/artfynd/A 52651-2022 artfynd.xlsx", "A 52651-2022")</f>
        <v/>
      </c>
      <c r="T341">
        <f>HYPERLINK("https://klasma.github.io/Logging_0382/kartor/A 52651-2022 karta.png", "A 52651-2022")</f>
        <v/>
      </c>
      <c r="V341">
        <f>HYPERLINK("https://klasma.github.io/Logging_0382/klagomål/A 52651-2022 FSC-klagomål.docx", "A 52651-2022")</f>
        <v/>
      </c>
      <c r="W341">
        <f>HYPERLINK("https://klasma.github.io/Logging_0382/klagomålsmail/A 52651-2022 FSC-klagomål mail.docx", "A 52651-2022")</f>
        <v/>
      </c>
      <c r="X341">
        <f>HYPERLINK("https://klasma.github.io/Logging_0382/tillsyn/A 52651-2022 tillsynsbegäran.docx", "A 52651-2022")</f>
        <v/>
      </c>
      <c r="Y341">
        <f>HYPERLINK("https://klasma.github.io/Logging_0382/tillsynsmail/A 52651-2022 tillsynsbegäran mail.docx", "A 52651-2022")</f>
        <v/>
      </c>
      <c r="Z341">
        <f>HYPERLINK("https://klasma.github.io/Logging_0382/fåglar/A 52651-2022 prioriterade fågelarter.docx", "A 52651-2022")</f>
        <v/>
      </c>
    </row>
    <row r="342" ht="15" customHeight="1">
      <c r="A342" t="inlineStr">
        <is>
          <t>A 5455-2025</t>
        </is>
      </c>
      <c r="B342" s="1" t="n">
        <v>45693</v>
      </c>
      <c r="C342" s="1" t="n">
        <v>46098</v>
      </c>
      <c r="D342" t="inlineStr">
        <is>
          <t>UPPSALA LÄN</t>
        </is>
      </c>
      <c r="E342" t="inlineStr">
        <is>
          <t>KNIVSTA</t>
        </is>
      </c>
      <c r="G342" t="n">
        <v>17.1</v>
      </c>
      <c r="H342" t="n">
        <v>0</v>
      </c>
      <c r="I342" t="n">
        <v>1</v>
      </c>
      <c r="J342" t="n">
        <v>0</v>
      </c>
      <c r="K342" t="n">
        <v>0</v>
      </c>
      <c r="L342" t="n">
        <v>0</v>
      </c>
      <c r="M342" t="n">
        <v>0</v>
      </c>
      <c r="N342" t="n">
        <v>0</v>
      </c>
      <c r="O342" t="n">
        <v>0</v>
      </c>
      <c r="P342" t="n">
        <v>0</v>
      </c>
      <c r="Q342" t="n">
        <v>1</v>
      </c>
      <c r="R342" s="2" t="inlineStr">
        <is>
          <t>Vedticka</t>
        </is>
      </c>
      <c r="S342">
        <f>HYPERLINK("https://klasma.github.io/Logging_0330/artfynd/A 5455-2025 artfynd.xlsx", "A 5455-2025")</f>
        <v/>
      </c>
      <c r="T342">
        <f>HYPERLINK("https://klasma.github.io/Logging_0330/kartor/A 5455-2025 karta.png", "A 5455-2025")</f>
        <v/>
      </c>
      <c r="V342">
        <f>HYPERLINK("https://klasma.github.io/Logging_0330/klagomål/A 5455-2025 FSC-klagomål.docx", "A 5455-2025")</f>
        <v/>
      </c>
      <c r="W342">
        <f>HYPERLINK("https://klasma.github.io/Logging_0330/klagomålsmail/A 5455-2025 FSC-klagomål mail.docx", "A 5455-2025")</f>
        <v/>
      </c>
      <c r="X342">
        <f>HYPERLINK("https://klasma.github.io/Logging_0330/tillsyn/A 5455-2025 tillsynsbegäran.docx", "A 5455-2025")</f>
        <v/>
      </c>
      <c r="Y342">
        <f>HYPERLINK("https://klasma.github.io/Logging_0330/tillsynsmail/A 5455-2025 tillsynsbegäran mail.docx", "A 5455-2025")</f>
        <v/>
      </c>
    </row>
    <row r="343" ht="15" customHeight="1">
      <c r="A343" t="inlineStr">
        <is>
          <t>A 58050-2021</t>
        </is>
      </c>
      <c r="B343" s="1" t="n">
        <v>44487</v>
      </c>
      <c r="C343" s="1" t="n">
        <v>46098</v>
      </c>
      <c r="D343" t="inlineStr">
        <is>
          <t>UPPSALA LÄN</t>
        </is>
      </c>
      <c r="E343" t="inlineStr">
        <is>
          <t>UPPSALA</t>
        </is>
      </c>
      <c r="G343" t="n">
        <v>4.4</v>
      </c>
      <c r="H343" t="n">
        <v>0</v>
      </c>
      <c r="I343" t="n">
        <v>0</v>
      </c>
      <c r="J343" t="n">
        <v>1</v>
      </c>
      <c r="K343" t="n">
        <v>0</v>
      </c>
      <c r="L343" t="n">
        <v>0</v>
      </c>
      <c r="M343" t="n">
        <v>0</v>
      </c>
      <c r="N343" t="n">
        <v>0</v>
      </c>
      <c r="O343" t="n">
        <v>1</v>
      </c>
      <c r="P343" t="n">
        <v>0</v>
      </c>
      <c r="Q343" t="n">
        <v>1</v>
      </c>
      <c r="R343" s="2" t="inlineStr">
        <is>
          <t>Ullticka</t>
        </is>
      </c>
      <c r="S343">
        <f>HYPERLINK("https://klasma.github.io/Logging_0380/artfynd/A 58050-2021 artfynd.xlsx", "A 58050-2021")</f>
        <v/>
      </c>
      <c r="T343">
        <f>HYPERLINK("https://klasma.github.io/Logging_0380/kartor/A 58050-2021 karta.png", "A 58050-2021")</f>
        <v/>
      </c>
      <c r="V343">
        <f>HYPERLINK("https://klasma.github.io/Logging_0380/klagomål/A 58050-2021 FSC-klagomål.docx", "A 58050-2021")</f>
        <v/>
      </c>
      <c r="W343">
        <f>HYPERLINK("https://klasma.github.io/Logging_0380/klagomålsmail/A 58050-2021 FSC-klagomål mail.docx", "A 58050-2021")</f>
        <v/>
      </c>
      <c r="X343">
        <f>HYPERLINK("https://klasma.github.io/Logging_0380/tillsyn/A 58050-2021 tillsynsbegäran.docx", "A 58050-2021")</f>
        <v/>
      </c>
      <c r="Y343">
        <f>HYPERLINK("https://klasma.github.io/Logging_0380/tillsynsmail/A 58050-2021 tillsynsbegäran mail.docx", "A 58050-2021")</f>
        <v/>
      </c>
    </row>
    <row r="344" ht="15" customHeight="1">
      <c r="A344" t="inlineStr">
        <is>
          <t>A 49839-2021</t>
        </is>
      </c>
      <c r="B344" s="1" t="n">
        <v>44455</v>
      </c>
      <c r="C344" s="1" t="n">
        <v>46098</v>
      </c>
      <c r="D344" t="inlineStr">
        <is>
          <t>UPPSALA LÄN</t>
        </is>
      </c>
      <c r="E344" t="inlineStr">
        <is>
          <t>ÖSTHAMMAR</t>
        </is>
      </c>
      <c r="G344" t="n">
        <v>3.6</v>
      </c>
      <c r="H344" t="n">
        <v>0</v>
      </c>
      <c r="I344" t="n">
        <v>0</v>
      </c>
      <c r="J344" t="n">
        <v>0</v>
      </c>
      <c r="K344" t="n">
        <v>1</v>
      </c>
      <c r="L344" t="n">
        <v>0</v>
      </c>
      <c r="M344" t="n">
        <v>0</v>
      </c>
      <c r="N344" t="n">
        <v>0</v>
      </c>
      <c r="O344" t="n">
        <v>1</v>
      </c>
      <c r="P344" t="n">
        <v>1</v>
      </c>
      <c r="Q344" t="n">
        <v>1</v>
      </c>
      <c r="R344" s="2" t="inlineStr">
        <is>
          <t>Violgubbe</t>
        </is>
      </c>
      <c r="S344">
        <f>HYPERLINK("https://klasma.github.io/Logging_0382/artfynd/A 49839-2021 artfynd.xlsx", "A 49839-2021")</f>
        <v/>
      </c>
      <c r="T344">
        <f>HYPERLINK("https://klasma.github.io/Logging_0382/kartor/A 49839-2021 karta.png", "A 49839-2021")</f>
        <v/>
      </c>
      <c r="V344">
        <f>HYPERLINK("https://klasma.github.io/Logging_0382/klagomål/A 49839-2021 FSC-klagomål.docx", "A 49839-2021")</f>
        <v/>
      </c>
      <c r="W344">
        <f>HYPERLINK("https://klasma.github.io/Logging_0382/klagomålsmail/A 49839-2021 FSC-klagomål mail.docx", "A 49839-2021")</f>
        <v/>
      </c>
      <c r="X344">
        <f>HYPERLINK("https://klasma.github.io/Logging_0382/tillsyn/A 49839-2021 tillsynsbegäran.docx", "A 49839-2021")</f>
        <v/>
      </c>
      <c r="Y344">
        <f>HYPERLINK("https://klasma.github.io/Logging_0382/tillsynsmail/A 49839-2021 tillsynsbegäran mail.docx", "A 49839-2021")</f>
        <v/>
      </c>
    </row>
    <row r="345" ht="15" customHeight="1">
      <c r="A345" t="inlineStr">
        <is>
          <t>A 33150-2021</t>
        </is>
      </c>
      <c r="B345" s="1" t="n">
        <v>44376</v>
      </c>
      <c r="C345" s="1" t="n">
        <v>46098</v>
      </c>
      <c r="D345" t="inlineStr">
        <is>
          <t>UPPSALA LÄN</t>
        </is>
      </c>
      <c r="E345" t="inlineStr">
        <is>
          <t>HEBY</t>
        </is>
      </c>
      <c r="G345" t="n">
        <v>8.6</v>
      </c>
      <c r="H345" t="n">
        <v>0</v>
      </c>
      <c r="I345" t="n">
        <v>1</v>
      </c>
      <c r="J345" t="n">
        <v>0</v>
      </c>
      <c r="K345" t="n">
        <v>0</v>
      </c>
      <c r="L345" t="n">
        <v>0</v>
      </c>
      <c r="M345" t="n">
        <v>0</v>
      </c>
      <c r="N345" t="n">
        <v>0</v>
      </c>
      <c r="O345" t="n">
        <v>0</v>
      </c>
      <c r="P345" t="n">
        <v>0</v>
      </c>
      <c r="Q345" t="n">
        <v>1</v>
      </c>
      <c r="R345" s="2" t="inlineStr">
        <is>
          <t>Rostfläck</t>
        </is>
      </c>
      <c r="S345">
        <f>HYPERLINK("https://klasma.github.io/Logging_0331/artfynd/A 33150-2021 artfynd.xlsx", "A 33150-2021")</f>
        <v/>
      </c>
      <c r="T345">
        <f>HYPERLINK("https://klasma.github.io/Logging_0331/kartor/A 33150-2021 karta.png", "A 33150-2021")</f>
        <v/>
      </c>
      <c r="V345">
        <f>HYPERLINK("https://klasma.github.io/Logging_0331/klagomål/A 33150-2021 FSC-klagomål.docx", "A 33150-2021")</f>
        <v/>
      </c>
      <c r="W345">
        <f>HYPERLINK("https://klasma.github.io/Logging_0331/klagomålsmail/A 33150-2021 FSC-klagomål mail.docx", "A 33150-2021")</f>
        <v/>
      </c>
      <c r="X345">
        <f>HYPERLINK("https://klasma.github.io/Logging_0331/tillsyn/A 33150-2021 tillsynsbegäran.docx", "A 33150-2021")</f>
        <v/>
      </c>
      <c r="Y345">
        <f>HYPERLINK("https://klasma.github.io/Logging_0331/tillsynsmail/A 33150-2021 tillsynsbegäran mail.docx", "A 33150-2021")</f>
        <v/>
      </c>
    </row>
    <row r="346" ht="15" customHeight="1">
      <c r="A346" t="inlineStr">
        <is>
          <t>A 21203-2025</t>
        </is>
      </c>
      <c r="B346" s="1" t="n">
        <v>45777</v>
      </c>
      <c r="C346" s="1" t="n">
        <v>46098</v>
      </c>
      <c r="D346" t="inlineStr">
        <is>
          <t>UPPSALA LÄN</t>
        </is>
      </c>
      <c r="E346" t="inlineStr">
        <is>
          <t>HEBY</t>
        </is>
      </c>
      <c r="F346" t="inlineStr">
        <is>
          <t>Bergvik skog väst AB</t>
        </is>
      </c>
      <c r="G346" t="n">
        <v>27.7</v>
      </c>
      <c r="H346" t="n">
        <v>0</v>
      </c>
      <c r="I346" t="n">
        <v>1</v>
      </c>
      <c r="J346" t="n">
        <v>0</v>
      </c>
      <c r="K346" t="n">
        <v>0</v>
      </c>
      <c r="L346" t="n">
        <v>0</v>
      </c>
      <c r="M346" t="n">
        <v>0</v>
      </c>
      <c r="N346" t="n">
        <v>0</v>
      </c>
      <c r="O346" t="n">
        <v>0</v>
      </c>
      <c r="P346" t="n">
        <v>0</v>
      </c>
      <c r="Q346" t="n">
        <v>1</v>
      </c>
      <c r="R346" s="2" t="inlineStr">
        <is>
          <t>Kattfotslav</t>
        </is>
      </c>
      <c r="S346">
        <f>HYPERLINK("https://klasma.github.io/Logging_0331/artfynd/A 21203-2025 artfynd.xlsx", "A 21203-2025")</f>
        <v/>
      </c>
      <c r="T346">
        <f>HYPERLINK("https://klasma.github.io/Logging_0331/kartor/A 21203-2025 karta.png", "A 21203-2025")</f>
        <v/>
      </c>
      <c r="V346">
        <f>HYPERLINK("https://klasma.github.io/Logging_0331/klagomål/A 21203-2025 FSC-klagomål.docx", "A 21203-2025")</f>
        <v/>
      </c>
      <c r="W346">
        <f>HYPERLINK("https://klasma.github.io/Logging_0331/klagomålsmail/A 21203-2025 FSC-klagomål mail.docx", "A 21203-2025")</f>
        <v/>
      </c>
      <c r="X346">
        <f>HYPERLINK("https://klasma.github.io/Logging_0331/tillsyn/A 21203-2025 tillsynsbegäran.docx", "A 21203-2025")</f>
        <v/>
      </c>
      <c r="Y346">
        <f>HYPERLINK("https://klasma.github.io/Logging_0331/tillsynsmail/A 21203-2025 tillsynsbegäran mail.docx", "A 21203-2025")</f>
        <v/>
      </c>
    </row>
    <row r="347" ht="15" customHeight="1">
      <c r="A347" t="inlineStr">
        <is>
          <t>A 17972-2024</t>
        </is>
      </c>
      <c r="B347" s="1" t="n">
        <v>45419</v>
      </c>
      <c r="C347" s="1" t="n">
        <v>46098</v>
      </c>
      <c r="D347" t="inlineStr">
        <is>
          <t>UPPSALA LÄN</t>
        </is>
      </c>
      <c r="E347" t="inlineStr">
        <is>
          <t>HEBY</t>
        </is>
      </c>
      <c r="F347" t="inlineStr">
        <is>
          <t>Bergvik skog väst AB</t>
        </is>
      </c>
      <c r="G347" t="n">
        <v>9.699999999999999</v>
      </c>
      <c r="H347" t="n">
        <v>0</v>
      </c>
      <c r="I347" t="n">
        <v>1</v>
      </c>
      <c r="J347" t="n">
        <v>0</v>
      </c>
      <c r="K347" t="n">
        <v>0</v>
      </c>
      <c r="L347" t="n">
        <v>0</v>
      </c>
      <c r="M347" t="n">
        <v>0</v>
      </c>
      <c r="N347" t="n">
        <v>0</v>
      </c>
      <c r="O347" t="n">
        <v>0</v>
      </c>
      <c r="P347" t="n">
        <v>0</v>
      </c>
      <c r="Q347" t="n">
        <v>1</v>
      </c>
      <c r="R347" s="2" t="inlineStr">
        <is>
          <t>Spädstarr</t>
        </is>
      </c>
      <c r="S347">
        <f>HYPERLINK("https://klasma.github.io/Logging_0331/artfynd/A 17972-2024 artfynd.xlsx", "A 17972-2024")</f>
        <v/>
      </c>
      <c r="T347">
        <f>HYPERLINK("https://klasma.github.io/Logging_0331/kartor/A 17972-2024 karta.png", "A 17972-2024")</f>
        <v/>
      </c>
      <c r="V347">
        <f>HYPERLINK("https://klasma.github.io/Logging_0331/klagomål/A 17972-2024 FSC-klagomål.docx", "A 17972-2024")</f>
        <v/>
      </c>
      <c r="W347">
        <f>HYPERLINK("https://klasma.github.io/Logging_0331/klagomålsmail/A 17972-2024 FSC-klagomål mail.docx", "A 17972-2024")</f>
        <v/>
      </c>
      <c r="X347">
        <f>HYPERLINK("https://klasma.github.io/Logging_0331/tillsyn/A 17972-2024 tillsynsbegäran.docx", "A 17972-2024")</f>
        <v/>
      </c>
      <c r="Y347">
        <f>HYPERLINK("https://klasma.github.io/Logging_0331/tillsynsmail/A 17972-2024 tillsynsbegäran mail.docx", "A 17972-2024")</f>
        <v/>
      </c>
    </row>
    <row r="348" ht="15" customHeight="1">
      <c r="A348" t="inlineStr">
        <is>
          <t>A 26932-2023</t>
        </is>
      </c>
      <c r="B348" s="1" t="n">
        <v>45093</v>
      </c>
      <c r="C348" s="1" t="n">
        <v>46098</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21801-2025</t>
        </is>
      </c>
      <c r="B349" s="1" t="n">
        <v>45783</v>
      </c>
      <c r="C349" s="1" t="n">
        <v>46098</v>
      </c>
      <c r="D349" t="inlineStr">
        <is>
          <t>UPPSALA LÄN</t>
        </is>
      </c>
      <c r="E349" t="inlineStr">
        <is>
          <t>UPPSALA</t>
        </is>
      </c>
      <c r="G349" t="n">
        <v>7.9</v>
      </c>
      <c r="H349" t="n">
        <v>1</v>
      </c>
      <c r="I349" t="n">
        <v>0</v>
      </c>
      <c r="J349" t="n">
        <v>0</v>
      </c>
      <c r="K349" t="n">
        <v>0</v>
      </c>
      <c r="L349" t="n">
        <v>0</v>
      </c>
      <c r="M349" t="n">
        <v>0</v>
      </c>
      <c r="N349" t="n">
        <v>0</v>
      </c>
      <c r="O349" t="n">
        <v>0</v>
      </c>
      <c r="P349" t="n">
        <v>0</v>
      </c>
      <c r="Q349" t="n">
        <v>1</v>
      </c>
      <c r="R349" s="2" t="inlineStr">
        <is>
          <t>Mattlummer</t>
        </is>
      </c>
      <c r="S349">
        <f>HYPERLINK("https://klasma.github.io/Logging_0380/artfynd/A 21801-2025 artfynd.xlsx", "A 21801-2025")</f>
        <v/>
      </c>
      <c r="T349">
        <f>HYPERLINK("https://klasma.github.io/Logging_0380/kartor/A 21801-2025 karta.png", "A 21801-2025")</f>
        <v/>
      </c>
      <c r="V349">
        <f>HYPERLINK("https://klasma.github.io/Logging_0380/klagomål/A 21801-2025 FSC-klagomål.docx", "A 21801-2025")</f>
        <v/>
      </c>
      <c r="W349">
        <f>HYPERLINK("https://klasma.github.io/Logging_0380/klagomålsmail/A 21801-2025 FSC-klagomål mail.docx", "A 21801-2025")</f>
        <v/>
      </c>
      <c r="X349">
        <f>HYPERLINK("https://klasma.github.io/Logging_0380/tillsyn/A 21801-2025 tillsynsbegäran.docx", "A 21801-2025")</f>
        <v/>
      </c>
      <c r="Y349">
        <f>HYPERLINK("https://klasma.github.io/Logging_0380/tillsynsmail/A 21801-2025 tillsynsbegäran mail.docx", "A 21801-2025")</f>
        <v/>
      </c>
    </row>
    <row r="350" ht="15" customHeight="1">
      <c r="A350" t="inlineStr">
        <is>
          <t>A 22601-2025</t>
        </is>
      </c>
      <c r="B350" s="1" t="n">
        <v>45789</v>
      </c>
      <c r="C350" s="1" t="n">
        <v>46098</v>
      </c>
      <c r="D350" t="inlineStr">
        <is>
          <t>UPPSALA LÄN</t>
        </is>
      </c>
      <c r="E350" t="inlineStr">
        <is>
          <t>TIERP</t>
        </is>
      </c>
      <c r="F350" t="inlineStr">
        <is>
          <t>Bergvik skog väst AB</t>
        </is>
      </c>
      <c r="G350" t="n">
        <v>5.2</v>
      </c>
      <c r="H350" t="n">
        <v>0</v>
      </c>
      <c r="I350" t="n">
        <v>0</v>
      </c>
      <c r="J350" t="n">
        <v>0</v>
      </c>
      <c r="K350" t="n">
        <v>0</v>
      </c>
      <c r="L350" t="n">
        <v>1</v>
      </c>
      <c r="M350" t="n">
        <v>0</v>
      </c>
      <c r="N350" t="n">
        <v>0</v>
      </c>
      <c r="O350" t="n">
        <v>1</v>
      </c>
      <c r="P350" t="n">
        <v>1</v>
      </c>
      <c r="Q350" t="n">
        <v>1</v>
      </c>
      <c r="R350" s="2" t="inlineStr">
        <is>
          <t>Ask</t>
        </is>
      </c>
      <c r="S350">
        <f>HYPERLINK("https://klasma.github.io/Logging_0360/artfynd/A 22601-2025 artfynd.xlsx", "A 22601-2025")</f>
        <v/>
      </c>
      <c r="T350">
        <f>HYPERLINK("https://klasma.github.io/Logging_0360/kartor/A 22601-2025 karta.png", "A 22601-2025")</f>
        <v/>
      </c>
      <c r="V350">
        <f>HYPERLINK("https://klasma.github.io/Logging_0360/klagomål/A 22601-2025 FSC-klagomål.docx", "A 22601-2025")</f>
        <v/>
      </c>
      <c r="W350">
        <f>HYPERLINK("https://klasma.github.io/Logging_0360/klagomålsmail/A 22601-2025 FSC-klagomål mail.docx", "A 22601-2025")</f>
        <v/>
      </c>
      <c r="X350">
        <f>HYPERLINK("https://klasma.github.io/Logging_0360/tillsyn/A 22601-2025 tillsynsbegäran.docx", "A 22601-2025")</f>
        <v/>
      </c>
      <c r="Y350">
        <f>HYPERLINK("https://klasma.github.io/Logging_0360/tillsynsmail/A 22601-2025 tillsynsbegäran mail.docx", "A 22601-2025")</f>
        <v/>
      </c>
    </row>
    <row r="351" ht="15" customHeight="1">
      <c r="A351" t="inlineStr">
        <is>
          <t>A 22777-2025</t>
        </is>
      </c>
      <c r="B351" s="1" t="n">
        <v>45789.63715277778</v>
      </c>
      <c r="C351" s="1" t="n">
        <v>46098</v>
      </c>
      <c r="D351" t="inlineStr">
        <is>
          <t>UPPSALA LÄN</t>
        </is>
      </c>
      <c r="E351" t="inlineStr">
        <is>
          <t>TIERP</t>
        </is>
      </c>
      <c r="G351" t="n">
        <v>2</v>
      </c>
      <c r="H351" t="n">
        <v>0</v>
      </c>
      <c r="I351" t="n">
        <v>0</v>
      </c>
      <c r="J351" t="n">
        <v>1</v>
      </c>
      <c r="K351" t="n">
        <v>0</v>
      </c>
      <c r="L351" t="n">
        <v>0</v>
      </c>
      <c r="M351" t="n">
        <v>0</v>
      </c>
      <c r="N351" t="n">
        <v>0</v>
      </c>
      <c r="O351" t="n">
        <v>1</v>
      </c>
      <c r="P351" t="n">
        <v>0</v>
      </c>
      <c r="Q351" t="n">
        <v>1</v>
      </c>
      <c r="R351" s="2" t="inlineStr">
        <is>
          <t>Persiljespindling</t>
        </is>
      </c>
      <c r="S351">
        <f>HYPERLINK("https://klasma.github.io/Logging_0360/artfynd/A 22777-2025 artfynd.xlsx", "A 22777-2025")</f>
        <v/>
      </c>
      <c r="T351">
        <f>HYPERLINK("https://klasma.github.io/Logging_0360/kartor/A 22777-2025 karta.png", "A 22777-2025")</f>
        <v/>
      </c>
      <c r="V351">
        <f>HYPERLINK("https://klasma.github.io/Logging_0360/klagomål/A 22777-2025 FSC-klagomål.docx", "A 22777-2025")</f>
        <v/>
      </c>
      <c r="W351">
        <f>HYPERLINK("https://klasma.github.io/Logging_0360/klagomålsmail/A 22777-2025 FSC-klagomål mail.docx", "A 22777-2025")</f>
        <v/>
      </c>
      <c r="X351">
        <f>HYPERLINK("https://klasma.github.io/Logging_0360/tillsyn/A 22777-2025 tillsynsbegäran.docx", "A 22777-2025")</f>
        <v/>
      </c>
      <c r="Y351">
        <f>HYPERLINK("https://klasma.github.io/Logging_0360/tillsynsmail/A 22777-2025 tillsynsbegäran mail.docx", "A 22777-2025")</f>
        <v/>
      </c>
    </row>
    <row r="352" ht="15" customHeight="1">
      <c r="A352" t="inlineStr">
        <is>
          <t>A 63615-2021</t>
        </is>
      </c>
      <c r="B352" s="1" t="n">
        <v>44509</v>
      </c>
      <c r="C352" s="1" t="n">
        <v>46098</v>
      </c>
      <c r="D352" t="inlineStr">
        <is>
          <t>UPPSALA LÄN</t>
        </is>
      </c>
      <c r="E352" t="inlineStr">
        <is>
          <t>ÖSTHAMMAR</t>
        </is>
      </c>
      <c r="G352" t="n">
        <v>1.9</v>
      </c>
      <c r="H352" t="n">
        <v>0</v>
      </c>
      <c r="I352" t="n">
        <v>0</v>
      </c>
      <c r="J352" t="n">
        <v>1</v>
      </c>
      <c r="K352" t="n">
        <v>0</v>
      </c>
      <c r="L352" t="n">
        <v>0</v>
      </c>
      <c r="M352" t="n">
        <v>0</v>
      </c>
      <c r="N352" t="n">
        <v>0</v>
      </c>
      <c r="O352" t="n">
        <v>1</v>
      </c>
      <c r="P352" t="n">
        <v>0</v>
      </c>
      <c r="Q352" t="n">
        <v>1</v>
      </c>
      <c r="R352" s="2" t="inlineStr">
        <is>
          <t>Gul taggsvamp</t>
        </is>
      </c>
      <c r="S352">
        <f>HYPERLINK("https://klasma.github.io/Logging_0382/artfynd/A 63615-2021 artfynd.xlsx", "A 63615-2021")</f>
        <v/>
      </c>
      <c r="T352">
        <f>HYPERLINK("https://klasma.github.io/Logging_0382/kartor/A 63615-2021 karta.png", "A 63615-2021")</f>
        <v/>
      </c>
      <c r="V352">
        <f>HYPERLINK("https://klasma.github.io/Logging_0382/klagomål/A 63615-2021 FSC-klagomål.docx", "A 63615-2021")</f>
        <v/>
      </c>
      <c r="W352">
        <f>HYPERLINK("https://klasma.github.io/Logging_0382/klagomålsmail/A 63615-2021 FSC-klagomål mail.docx", "A 63615-2021")</f>
        <v/>
      </c>
      <c r="X352">
        <f>HYPERLINK("https://klasma.github.io/Logging_0382/tillsyn/A 63615-2021 tillsynsbegäran.docx", "A 63615-2021")</f>
        <v/>
      </c>
      <c r="Y352">
        <f>HYPERLINK("https://klasma.github.io/Logging_0382/tillsynsmail/A 63615-2021 tillsynsbegäran mail.docx", "A 63615-2021")</f>
        <v/>
      </c>
    </row>
    <row r="353" ht="15" customHeight="1">
      <c r="A353" t="inlineStr">
        <is>
          <t>A 4657-2025</t>
        </is>
      </c>
      <c r="B353" s="1" t="n">
        <v>45687</v>
      </c>
      <c r="C353" s="1" t="n">
        <v>46098</v>
      </c>
      <c r="D353" t="inlineStr">
        <is>
          <t>UPPSALA LÄN</t>
        </is>
      </c>
      <c r="E353" t="inlineStr">
        <is>
          <t>UPPSALA</t>
        </is>
      </c>
      <c r="G353" t="n">
        <v>2.9</v>
      </c>
      <c r="H353" t="n">
        <v>1</v>
      </c>
      <c r="I353" t="n">
        <v>0</v>
      </c>
      <c r="J353" t="n">
        <v>1</v>
      </c>
      <c r="K353" t="n">
        <v>0</v>
      </c>
      <c r="L353" t="n">
        <v>0</v>
      </c>
      <c r="M353" t="n">
        <v>0</v>
      </c>
      <c r="N353" t="n">
        <v>0</v>
      </c>
      <c r="O353" t="n">
        <v>1</v>
      </c>
      <c r="P353" t="n">
        <v>0</v>
      </c>
      <c r="Q353" t="n">
        <v>1</v>
      </c>
      <c r="R353" s="2" t="inlineStr">
        <is>
          <t>Grönsångare</t>
        </is>
      </c>
      <c r="S353">
        <f>HYPERLINK("https://klasma.github.io/Logging_0380/artfynd/A 4657-2025 artfynd.xlsx", "A 4657-2025")</f>
        <v/>
      </c>
      <c r="T353">
        <f>HYPERLINK("https://klasma.github.io/Logging_0380/kartor/A 4657-2025 karta.png", "A 4657-2025")</f>
        <v/>
      </c>
      <c r="V353">
        <f>HYPERLINK("https://klasma.github.io/Logging_0380/klagomål/A 4657-2025 FSC-klagomål.docx", "A 4657-2025")</f>
        <v/>
      </c>
      <c r="W353">
        <f>HYPERLINK("https://klasma.github.io/Logging_0380/klagomålsmail/A 4657-2025 FSC-klagomål mail.docx", "A 4657-2025")</f>
        <v/>
      </c>
      <c r="X353">
        <f>HYPERLINK("https://klasma.github.io/Logging_0380/tillsyn/A 4657-2025 tillsynsbegäran.docx", "A 4657-2025")</f>
        <v/>
      </c>
      <c r="Y353">
        <f>HYPERLINK("https://klasma.github.io/Logging_0380/tillsynsmail/A 4657-2025 tillsynsbegäran mail.docx", "A 4657-2025")</f>
        <v/>
      </c>
      <c r="Z353">
        <f>HYPERLINK("https://klasma.github.io/Logging_0380/fåglar/A 4657-2025 prioriterade fågelarter.docx", "A 4657-2025")</f>
        <v/>
      </c>
    </row>
    <row r="354" ht="15" customHeight="1">
      <c r="A354" t="inlineStr">
        <is>
          <t>A 14203-2024</t>
        </is>
      </c>
      <c r="B354" s="1" t="n">
        <v>45393</v>
      </c>
      <c r="C354" s="1" t="n">
        <v>46098</v>
      </c>
      <c r="D354" t="inlineStr">
        <is>
          <t>UPPSALA LÄN</t>
        </is>
      </c>
      <c r="E354" t="inlineStr">
        <is>
          <t>ÖSTHAMMAR</t>
        </is>
      </c>
      <c r="G354" t="n">
        <v>1.4</v>
      </c>
      <c r="H354" t="n">
        <v>0</v>
      </c>
      <c r="I354" t="n">
        <v>0</v>
      </c>
      <c r="J354" t="n">
        <v>1</v>
      </c>
      <c r="K354" t="n">
        <v>0</v>
      </c>
      <c r="L354" t="n">
        <v>0</v>
      </c>
      <c r="M354" t="n">
        <v>0</v>
      </c>
      <c r="N354" t="n">
        <v>0</v>
      </c>
      <c r="O354" t="n">
        <v>1</v>
      </c>
      <c r="P354" t="n">
        <v>0</v>
      </c>
      <c r="Q354" t="n">
        <v>1</v>
      </c>
      <c r="R354" s="2" t="inlineStr">
        <is>
          <t>Scharlakansvaxing</t>
        </is>
      </c>
      <c r="S354">
        <f>HYPERLINK("https://klasma.github.io/Logging_0382/artfynd/A 14203-2024 artfynd.xlsx", "A 14203-2024")</f>
        <v/>
      </c>
      <c r="T354">
        <f>HYPERLINK("https://klasma.github.io/Logging_0382/kartor/A 14203-2024 karta.png", "A 14203-2024")</f>
        <v/>
      </c>
      <c r="V354">
        <f>HYPERLINK("https://klasma.github.io/Logging_0382/klagomål/A 14203-2024 FSC-klagomål.docx", "A 14203-2024")</f>
        <v/>
      </c>
      <c r="W354">
        <f>HYPERLINK("https://klasma.github.io/Logging_0382/klagomålsmail/A 14203-2024 FSC-klagomål mail.docx", "A 14203-2024")</f>
        <v/>
      </c>
      <c r="X354">
        <f>HYPERLINK("https://klasma.github.io/Logging_0382/tillsyn/A 14203-2024 tillsynsbegäran.docx", "A 14203-2024")</f>
        <v/>
      </c>
      <c r="Y354">
        <f>HYPERLINK("https://klasma.github.io/Logging_0382/tillsynsmail/A 14203-2024 tillsynsbegäran mail.docx", "A 14203-2024")</f>
        <v/>
      </c>
    </row>
    <row r="355" ht="15" customHeight="1">
      <c r="A355" t="inlineStr">
        <is>
          <t>A 50558-2025</t>
        </is>
      </c>
      <c r="B355" s="1" t="n">
        <v>45944</v>
      </c>
      <c r="C355" s="1" t="n">
        <v>46098</v>
      </c>
      <c r="D355" t="inlineStr">
        <is>
          <t>UPPSALA LÄN</t>
        </is>
      </c>
      <c r="E355" t="inlineStr">
        <is>
          <t>HEBY</t>
        </is>
      </c>
      <c r="G355" t="n">
        <v>2.2</v>
      </c>
      <c r="H355" t="n">
        <v>0</v>
      </c>
      <c r="I355" t="n">
        <v>1</v>
      </c>
      <c r="J355" t="n">
        <v>0</v>
      </c>
      <c r="K355" t="n">
        <v>0</v>
      </c>
      <c r="L355" t="n">
        <v>0</v>
      </c>
      <c r="M355" t="n">
        <v>0</v>
      </c>
      <c r="N355" t="n">
        <v>0</v>
      </c>
      <c r="O355" t="n">
        <v>0</v>
      </c>
      <c r="P355" t="n">
        <v>0</v>
      </c>
      <c r="Q355" t="n">
        <v>1</v>
      </c>
      <c r="R355" s="2" t="inlineStr">
        <is>
          <t>Thomsons trägnagare</t>
        </is>
      </c>
      <c r="S355">
        <f>HYPERLINK("https://klasma.github.io/Logging_0331/artfynd/A 50558-2025 artfynd.xlsx", "A 50558-2025")</f>
        <v/>
      </c>
      <c r="T355">
        <f>HYPERLINK("https://klasma.github.io/Logging_0331/kartor/A 50558-2025 karta.png", "A 50558-2025")</f>
        <v/>
      </c>
      <c r="V355">
        <f>HYPERLINK("https://klasma.github.io/Logging_0331/klagomål/A 50558-2025 FSC-klagomål.docx", "A 50558-2025")</f>
        <v/>
      </c>
      <c r="W355">
        <f>HYPERLINK("https://klasma.github.io/Logging_0331/klagomålsmail/A 50558-2025 FSC-klagomål mail.docx", "A 50558-2025")</f>
        <v/>
      </c>
      <c r="X355">
        <f>HYPERLINK("https://klasma.github.io/Logging_0331/tillsyn/A 50558-2025 tillsynsbegäran.docx", "A 50558-2025")</f>
        <v/>
      </c>
      <c r="Y355">
        <f>HYPERLINK("https://klasma.github.io/Logging_0331/tillsynsmail/A 50558-2025 tillsynsbegäran mail.docx", "A 50558-2025")</f>
        <v/>
      </c>
    </row>
    <row r="356" ht="15" customHeight="1">
      <c r="A356" t="inlineStr">
        <is>
          <t>A 39902-2025</t>
        </is>
      </c>
      <c r="B356" s="1" t="n">
        <v>45891.63597222222</v>
      </c>
      <c r="C356" s="1" t="n">
        <v>46098</v>
      </c>
      <c r="D356" t="inlineStr">
        <is>
          <t>UPPSALA LÄN</t>
        </is>
      </c>
      <c r="E356" t="inlineStr">
        <is>
          <t>ÄLVKARLEBY</t>
        </is>
      </c>
      <c r="F356" t="inlineStr">
        <is>
          <t>Bergvik skog väst AB</t>
        </is>
      </c>
      <c r="G356" t="n">
        <v>11.2</v>
      </c>
      <c r="H356" t="n">
        <v>0</v>
      </c>
      <c r="I356" t="n">
        <v>1</v>
      </c>
      <c r="J356" t="n">
        <v>0</v>
      </c>
      <c r="K356" t="n">
        <v>0</v>
      </c>
      <c r="L356" t="n">
        <v>0</v>
      </c>
      <c r="M356" t="n">
        <v>0</v>
      </c>
      <c r="N356" t="n">
        <v>0</v>
      </c>
      <c r="O356" t="n">
        <v>0</v>
      </c>
      <c r="P356" t="n">
        <v>0</v>
      </c>
      <c r="Q356" t="n">
        <v>1</v>
      </c>
      <c r="R356" s="2" t="inlineStr">
        <is>
          <t>Anisspindling</t>
        </is>
      </c>
      <c r="S356">
        <f>HYPERLINK("https://klasma.github.io/Logging_0319/artfynd/A 39902-2025 artfynd.xlsx", "A 39902-2025")</f>
        <v/>
      </c>
      <c r="T356">
        <f>HYPERLINK("https://klasma.github.io/Logging_0319/kartor/A 39902-2025 karta.png", "A 39902-2025")</f>
        <v/>
      </c>
      <c r="V356">
        <f>HYPERLINK("https://klasma.github.io/Logging_0319/klagomål/A 39902-2025 FSC-klagomål.docx", "A 39902-2025")</f>
        <v/>
      </c>
      <c r="W356">
        <f>HYPERLINK("https://klasma.github.io/Logging_0319/klagomålsmail/A 39902-2025 FSC-klagomål mail.docx", "A 39902-2025")</f>
        <v/>
      </c>
      <c r="X356">
        <f>HYPERLINK("https://klasma.github.io/Logging_0319/tillsyn/A 39902-2025 tillsynsbegäran.docx", "A 39902-2025")</f>
        <v/>
      </c>
      <c r="Y356">
        <f>HYPERLINK("https://klasma.github.io/Logging_0319/tillsynsmail/A 39902-2025 tillsynsbegäran mail.docx", "A 39902-2025")</f>
        <v/>
      </c>
    </row>
    <row r="357" ht="15" customHeight="1">
      <c r="A357" t="inlineStr">
        <is>
          <t>A 51238-2025</t>
        </is>
      </c>
      <c r="B357" s="1" t="n">
        <v>45947.69753472223</v>
      </c>
      <c r="C357" s="1" t="n">
        <v>46098</v>
      </c>
      <c r="D357" t="inlineStr">
        <is>
          <t>UPPSALA LÄN</t>
        </is>
      </c>
      <c r="E357" t="inlineStr">
        <is>
          <t>ÄLVKARLEBY</t>
        </is>
      </c>
      <c r="F357" t="inlineStr">
        <is>
          <t>Bergvik skog väst AB</t>
        </is>
      </c>
      <c r="G357" t="n">
        <v>6</v>
      </c>
      <c r="H357" t="n">
        <v>1</v>
      </c>
      <c r="I357" t="n">
        <v>0</v>
      </c>
      <c r="J357" t="n">
        <v>0</v>
      </c>
      <c r="K357" t="n">
        <v>0</v>
      </c>
      <c r="L357" t="n">
        <v>0</v>
      </c>
      <c r="M357" t="n">
        <v>0</v>
      </c>
      <c r="N357" t="n">
        <v>0</v>
      </c>
      <c r="O357" t="n">
        <v>0</v>
      </c>
      <c r="P357" t="n">
        <v>0</v>
      </c>
      <c r="Q357" t="n">
        <v>1</v>
      </c>
      <c r="R357" s="2" t="inlineStr">
        <is>
          <t>Lopplummer (aggregat)</t>
        </is>
      </c>
      <c r="S357">
        <f>HYPERLINK("https://klasma.github.io/Logging_0319/artfynd/A 51238-2025 artfynd.xlsx", "A 51238-2025")</f>
        <v/>
      </c>
      <c r="T357">
        <f>HYPERLINK("https://klasma.github.io/Logging_0319/kartor/A 51238-2025 karta.png", "A 51238-2025")</f>
        <v/>
      </c>
      <c r="V357">
        <f>HYPERLINK("https://klasma.github.io/Logging_0319/klagomål/A 51238-2025 FSC-klagomål.docx", "A 51238-2025")</f>
        <v/>
      </c>
      <c r="W357">
        <f>HYPERLINK("https://klasma.github.io/Logging_0319/klagomålsmail/A 51238-2025 FSC-klagomål mail.docx", "A 51238-2025")</f>
        <v/>
      </c>
      <c r="X357">
        <f>HYPERLINK("https://klasma.github.io/Logging_0319/tillsyn/A 51238-2025 tillsynsbegäran.docx", "A 51238-2025")</f>
        <v/>
      </c>
      <c r="Y357">
        <f>HYPERLINK("https://klasma.github.io/Logging_0319/tillsynsmail/A 51238-2025 tillsynsbegäran mail.docx", "A 51238-2025")</f>
        <v/>
      </c>
    </row>
    <row r="358" ht="15" customHeight="1">
      <c r="A358" t="inlineStr">
        <is>
          <t>A 50747-2025</t>
        </is>
      </c>
      <c r="B358" s="1" t="n">
        <v>45946.38788194444</v>
      </c>
      <c r="C358" s="1" t="n">
        <v>46098</v>
      </c>
      <c r="D358" t="inlineStr">
        <is>
          <t>UPPSALA LÄN</t>
        </is>
      </c>
      <c r="E358" t="inlineStr">
        <is>
          <t>HEBY</t>
        </is>
      </c>
      <c r="G358" t="n">
        <v>8.199999999999999</v>
      </c>
      <c r="H358" t="n">
        <v>0</v>
      </c>
      <c r="I358" t="n">
        <v>0</v>
      </c>
      <c r="J358" t="n">
        <v>1</v>
      </c>
      <c r="K358" t="n">
        <v>0</v>
      </c>
      <c r="L358" t="n">
        <v>0</v>
      </c>
      <c r="M358" t="n">
        <v>0</v>
      </c>
      <c r="N358" t="n">
        <v>0</v>
      </c>
      <c r="O358" t="n">
        <v>1</v>
      </c>
      <c r="P358" t="n">
        <v>0</v>
      </c>
      <c r="Q358" t="n">
        <v>1</v>
      </c>
      <c r="R358" s="2" t="inlineStr">
        <is>
          <t>Motaggsvamp</t>
        </is>
      </c>
      <c r="S358">
        <f>HYPERLINK("https://klasma.github.io/Logging_0331/artfynd/A 50747-2025 artfynd.xlsx", "A 50747-2025")</f>
        <v/>
      </c>
      <c r="T358">
        <f>HYPERLINK("https://klasma.github.io/Logging_0331/kartor/A 50747-2025 karta.png", "A 50747-2025")</f>
        <v/>
      </c>
      <c r="V358">
        <f>HYPERLINK("https://klasma.github.io/Logging_0331/klagomål/A 50747-2025 FSC-klagomål.docx", "A 50747-2025")</f>
        <v/>
      </c>
      <c r="W358">
        <f>HYPERLINK("https://klasma.github.io/Logging_0331/klagomålsmail/A 50747-2025 FSC-klagomål mail.docx", "A 50747-2025")</f>
        <v/>
      </c>
      <c r="X358">
        <f>HYPERLINK("https://klasma.github.io/Logging_0331/tillsyn/A 50747-2025 tillsynsbegäran.docx", "A 50747-2025")</f>
        <v/>
      </c>
      <c r="Y358">
        <f>HYPERLINK("https://klasma.github.io/Logging_0331/tillsynsmail/A 50747-2025 tillsynsbegäran mail.docx", "A 50747-2025")</f>
        <v/>
      </c>
    </row>
    <row r="359" ht="15" customHeight="1">
      <c r="A359" t="inlineStr">
        <is>
          <t>A 51475-2025</t>
        </is>
      </c>
      <c r="B359" s="1" t="n">
        <v>45950</v>
      </c>
      <c r="C359" s="1" t="n">
        <v>46098</v>
      </c>
      <c r="D359" t="inlineStr">
        <is>
          <t>UPPSALA LÄN</t>
        </is>
      </c>
      <c r="E359" t="inlineStr">
        <is>
          <t>UPPSALA</t>
        </is>
      </c>
      <c r="G359" t="n">
        <v>3.3</v>
      </c>
      <c r="H359" t="n">
        <v>0</v>
      </c>
      <c r="I359" t="n">
        <v>1</v>
      </c>
      <c r="J359" t="n">
        <v>0</v>
      </c>
      <c r="K359" t="n">
        <v>0</v>
      </c>
      <c r="L359" t="n">
        <v>0</v>
      </c>
      <c r="M359" t="n">
        <v>0</v>
      </c>
      <c r="N359" t="n">
        <v>0</v>
      </c>
      <c r="O359" t="n">
        <v>0</v>
      </c>
      <c r="P359" t="n">
        <v>0</v>
      </c>
      <c r="Q359" t="n">
        <v>1</v>
      </c>
      <c r="R359" s="2" t="inlineStr">
        <is>
          <t>Bronshjon</t>
        </is>
      </c>
      <c r="S359">
        <f>HYPERLINK("https://klasma.github.io/Logging_0380/artfynd/A 51475-2025 artfynd.xlsx", "A 51475-2025")</f>
        <v/>
      </c>
      <c r="T359">
        <f>HYPERLINK("https://klasma.github.io/Logging_0380/kartor/A 51475-2025 karta.png", "A 51475-2025")</f>
        <v/>
      </c>
      <c r="V359">
        <f>HYPERLINK("https://klasma.github.io/Logging_0380/klagomål/A 51475-2025 FSC-klagomål.docx", "A 51475-2025")</f>
        <v/>
      </c>
      <c r="W359">
        <f>HYPERLINK("https://klasma.github.io/Logging_0380/klagomålsmail/A 51475-2025 FSC-klagomål mail.docx", "A 51475-2025")</f>
        <v/>
      </c>
      <c r="X359">
        <f>HYPERLINK("https://klasma.github.io/Logging_0380/tillsyn/A 51475-2025 tillsynsbegäran.docx", "A 51475-2025")</f>
        <v/>
      </c>
      <c r="Y359">
        <f>HYPERLINK("https://klasma.github.io/Logging_0380/tillsynsmail/A 51475-2025 tillsynsbegäran mail.docx", "A 51475-2025")</f>
        <v/>
      </c>
    </row>
    <row r="360" ht="15" customHeight="1">
      <c r="A360" t="inlineStr">
        <is>
          <t>A 52002-2025</t>
        </is>
      </c>
      <c r="B360" s="1" t="n">
        <v>45952.59070601852</v>
      </c>
      <c r="C360" s="1" t="n">
        <v>46098</v>
      </c>
      <c r="D360" t="inlineStr">
        <is>
          <t>UPPSALA LÄN</t>
        </is>
      </c>
      <c r="E360" t="inlineStr">
        <is>
          <t>TIERP</t>
        </is>
      </c>
      <c r="G360" t="n">
        <v>7.8</v>
      </c>
      <c r="H360" t="n">
        <v>0</v>
      </c>
      <c r="I360" t="n">
        <v>0</v>
      </c>
      <c r="J360" t="n">
        <v>1</v>
      </c>
      <c r="K360" t="n">
        <v>0</v>
      </c>
      <c r="L360" t="n">
        <v>0</v>
      </c>
      <c r="M360" t="n">
        <v>0</v>
      </c>
      <c r="N360" t="n">
        <v>0</v>
      </c>
      <c r="O360" t="n">
        <v>1</v>
      </c>
      <c r="P360" t="n">
        <v>0</v>
      </c>
      <c r="Q360" t="n">
        <v>1</v>
      </c>
      <c r="R360" s="2" t="inlineStr">
        <is>
          <t>Grentaggsvamp</t>
        </is>
      </c>
      <c r="S360">
        <f>HYPERLINK("https://klasma.github.io/Logging_0360/artfynd/A 52002-2025 artfynd.xlsx", "A 52002-2025")</f>
        <v/>
      </c>
      <c r="T360">
        <f>HYPERLINK("https://klasma.github.io/Logging_0360/kartor/A 52002-2025 karta.png", "A 52002-2025")</f>
        <v/>
      </c>
      <c r="V360">
        <f>HYPERLINK("https://klasma.github.io/Logging_0360/klagomål/A 52002-2025 FSC-klagomål.docx", "A 52002-2025")</f>
        <v/>
      </c>
      <c r="W360">
        <f>HYPERLINK("https://klasma.github.io/Logging_0360/klagomålsmail/A 52002-2025 FSC-klagomål mail.docx", "A 52002-2025")</f>
        <v/>
      </c>
      <c r="X360">
        <f>HYPERLINK("https://klasma.github.io/Logging_0360/tillsyn/A 52002-2025 tillsynsbegäran.docx", "A 52002-2025")</f>
        <v/>
      </c>
      <c r="Y360">
        <f>HYPERLINK("https://klasma.github.io/Logging_0360/tillsynsmail/A 52002-2025 tillsynsbegäran mail.docx", "A 52002-2025")</f>
        <v/>
      </c>
    </row>
    <row r="361" ht="15" customHeight="1">
      <c r="A361" t="inlineStr">
        <is>
          <t>A 52204-2025</t>
        </is>
      </c>
      <c r="B361" s="1" t="n">
        <v>45953.40888888889</v>
      </c>
      <c r="C361" s="1" t="n">
        <v>46098</v>
      </c>
      <c r="D361" t="inlineStr">
        <is>
          <t>UPPSALA LÄN</t>
        </is>
      </c>
      <c r="E361" t="inlineStr">
        <is>
          <t>TIERP</t>
        </is>
      </c>
      <c r="F361" t="inlineStr">
        <is>
          <t>Bergvik skog öst AB</t>
        </is>
      </c>
      <c r="G361" t="n">
        <v>5.6</v>
      </c>
      <c r="H361" t="n">
        <v>1</v>
      </c>
      <c r="I361" t="n">
        <v>0</v>
      </c>
      <c r="J361" t="n">
        <v>0</v>
      </c>
      <c r="K361" t="n">
        <v>0</v>
      </c>
      <c r="L361" t="n">
        <v>0</v>
      </c>
      <c r="M361" t="n">
        <v>0</v>
      </c>
      <c r="N361" t="n">
        <v>0</v>
      </c>
      <c r="O361" t="n">
        <v>0</v>
      </c>
      <c r="P361" t="n">
        <v>0</v>
      </c>
      <c r="Q361" t="n">
        <v>1</v>
      </c>
      <c r="R361" s="2" t="inlineStr">
        <is>
          <t>Blåsippa</t>
        </is>
      </c>
      <c r="S361">
        <f>HYPERLINK("https://klasma.github.io/Logging_0360/artfynd/A 52204-2025 artfynd.xlsx", "A 52204-2025")</f>
        <v/>
      </c>
      <c r="T361">
        <f>HYPERLINK("https://klasma.github.io/Logging_0360/kartor/A 52204-2025 karta.png", "A 52204-2025")</f>
        <v/>
      </c>
      <c r="V361">
        <f>HYPERLINK("https://klasma.github.io/Logging_0360/klagomål/A 52204-2025 FSC-klagomål.docx", "A 52204-2025")</f>
        <v/>
      </c>
      <c r="W361">
        <f>HYPERLINK("https://klasma.github.io/Logging_0360/klagomålsmail/A 52204-2025 FSC-klagomål mail.docx", "A 52204-2025")</f>
        <v/>
      </c>
      <c r="X361">
        <f>HYPERLINK("https://klasma.github.io/Logging_0360/tillsyn/A 52204-2025 tillsynsbegäran.docx", "A 52204-2025")</f>
        <v/>
      </c>
      <c r="Y361">
        <f>HYPERLINK("https://klasma.github.io/Logging_0360/tillsynsmail/A 52204-2025 tillsynsbegäran mail.docx", "A 52204-2025")</f>
        <v/>
      </c>
    </row>
    <row r="362" ht="15" customHeight="1">
      <c r="A362" t="inlineStr">
        <is>
          <t>A 52211-2025</t>
        </is>
      </c>
      <c r="B362" s="1" t="n">
        <v>45953.42253472222</v>
      </c>
      <c r="C362" s="1" t="n">
        <v>46098</v>
      </c>
      <c r="D362" t="inlineStr">
        <is>
          <t>UPPSALA LÄN</t>
        </is>
      </c>
      <c r="E362" t="inlineStr">
        <is>
          <t>TIERP</t>
        </is>
      </c>
      <c r="F362" t="inlineStr">
        <is>
          <t>Bergvik skog öst AB</t>
        </is>
      </c>
      <c r="G362" t="n">
        <v>7.8</v>
      </c>
      <c r="H362" t="n">
        <v>1</v>
      </c>
      <c r="I362" t="n">
        <v>0</v>
      </c>
      <c r="J362" t="n">
        <v>1</v>
      </c>
      <c r="K362" t="n">
        <v>0</v>
      </c>
      <c r="L362" t="n">
        <v>0</v>
      </c>
      <c r="M362" t="n">
        <v>0</v>
      </c>
      <c r="N362" t="n">
        <v>0</v>
      </c>
      <c r="O362" t="n">
        <v>1</v>
      </c>
      <c r="P362" t="n">
        <v>0</v>
      </c>
      <c r="Q362" t="n">
        <v>1</v>
      </c>
      <c r="R362" s="2" t="inlineStr">
        <is>
          <t>Havsörn</t>
        </is>
      </c>
      <c r="S362">
        <f>HYPERLINK("https://klasma.github.io/Logging_0360/artfynd/A 52211-2025 artfynd.xlsx", "A 52211-2025")</f>
        <v/>
      </c>
      <c r="T362">
        <f>HYPERLINK("https://klasma.github.io/Logging_0360/kartor/A 52211-2025 karta.png", "A 52211-2025")</f>
        <v/>
      </c>
      <c r="V362">
        <f>HYPERLINK("https://klasma.github.io/Logging_0360/klagomål/A 52211-2025 FSC-klagomål.docx", "A 52211-2025")</f>
        <v/>
      </c>
      <c r="W362">
        <f>HYPERLINK("https://klasma.github.io/Logging_0360/klagomålsmail/A 52211-2025 FSC-klagomål mail.docx", "A 52211-2025")</f>
        <v/>
      </c>
      <c r="X362">
        <f>HYPERLINK("https://klasma.github.io/Logging_0360/tillsyn/A 52211-2025 tillsynsbegäran.docx", "A 52211-2025")</f>
        <v/>
      </c>
      <c r="Y362">
        <f>HYPERLINK("https://klasma.github.io/Logging_0360/tillsynsmail/A 52211-2025 tillsynsbegäran mail.docx", "A 52211-2025")</f>
        <v/>
      </c>
      <c r="Z362">
        <f>HYPERLINK("https://klasma.github.io/Logging_0360/fåglar/A 52211-2025 prioriterade fågelarter.docx", "A 52211-2025")</f>
        <v/>
      </c>
    </row>
    <row r="363" ht="15" customHeight="1">
      <c r="A363" t="inlineStr">
        <is>
          <t>A 55331-2024</t>
        </is>
      </c>
      <c r="B363" s="1" t="n">
        <v>45621.68104166666</v>
      </c>
      <c r="C363" s="1" t="n">
        <v>46098</v>
      </c>
      <c r="D363" t="inlineStr">
        <is>
          <t>UPPSALA LÄN</t>
        </is>
      </c>
      <c r="E363" t="inlineStr">
        <is>
          <t>TIERP</t>
        </is>
      </c>
      <c r="F363" t="inlineStr">
        <is>
          <t>Bergvik skog väst AB</t>
        </is>
      </c>
      <c r="G363" t="n">
        <v>7.3</v>
      </c>
      <c r="H363" t="n">
        <v>1</v>
      </c>
      <c r="I363" t="n">
        <v>0</v>
      </c>
      <c r="J363" t="n">
        <v>1</v>
      </c>
      <c r="K363" t="n">
        <v>0</v>
      </c>
      <c r="L363" t="n">
        <v>0</v>
      </c>
      <c r="M363" t="n">
        <v>0</v>
      </c>
      <c r="N363" t="n">
        <v>0</v>
      </c>
      <c r="O363" t="n">
        <v>1</v>
      </c>
      <c r="P363" t="n">
        <v>0</v>
      </c>
      <c r="Q363" t="n">
        <v>1</v>
      </c>
      <c r="R363" s="2" t="inlineStr">
        <is>
          <t>Talltita</t>
        </is>
      </c>
      <c r="S363">
        <f>HYPERLINK("https://klasma.github.io/Logging_0360/artfynd/A 55331-2024 artfynd.xlsx", "A 55331-2024")</f>
        <v/>
      </c>
      <c r="T363">
        <f>HYPERLINK("https://klasma.github.io/Logging_0360/kartor/A 55331-2024 karta.png", "A 55331-2024")</f>
        <v/>
      </c>
      <c r="V363">
        <f>HYPERLINK("https://klasma.github.io/Logging_0360/klagomål/A 55331-2024 FSC-klagomål.docx", "A 55331-2024")</f>
        <v/>
      </c>
      <c r="W363">
        <f>HYPERLINK("https://klasma.github.io/Logging_0360/klagomålsmail/A 55331-2024 FSC-klagomål mail.docx", "A 55331-2024")</f>
        <v/>
      </c>
      <c r="X363">
        <f>HYPERLINK("https://klasma.github.io/Logging_0360/tillsyn/A 55331-2024 tillsynsbegäran.docx", "A 55331-2024")</f>
        <v/>
      </c>
      <c r="Y363">
        <f>HYPERLINK("https://klasma.github.io/Logging_0360/tillsynsmail/A 55331-2024 tillsynsbegäran mail.docx", "A 55331-2024")</f>
        <v/>
      </c>
      <c r="Z363">
        <f>HYPERLINK("https://klasma.github.io/Logging_0360/fåglar/A 55331-2024 prioriterade fågelarter.docx", "A 55331-2024")</f>
        <v/>
      </c>
    </row>
    <row r="364" ht="15" customHeight="1">
      <c r="A364" t="inlineStr">
        <is>
          <t>A 52879-2025</t>
        </is>
      </c>
      <c r="B364" s="1" t="n">
        <v>45957.544375</v>
      </c>
      <c r="C364" s="1" t="n">
        <v>46098</v>
      </c>
      <c r="D364" t="inlineStr">
        <is>
          <t>UPPSALA LÄN</t>
        </is>
      </c>
      <c r="E364" t="inlineStr">
        <is>
          <t>ÖSTHAMMAR</t>
        </is>
      </c>
      <c r="G364" t="n">
        <v>2.2</v>
      </c>
      <c r="H364" t="n">
        <v>1</v>
      </c>
      <c r="I364" t="n">
        <v>0</v>
      </c>
      <c r="J364" t="n">
        <v>0</v>
      </c>
      <c r="K364" t="n">
        <v>0</v>
      </c>
      <c r="L364" t="n">
        <v>0</v>
      </c>
      <c r="M364" t="n">
        <v>0</v>
      </c>
      <c r="N364" t="n">
        <v>0</v>
      </c>
      <c r="O364" t="n">
        <v>0</v>
      </c>
      <c r="P364" t="n">
        <v>0</v>
      </c>
      <c r="Q364" t="n">
        <v>1</v>
      </c>
      <c r="R364" s="2" t="inlineStr">
        <is>
          <t>Blåsippa</t>
        </is>
      </c>
      <c r="S364">
        <f>HYPERLINK("https://klasma.github.io/Logging_0382/artfynd/A 52879-2025 artfynd.xlsx", "A 52879-2025")</f>
        <v/>
      </c>
      <c r="T364">
        <f>HYPERLINK("https://klasma.github.io/Logging_0382/kartor/A 52879-2025 karta.png", "A 52879-2025")</f>
        <v/>
      </c>
      <c r="V364">
        <f>HYPERLINK("https://klasma.github.io/Logging_0382/klagomål/A 52879-2025 FSC-klagomål.docx", "A 52879-2025")</f>
        <v/>
      </c>
      <c r="W364">
        <f>HYPERLINK("https://klasma.github.io/Logging_0382/klagomålsmail/A 52879-2025 FSC-klagomål mail.docx", "A 52879-2025")</f>
        <v/>
      </c>
      <c r="X364">
        <f>HYPERLINK("https://klasma.github.io/Logging_0382/tillsyn/A 52879-2025 tillsynsbegäran.docx", "A 52879-2025")</f>
        <v/>
      </c>
      <c r="Y364">
        <f>HYPERLINK("https://klasma.github.io/Logging_0382/tillsynsmail/A 52879-2025 tillsynsbegäran mail.docx", "A 52879-2025")</f>
        <v/>
      </c>
    </row>
    <row r="365" ht="15" customHeight="1">
      <c r="A365" t="inlineStr">
        <is>
          <t>A 40568-2025</t>
        </is>
      </c>
      <c r="B365" s="1" t="n">
        <v>45896.47487268518</v>
      </c>
      <c r="C365" s="1" t="n">
        <v>46098</v>
      </c>
      <c r="D365" t="inlineStr">
        <is>
          <t>UPPSALA LÄN</t>
        </is>
      </c>
      <c r="E365" t="inlineStr">
        <is>
          <t>UPPSALA</t>
        </is>
      </c>
      <c r="F365" t="inlineStr">
        <is>
          <t>Kyrkan</t>
        </is>
      </c>
      <c r="G365" t="n">
        <v>2.1</v>
      </c>
      <c r="H365" t="n">
        <v>0</v>
      </c>
      <c r="I365" t="n">
        <v>1</v>
      </c>
      <c r="J365" t="n">
        <v>0</v>
      </c>
      <c r="K365" t="n">
        <v>0</v>
      </c>
      <c r="L365" t="n">
        <v>0</v>
      </c>
      <c r="M365" t="n">
        <v>0</v>
      </c>
      <c r="N365" t="n">
        <v>0</v>
      </c>
      <c r="O365" t="n">
        <v>0</v>
      </c>
      <c r="P365" t="n">
        <v>0</v>
      </c>
      <c r="Q365" t="n">
        <v>1</v>
      </c>
      <c r="R365" s="2" t="inlineStr">
        <is>
          <t>Rödgul trumpetsvamp</t>
        </is>
      </c>
      <c r="S365">
        <f>HYPERLINK("https://klasma.github.io/Logging_0380/artfynd/A 40568-2025 artfynd.xlsx", "A 40568-2025")</f>
        <v/>
      </c>
      <c r="T365">
        <f>HYPERLINK("https://klasma.github.io/Logging_0380/kartor/A 40568-2025 karta.png", "A 40568-2025")</f>
        <v/>
      </c>
      <c r="V365">
        <f>HYPERLINK("https://klasma.github.io/Logging_0380/klagomål/A 40568-2025 FSC-klagomål.docx", "A 40568-2025")</f>
        <v/>
      </c>
      <c r="W365">
        <f>HYPERLINK("https://klasma.github.io/Logging_0380/klagomålsmail/A 40568-2025 FSC-klagomål mail.docx", "A 40568-2025")</f>
        <v/>
      </c>
      <c r="X365">
        <f>HYPERLINK("https://klasma.github.io/Logging_0380/tillsyn/A 40568-2025 tillsynsbegäran.docx", "A 40568-2025")</f>
        <v/>
      </c>
      <c r="Y365">
        <f>HYPERLINK("https://klasma.github.io/Logging_0380/tillsynsmail/A 40568-2025 tillsynsbegäran mail.docx", "A 40568-2025")</f>
        <v/>
      </c>
    </row>
    <row r="366" ht="15" customHeight="1">
      <c r="A366" t="inlineStr">
        <is>
          <t>A 52439-2025</t>
        </is>
      </c>
      <c r="B366" s="1" t="n">
        <v>45954.40697916667</v>
      </c>
      <c r="C366" s="1" t="n">
        <v>46098</v>
      </c>
      <c r="D366" t="inlineStr">
        <is>
          <t>UPPSALA LÄN</t>
        </is>
      </c>
      <c r="E366" t="inlineStr">
        <is>
          <t>ENKÖPING</t>
        </is>
      </c>
      <c r="F366" t="inlineStr">
        <is>
          <t>Allmännings- och besparingsskogar</t>
        </is>
      </c>
      <c r="G366" t="n">
        <v>2.2</v>
      </c>
      <c r="H366" t="n">
        <v>0</v>
      </c>
      <c r="I366" t="n">
        <v>0</v>
      </c>
      <c r="J366" t="n">
        <v>1</v>
      </c>
      <c r="K366" t="n">
        <v>0</v>
      </c>
      <c r="L366" t="n">
        <v>0</v>
      </c>
      <c r="M366" t="n">
        <v>0</v>
      </c>
      <c r="N366" t="n">
        <v>0</v>
      </c>
      <c r="O366" t="n">
        <v>1</v>
      </c>
      <c r="P366" t="n">
        <v>0</v>
      </c>
      <c r="Q366" t="n">
        <v>1</v>
      </c>
      <c r="R366" s="2" t="inlineStr">
        <is>
          <t>Igelkott</t>
        </is>
      </c>
      <c r="S366">
        <f>HYPERLINK("https://klasma.github.io/Logging_0381/artfynd/A 52439-2025 artfynd.xlsx", "A 52439-2025")</f>
        <v/>
      </c>
      <c r="T366">
        <f>HYPERLINK("https://klasma.github.io/Logging_0381/kartor/A 52439-2025 karta.png", "A 52439-2025")</f>
        <v/>
      </c>
      <c r="V366">
        <f>HYPERLINK("https://klasma.github.io/Logging_0381/klagomål/A 52439-2025 FSC-klagomål.docx", "A 52439-2025")</f>
        <v/>
      </c>
      <c r="W366">
        <f>HYPERLINK("https://klasma.github.io/Logging_0381/klagomålsmail/A 52439-2025 FSC-klagomål mail.docx", "A 52439-2025")</f>
        <v/>
      </c>
      <c r="X366">
        <f>HYPERLINK("https://klasma.github.io/Logging_0381/tillsyn/A 52439-2025 tillsynsbegäran.docx", "A 52439-2025")</f>
        <v/>
      </c>
      <c r="Y366">
        <f>HYPERLINK("https://klasma.github.io/Logging_0381/tillsynsmail/A 52439-2025 tillsynsbegäran mail.docx", "A 52439-2025")</f>
        <v/>
      </c>
    </row>
    <row r="367" ht="15" customHeight="1">
      <c r="A367" t="inlineStr">
        <is>
          <t>A 41220-2025</t>
        </is>
      </c>
      <c r="B367" s="1" t="n">
        <v>45898.58630787037</v>
      </c>
      <c r="C367" s="1" t="n">
        <v>46098</v>
      </c>
      <c r="D367" t="inlineStr">
        <is>
          <t>UPPSALA LÄN</t>
        </is>
      </c>
      <c r="E367" t="inlineStr">
        <is>
          <t>ÖSTHAMMAR</t>
        </is>
      </c>
      <c r="F367" t="inlineStr">
        <is>
          <t>Bergvik skog öst AB</t>
        </is>
      </c>
      <c r="G367" t="n">
        <v>2.5</v>
      </c>
      <c r="H367" t="n">
        <v>1</v>
      </c>
      <c r="I367" t="n">
        <v>0</v>
      </c>
      <c r="J367" t="n">
        <v>1</v>
      </c>
      <c r="K367" t="n">
        <v>0</v>
      </c>
      <c r="L367" t="n">
        <v>0</v>
      </c>
      <c r="M367" t="n">
        <v>0</v>
      </c>
      <c r="N367" t="n">
        <v>0</v>
      </c>
      <c r="O367" t="n">
        <v>1</v>
      </c>
      <c r="P367" t="n">
        <v>0</v>
      </c>
      <c r="Q367" t="n">
        <v>1</v>
      </c>
      <c r="R367" s="2" t="inlineStr">
        <is>
          <t>Spillkråka</t>
        </is>
      </c>
      <c r="S367">
        <f>HYPERLINK("https://klasma.github.io/Logging_0382/artfynd/A 41220-2025 artfynd.xlsx", "A 41220-2025")</f>
        <v/>
      </c>
      <c r="T367">
        <f>HYPERLINK("https://klasma.github.io/Logging_0382/kartor/A 41220-2025 karta.png", "A 41220-2025")</f>
        <v/>
      </c>
      <c r="V367">
        <f>HYPERLINK("https://klasma.github.io/Logging_0382/klagomål/A 41220-2025 FSC-klagomål.docx", "A 41220-2025")</f>
        <v/>
      </c>
      <c r="W367">
        <f>HYPERLINK("https://klasma.github.io/Logging_0382/klagomålsmail/A 41220-2025 FSC-klagomål mail.docx", "A 41220-2025")</f>
        <v/>
      </c>
      <c r="X367">
        <f>HYPERLINK("https://klasma.github.io/Logging_0382/tillsyn/A 41220-2025 tillsynsbegäran.docx", "A 41220-2025")</f>
        <v/>
      </c>
      <c r="Y367">
        <f>HYPERLINK("https://klasma.github.io/Logging_0382/tillsynsmail/A 41220-2025 tillsynsbegäran mail.docx", "A 41220-2025")</f>
        <v/>
      </c>
      <c r="Z367">
        <f>HYPERLINK("https://klasma.github.io/Logging_0382/fåglar/A 41220-2025 prioriterade fågelarter.docx", "A 41220-2025")</f>
        <v/>
      </c>
    </row>
    <row r="368" ht="15" customHeight="1">
      <c r="A368" t="inlineStr">
        <is>
          <t>A 36842-2025</t>
        </is>
      </c>
      <c r="B368" s="1" t="n">
        <v>45874</v>
      </c>
      <c r="C368" s="1" t="n">
        <v>46098</v>
      </c>
      <c r="D368" t="inlineStr">
        <is>
          <t>UPPSALA LÄN</t>
        </is>
      </c>
      <c r="E368" t="inlineStr">
        <is>
          <t>UPPSALA</t>
        </is>
      </c>
      <c r="G368" t="n">
        <v>9.9</v>
      </c>
      <c r="H368" t="n">
        <v>0</v>
      </c>
      <c r="I368" t="n">
        <v>1</v>
      </c>
      <c r="J368" t="n">
        <v>0</v>
      </c>
      <c r="K368" t="n">
        <v>0</v>
      </c>
      <c r="L368" t="n">
        <v>0</v>
      </c>
      <c r="M368" t="n">
        <v>0</v>
      </c>
      <c r="N368" t="n">
        <v>0</v>
      </c>
      <c r="O368" t="n">
        <v>0</v>
      </c>
      <c r="P368" t="n">
        <v>0</v>
      </c>
      <c r="Q368" t="n">
        <v>1</v>
      </c>
      <c r="R368" s="2" t="inlineStr">
        <is>
          <t>Vedticka</t>
        </is>
      </c>
      <c r="S368">
        <f>HYPERLINK("https://klasma.github.io/Logging_0380/artfynd/A 36842-2025 artfynd.xlsx", "A 36842-2025")</f>
        <v/>
      </c>
      <c r="T368">
        <f>HYPERLINK("https://klasma.github.io/Logging_0380/kartor/A 36842-2025 karta.png", "A 36842-2025")</f>
        <v/>
      </c>
      <c r="V368">
        <f>HYPERLINK("https://klasma.github.io/Logging_0380/klagomål/A 36842-2025 FSC-klagomål.docx", "A 36842-2025")</f>
        <v/>
      </c>
      <c r="W368">
        <f>HYPERLINK("https://klasma.github.io/Logging_0380/klagomålsmail/A 36842-2025 FSC-klagomål mail.docx", "A 36842-2025")</f>
        <v/>
      </c>
      <c r="X368">
        <f>HYPERLINK("https://klasma.github.io/Logging_0380/tillsyn/A 36842-2025 tillsynsbegäran.docx", "A 36842-2025")</f>
        <v/>
      </c>
      <c r="Y368">
        <f>HYPERLINK("https://klasma.github.io/Logging_0380/tillsynsmail/A 36842-2025 tillsynsbegäran mail.docx", "A 36842-2025")</f>
        <v/>
      </c>
    </row>
    <row r="369" ht="15" customHeight="1">
      <c r="A369" t="inlineStr">
        <is>
          <t>A 25318-2025</t>
        </is>
      </c>
      <c r="B369" s="1" t="n">
        <v>45799</v>
      </c>
      <c r="C369" s="1" t="n">
        <v>46098</v>
      </c>
      <c r="D369" t="inlineStr">
        <is>
          <t>UPPSALA LÄN</t>
        </is>
      </c>
      <c r="E369" t="inlineStr">
        <is>
          <t>HEBY</t>
        </is>
      </c>
      <c r="F369" t="inlineStr">
        <is>
          <t>Bergvik skog väst AB</t>
        </is>
      </c>
      <c r="G369" t="n">
        <v>29.7</v>
      </c>
      <c r="H369" t="n">
        <v>1</v>
      </c>
      <c r="I369" t="n">
        <v>0</v>
      </c>
      <c r="J369" t="n">
        <v>1</v>
      </c>
      <c r="K369" t="n">
        <v>0</v>
      </c>
      <c r="L369" t="n">
        <v>0</v>
      </c>
      <c r="M369" t="n">
        <v>0</v>
      </c>
      <c r="N369" t="n">
        <v>0</v>
      </c>
      <c r="O369" t="n">
        <v>1</v>
      </c>
      <c r="P369" t="n">
        <v>0</v>
      </c>
      <c r="Q369" t="n">
        <v>1</v>
      </c>
      <c r="R369" s="2" t="inlineStr">
        <is>
          <t>Slaguggla</t>
        </is>
      </c>
      <c r="S369">
        <f>HYPERLINK("https://klasma.github.io/Logging_0331/artfynd/A 25318-2025 artfynd.xlsx", "A 25318-2025")</f>
        <v/>
      </c>
      <c r="T369">
        <f>HYPERLINK("https://klasma.github.io/Logging_0331/kartor/A 25318-2025 karta.png", "A 25318-2025")</f>
        <v/>
      </c>
      <c r="V369">
        <f>HYPERLINK("https://klasma.github.io/Logging_0331/klagomål/A 25318-2025 FSC-klagomål.docx", "A 25318-2025")</f>
        <v/>
      </c>
      <c r="W369">
        <f>HYPERLINK("https://klasma.github.io/Logging_0331/klagomålsmail/A 25318-2025 FSC-klagomål mail.docx", "A 25318-2025")</f>
        <v/>
      </c>
      <c r="X369">
        <f>HYPERLINK("https://klasma.github.io/Logging_0331/tillsyn/A 25318-2025 tillsynsbegäran.docx", "A 25318-2025")</f>
        <v/>
      </c>
      <c r="Y369">
        <f>HYPERLINK("https://klasma.github.io/Logging_0331/tillsynsmail/A 25318-2025 tillsynsbegäran mail.docx", "A 25318-2025")</f>
        <v/>
      </c>
      <c r="Z369">
        <f>HYPERLINK("https://klasma.github.io/Logging_0331/fåglar/A 25318-2025 prioriterade fågelarter.docx", "A 25318-2025")</f>
        <v/>
      </c>
    </row>
    <row r="370" ht="15" customHeight="1">
      <c r="A370" t="inlineStr">
        <is>
          <t>A 54141-2025</t>
        </is>
      </c>
      <c r="B370" s="1" t="n">
        <v>45964</v>
      </c>
      <c r="C370" s="1" t="n">
        <v>46098</v>
      </c>
      <c r="D370" t="inlineStr">
        <is>
          <t>UPPSALA LÄN</t>
        </is>
      </c>
      <c r="E370" t="inlineStr">
        <is>
          <t>TIERP</t>
        </is>
      </c>
      <c r="G370" t="n">
        <v>1.7</v>
      </c>
      <c r="H370" t="n">
        <v>0</v>
      </c>
      <c r="I370" t="n">
        <v>0</v>
      </c>
      <c r="J370" t="n">
        <v>0</v>
      </c>
      <c r="K370" t="n">
        <v>1</v>
      </c>
      <c r="L370" t="n">
        <v>0</v>
      </c>
      <c r="M370" t="n">
        <v>0</v>
      </c>
      <c r="N370" t="n">
        <v>0</v>
      </c>
      <c r="O370" t="n">
        <v>1</v>
      </c>
      <c r="P370" t="n">
        <v>1</v>
      </c>
      <c r="Q370" t="n">
        <v>1</v>
      </c>
      <c r="R370" s="2" t="inlineStr">
        <is>
          <t>Violgubbe</t>
        </is>
      </c>
      <c r="S370">
        <f>HYPERLINK("https://klasma.github.io/Logging_0360/artfynd/A 54141-2025 artfynd.xlsx", "A 54141-2025")</f>
        <v/>
      </c>
      <c r="T370">
        <f>HYPERLINK("https://klasma.github.io/Logging_0360/kartor/A 54141-2025 karta.png", "A 54141-2025")</f>
        <v/>
      </c>
      <c r="V370">
        <f>HYPERLINK("https://klasma.github.io/Logging_0360/klagomål/A 54141-2025 FSC-klagomål.docx", "A 54141-2025")</f>
        <v/>
      </c>
      <c r="W370">
        <f>HYPERLINK("https://klasma.github.io/Logging_0360/klagomålsmail/A 54141-2025 FSC-klagomål mail.docx", "A 54141-2025")</f>
        <v/>
      </c>
      <c r="X370">
        <f>HYPERLINK("https://klasma.github.io/Logging_0360/tillsyn/A 54141-2025 tillsynsbegäran.docx", "A 54141-2025")</f>
        <v/>
      </c>
      <c r="Y370">
        <f>HYPERLINK("https://klasma.github.io/Logging_0360/tillsynsmail/A 54141-2025 tillsynsbegäran mail.docx", "A 54141-2025")</f>
        <v/>
      </c>
    </row>
    <row r="371" ht="15" customHeight="1">
      <c r="A371" t="inlineStr">
        <is>
          <t>A 53813-2025</t>
        </is>
      </c>
      <c r="B371" s="1" t="n">
        <v>45960</v>
      </c>
      <c r="C371" s="1" t="n">
        <v>46098</v>
      </c>
      <c r="D371" t="inlineStr">
        <is>
          <t>UPPSALA LÄN</t>
        </is>
      </c>
      <c r="E371" t="inlineStr">
        <is>
          <t>KNIVSTA</t>
        </is>
      </c>
      <c r="G371" t="n">
        <v>1.7</v>
      </c>
      <c r="H371" t="n">
        <v>0</v>
      </c>
      <c r="I371" t="n">
        <v>1</v>
      </c>
      <c r="J371" t="n">
        <v>0</v>
      </c>
      <c r="K371" t="n">
        <v>0</v>
      </c>
      <c r="L371" t="n">
        <v>0</v>
      </c>
      <c r="M371" t="n">
        <v>0</v>
      </c>
      <c r="N371" t="n">
        <v>0</v>
      </c>
      <c r="O371" t="n">
        <v>0</v>
      </c>
      <c r="P371" t="n">
        <v>0</v>
      </c>
      <c r="Q371" t="n">
        <v>1</v>
      </c>
      <c r="R371" s="2" t="inlineStr">
        <is>
          <t>Broskvaxing</t>
        </is>
      </c>
      <c r="S371">
        <f>HYPERLINK("https://klasma.github.io/Logging_0330/artfynd/A 53813-2025 artfynd.xlsx", "A 53813-2025")</f>
        <v/>
      </c>
      <c r="T371">
        <f>HYPERLINK("https://klasma.github.io/Logging_0330/kartor/A 53813-2025 karta.png", "A 53813-2025")</f>
        <v/>
      </c>
      <c r="V371">
        <f>HYPERLINK("https://klasma.github.io/Logging_0330/klagomål/A 53813-2025 FSC-klagomål.docx", "A 53813-2025")</f>
        <v/>
      </c>
      <c r="W371">
        <f>HYPERLINK("https://klasma.github.io/Logging_0330/klagomålsmail/A 53813-2025 FSC-klagomål mail.docx", "A 53813-2025")</f>
        <v/>
      </c>
      <c r="X371">
        <f>HYPERLINK("https://klasma.github.io/Logging_0330/tillsyn/A 53813-2025 tillsynsbegäran.docx", "A 53813-2025")</f>
        <v/>
      </c>
      <c r="Y371">
        <f>HYPERLINK("https://klasma.github.io/Logging_0330/tillsynsmail/A 53813-2025 tillsynsbegäran mail.docx", "A 53813-2025")</f>
        <v/>
      </c>
    </row>
    <row r="372" ht="15" customHeight="1">
      <c r="A372" t="inlineStr">
        <is>
          <t>A 56972-2022</t>
        </is>
      </c>
      <c r="B372" s="1" t="n">
        <v>44894</v>
      </c>
      <c r="C372" s="1" t="n">
        <v>46098</v>
      </c>
      <c r="D372" t="inlineStr">
        <is>
          <t>UPPSALA LÄN</t>
        </is>
      </c>
      <c r="E372" t="inlineStr">
        <is>
          <t>TIERP</t>
        </is>
      </c>
      <c r="G372" t="n">
        <v>11</v>
      </c>
      <c r="H372" t="n">
        <v>0</v>
      </c>
      <c r="I372" t="n">
        <v>0</v>
      </c>
      <c r="J372" t="n">
        <v>0</v>
      </c>
      <c r="K372" t="n">
        <v>1</v>
      </c>
      <c r="L372" t="n">
        <v>0</v>
      </c>
      <c r="M372" t="n">
        <v>0</v>
      </c>
      <c r="N372" t="n">
        <v>0</v>
      </c>
      <c r="O372" t="n">
        <v>1</v>
      </c>
      <c r="P372" t="n">
        <v>1</v>
      </c>
      <c r="Q372" t="n">
        <v>1</v>
      </c>
      <c r="R372" s="2" t="inlineStr">
        <is>
          <t>Violgubbe</t>
        </is>
      </c>
      <c r="S372">
        <f>HYPERLINK("https://klasma.github.io/Logging_0360/artfynd/A 56972-2022 artfynd.xlsx", "A 56972-2022")</f>
        <v/>
      </c>
      <c r="T372">
        <f>HYPERLINK("https://klasma.github.io/Logging_0360/kartor/A 56972-2022 karta.png", "A 56972-2022")</f>
        <v/>
      </c>
      <c r="V372">
        <f>HYPERLINK("https://klasma.github.io/Logging_0360/klagomål/A 56972-2022 FSC-klagomål.docx", "A 56972-2022")</f>
        <v/>
      </c>
      <c r="W372">
        <f>HYPERLINK("https://klasma.github.io/Logging_0360/klagomålsmail/A 56972-2022 FSC-klagomål mail.docx", "A 56972-2022")</f>
        <v/>
      </c>
      <c r="X372">
        <f>HYPERLINK("https://klasma.github.io/Logging_0360/tillsyn/A 56972-2022 tillsynsbegäran.docx", "A 56972-2022")</f>
        <v/>
      </c>
      <c r="Y372">
        <f>HYPERLINK("https://klasma.github.io/Logging_0360/tillsynsmail/A 56972-2022 tillsynsbegäran mail.docx", "A 56972-2022")</f>
        <v/>
      </c>
    </row>
    <row r="373" ht="15" customHeight="1">
      <c r="A373" t="inlineStr">
        <is>
          <t>A 57398-2024</t>
        </is>
      </c>
      <c r="B373" s="1" t="n">
        <v>45629</v>
      </c>
      <c r="C373" s="1" t="n">
        <v>46098</v>
      </c>
      <c r="D373" t="inlineStr">
        <is>
          <t>UPPSALA LÄN</t>
        </is>
      </c>
      <c r="E373" t="inlineStr">
        <is>
          <t>TIERP</t>
        </is>
      </c>
      <c r="G373" t="n">
        <v>2.2</v>
      </c>
      <c r="H373" t="n">
        <v>0</v>
      </c>
      <c r="I373" t="n">
        <v>0</v>
      </c>
      <c r="J373" t="n">
        <v>0</v>
      </c>
      <c r="K373" t="n">
        <v>1</v>
      </c>
      <c r="L373" t="n">
        <v>0</v>
      </c>
      <c r="M373" t="n">
        <v>0</v>
      </c>
      <c r="N373" t="n">
        <v>0</v>
      </c>
      <c r="O373" t="n">
        <v>1</v>
      </c>
      <c r="P373" t="n">
        <v>1</v>
      </c>
      <c r="Q373" t="n">
        <v>1</v>
      </c>
      <c r="R373" s="2" t="inlineStr">
        <is>
          <t>Ängsskäreplattmal</t>
        </is>
      </c>
      <c r="S373">
        <f>HYPERLINK("https://klasma.github.io/Logging_0360/artfynd/A 57398-2024 artfynd.xlsx", "A 57398-2024")</f>
        <v/>
      </c>
      <c r="T373">
        <f>HYPERLINK("https://klasma.github.io/Logging_0360/kartor/A 57398-2024 karta.png", "A 57398-2024")</f>
        <v/>
      </c>
      <c r="V373">
        <f>HYPERLINK("https://klasma.github.io/Logging_0360/klagomål/A 57398-2024 FSC-klagomål.docx", "A 57398-2024")</f>
        <v/>
      </c>
      <c r="W373">
        <f>HYPERLINK("https://klasma.github.io/Logging_0360/klagomålsmail/A 57398-2024 FSC-klagomål mail.docx", "A 57398-2024")</f>
        <v/>
      </c>
      <c r="X373">
        <f>HYPERLINK("https://klasma.github.io/Logging_0360/tillsyn/A 57398-2024 tillsynsbegäran.docx", "A 57398-2024")</f>
        <v/>
      </c>
      <c r="Y373">
        <f>HYPERLINK("https://klasma.github.io/Logging_0360/tillsynsmail/A 57398-2024 tillsynsbegäran mail.docx", "A 57398-2024")</f>
        <v/>
      </c>
    </row>
    <row r="374" ht="15" customHeight="1">
      <c r="A374" t="inlineStr">
        <is>
          <t>A 26347-2025</t>
        </is>
      </c>
      <c r="B374" s="1" t="n">
        <v>45805.7403125</v>
      </c>
      <c r="C374" s="1" t="n">
        <v>46098</v>
      </c>
      <c r="D374" t="inlineStr">
        <is>
          <t>UPPSALA LÄN</t>
        </is>
      </c>
      <c r="E374" t="inlineStr">
        <is>
          <t>ENKÖPING</t>
        </is>
      </c>
      <c r="G374" t="n">
        <v>7.3</v>
      </c>
      <c r="H374" t="n">
        <v>1</v>
      </c>
      <c r="I374" t="n">
        <v>0</v>
      </c>
      <c r="J374" t="n">
        <v>0</v>
      </c>
      <c r="K374" t="n">
        <v>1</v>
      </c>
      <c r="L374" t="n">
        <v>0</v>
      </c>
      <c r="M374" t="n">
        <v>0</v>
      </c>
      <c r="N374" t="n">
        <v>0</v>
      </c>
      <c r="O374" t="n">
        <v>1</v>
      </c>
      <c r="P374" t="n">
        <v>1</v>
      </c>
      <c r="Q374" t="n">
        <v>1</v>
      </c>
      <c r="R374" s="2" t="inlineStr">
        <is>
          <t>Tofsvipa</t>
        </is>
      </c>
      <c r="S374">
        <f>HYPERLINK("https://klasma.github.io/Logging_0381/artfynd/A 26347-2025 artfynd.xlsx", "A 26347-2025")</f>
        <v/>
      </c>
      <c r="T374">
        <f>HYPERLINK("https://klasma.github.io/Logging_0381/kartor/A 26347-2025 karta.png", "A 26347-2025")</f>
        <v/>
      </c>
      <c r="V374">
        <f>HYPERLINK("https://klasma.github.io/Logging_0381/klagomål/A 26347-2025 FSC-klagomål.docx", "A 26347-2025")</f>
        <v/>
      </c>
      <c r="W374">
        <f>HYPERLINK("https://klasma.github.io/Logging_0381/klagomålsmail/A 26347-2025 FSC-klagomål mail.docx", "A 26347-2025")</f>
        <v/>
      </c>
      <c r="X374">
        <f>HYPERLINK("https://klasma.github.io/Logging_0381/tillsyn/A 26347-2025 tillsynsbegäran.docx", "A 26347-2025")</f>
        <v/>
      </c>
      <c r="Y374">
        <f>HYPERLINK("https://klasma.github.io/Logging_0381/tillsynsmail/A 26347-2025 tillsynsbegäran mail.docx", "A 26347-2025")</f>
        <v/>
      </c>
    </row>
    <row r="375" ht="15" customHeight="1">
      <c r="A375" t="inlineStr">
        <is>
          <t>A 54882-2025</t>
        </is>
      </c>
      <c r="B375" s="1" t="n">
        <v>45967.33539351852</v>
      </c>
      <c r="C375" s="1" t="n">
        <v>46098</v>
      </c>
      <c r="D375" t="inlineStr">
        <is>
          <t>UPPSALA LÄN</t>
        </is>
      </c>
      <c r="E375" t="inlineStr">
        <is>
          <t>TIERP</t>
        </is>
      </c>
      <c r="F375" t="inlineStr">
        <is>
          <t>Bergvik skog öst AB</t>
        </is>
      </c>
      <c r="G375" t="n">
        <v>11.3</v>
      </c>
      <c r="H375" t="n">
        <v>1</v>
      </c>
      <c r="I375" t="n">
        <v>1</v>
      </c>
      <c r="J375" t="n">
        <v>0</v>
      </c>
      <c r="K375" t="n">
        <v>0</v>
      </c>
      <c r="L375" t="n">
        <v>0</v>
      </c>
      <c r="M375" t="n">
        <v>0</v>
      </c>
      <c r="N375" t="n">
        <v>0</v>
      </c>
      <c r="O375" t="n">
        <v>0</v>
      </c>
      <c r="P375" t="n">
        <v>0</v>
      </c>
      <c r="Q375" t="n">
        <v>1</v>
      </c>
      <c r="R375" s="2" t="inlineStr">
        <is>
          <t>Guckusko</t>
        </is>
      </c>
      <c r="S375">
        <f>HYPERLINK("https://klasma.github.io/Logging_0360/artfynd/A 54882-2025 artfynd.xlsx", "A 54882-2025")</f>
        <v/>
      </c>
      <c r="T375">
        <f>HYPERLINK("https://klasma.github.io/Logging_0360/kartor/A 54882-2025 karta.png", "A 54882-2025")</f>
        <v/>
      </c>
      <c r="V375">
        <f>HYPERLINK("https://klasma.github.io/Logging_0360/klagomål/A 54882-2025 FSC-klagomål.docx", "A 54882-2025")</f>
        <v/>
      </c>
      <c r="W375">
        <f>HYPERLINK("https://klasma.github.io/Logging_0360/klagomålsmail/A 54882-2025 FSC-klagomål mail.docx", "A 54882-2025")</f>
        <v/>
      </c>
      <c r="X375">
        <f>HYPERLINK("https://klasma.github.io/Logging_0360/tillsyn/A 54882-2025 tillsynsbegäran.docx", "A 54882-2025")</f>
        <v/>
      </c>
      <c r="Y375">
        <f>HYPERLINK("https://klasma.github.io/Logging_0360/tillsynsmail/A 54882-2025 tillsynsbegäran mail.docx", "A 54882-2025")</f>
        <v/>
      </c>
    </row>
    <row r="376" ht="15" customHeight="1">
      <c r="A376" t="inlineStr">
        <is>
          <t>A 17006-2024</t>
        </is>
      </c>
      <c r="B376" s="1" t="n">
        <v>45411</v>
      </c>
      <c r="C376" s="1" t="n">
        <v>46098</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26923-2025</t>
        </is>
      </c>
      <c r="B377" s="1" t="n">
        <v>45811.38710648148</v>
      </c>
      <c r="C377" s="1" t="n">
        <v>46098</v>
      </c>
      <c r="D377" t="inlineStr">
        <is>
          <t>UPPSALA LÄN</t>
        </is>
      </c>
      <c r="E377" t="inlineStr">
        <is>
          <t>UPPSALA</t>
        </is>
      </c>
      <c r="F377" t="inlineStr">
        <is>
          <t>Kyrkan</t>
        </is>
      </c>
      <c r="G377" t="n">
        <v>9.800000000000001</v>
      </c>
      <c r="H377" t="n">
        <v>1</v>
      </c>
      <c r="I377" t="n">
        <v>0</v>
      </c>
      <c r="J377" t="n">
        <v>0</v>
      </c>
      <c r="K377" t="n">
        <v>0</v>
      </c>
      <c r="L377" t="n">
        <v>0</v>
      </c>
      <c r="M377" t="n">
        <v>0</v>
      </c>
      <c r="N377" t="n">
        <v>0</v>
      </c>
      <c r="O377" t="n">
        <v>0</v>
      </c>
      <c r="P377" t="n">
        <v>0</v>
      </c>
      <c r="Q377" t="n">
        <v>1</v>
      </c>
      <c r="R377" s="2" t="inlineStr">
        <is>
          <t>Fläcknycklar</t>
        </is>
      </c>
      <c r="S377">
        <f>HYPERLINK("https://klasma.github.io/Logging_0380/artfynd/A 26923-2025 artfynd.xlsx", "A 26923-2025")</f>
        <v/>
      </c>
      <c r="T377">
        <f>HYPERLINK("https://klasma.github.io/Logging_0380/kartor/A 26923-2025 karta.png", "A 26923-2025")</f>
        <v/>
      </c>
      <c r="V377">
        <f>HYPERLINK("https://klasma.github.io/Logging_0380/klagomål/A 26923-2025 FSC-klagomål.docx", "A 26923-2025")</f>
        <v/>
      </c>
      <c r="W377">
        <f>HYPERLINK("https://klasma.github.io/Logging_0380/klagomålsmail/A 26923-2025 FSC-klagomål mail.docx", "A 26923-2025")</f>
        <v/>
      </c>
      <c r="X377">
        <f>HYPERLINK("https://klasma.github.io/Logging_0380/tillsyn/A 26923-2025 tillsynsbegäran.docx", "A 26923-2025")</f>
        <v/>
      </c>
      <c r="Y377">
        <f>HYPERLINK("https://klasma.github.io/Logging_0380/tillsynsmail/A 26923-2025 tillsynsbegäran mail.docx", "A 26923-2025")</f>
        <v/>
      </c>
    </row>
    <row r="378" ht="15" customHeight="1">
      <c r="A378" t="inlineStr">
        <is>
          <t>A 27848-2023</t>
        </is>
      </c>
      <c r="B378" s="1" t="n">
        <v>45098</v>
      </c>
      <c r="C378" s="1" t="n">
        <v>46098</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27060-2025</t>
        </is>
      </c>
      <c r="B379" s="1" t="n">
        <v>45811.63590277778</v>
      </c>
      <c r="C379" s="1" t="n">
        <v>46098</v>
      </c>
      <c r="D379" t="inlineStr">
        <is>
          <t>UPPSALA LÄN</t>
        </is>
      </c>
      <c r="E379" t="inlineStr">
        <is>
          <t>ENKÖPING</t>
        </is>
      </c>
      <c r="G379" t="n">
        <v>2.6</v>
      </c>
      <c r="H379" t="n">
        <v>0</v>
      </c>
      <c r="I379" t="n">
        <v>1</v>
      </c>
      <c r="J379" t="n">
        <v>0</v>
      </c>
      <c r="K379" t="n">
        <v>0</v>
      </c>
      <c r="L379" t="n">
        <v>0</v>
      </c>
      <c r="M379" t="n">
        <v>0</v>
      </c>
      <c r="N379" t="n">
        <v>0</v>
      </c>
      <c r="O379" t="n">
        <v>0</v>
      </c>
      <c r="P379" t="n">
        <v>0</v>
      </c>
      <c r="Q379" t="n">
        <v>1</v>
      </c>
      <c r="R379" s="2" t="inlineStr">
        <is>
          <t>Granbarkgnagare</t>
        </is>
      </c>
      <c r="S379">
        <f>HYPERLINK("https://klasma.github.io/Logging_0381/artfynd/A 27060-2025 artfynd.xlsx", "A 27060-2025")</f>
        <v/>
      </c>
      <c r="T379">
        <f>HYPERLINK("https://klasma.github.io/Logging_0381/kartor/A 27060-2025 karta.png", "A 27060-2025")</f>
        <v/>
      </c>
      <c r="V379">
        <f>HYPERLINK("https://klasma.github.io/Logging_0381/klagomål/A 27060-2025 FSC-klagomål.docx", "A 27060-2025")</f>
        <v/>
      </c>
      <c r="W379">
        <f>HYPERLINK("https://klasma.github.io/Logging_0381/klagomålsmail/A 27060-2025 FSC-klagomål mail.docx", "A 27060-2025")</f>
        <v/>
      </c>
      <c r="X379">
        <f>HYPERLINK("https://klasma.github.io/Logging_0381/tillsyn/A 27060-2025 tillsynsbegäran.docx", "A 27060-2025")</f>
        <v/>
      </c>
      <c r="Y379">
        <f>HYPERLINK("https://klasma.github.io/Logging_0381/tillsynsmail/A 27060-2025 tillsynsbegäran mail.docx", "A 27060-2025")</f>
        <v/>
      </c>
    </row>
    <row r="380" ht="15" customHeight="1">
      <c r="A380" t="inlineStr">
        <is>
          <t>A 29510-2025</t>
        </is>
      </c>
      <c r="B380" s="1" t="n">
        <v>45825</v>
      </c>
      <c r="C380" s="1" t="n">
        <v>46098</v>
      </c>
      <c r="D380" t="inlineStr">
        <is>
          <t>UPPSALA LÄN</t>
        </is>
      </c>
      <c r="E380" t="inlineStr">
        <is>
          <t>ENKÖPING</t>
        </is>
      </c>
      <c r="G380" t="n">
        <v>2.4</v>
      </c>
      <c r="H380" t="n">
        <v>0</v>
      </c>
      <c r="I380" t="n">
        <v>0</v>
      </c>
      <c r="J380" t="n">
        <v>0</v>
      </c>
      <c r="K380" t="n">
        <v>1</v>
      </c>
      <c r="L380" t="n">
        <v>0</v>
      </c>
      <c r="M380" t="n">
        <v>0</v>
      </c>
      <c r="N380" t="n">
        <v>0</v>
      </c>
      <c r="O380" t="n">
        <v>1</v>
      </c>
      <c r="P380" t="n">
        <v>1</v>
      </c>
      <c r="Q380" t="n">
        <v>1</v>
      </c>
      <c r="R380" s="2" t="inlineStr">
        <is>
          <t>Toppjungfrulin</t>
        </is>
      </c>
      <c r="S380">
        <f>HYPERLINK("https://klasma.github.io/Logging_0381/artfynd/A 29510-2025 artfynd.xlsx", "A 29510-2025")</f>
        <v/>
      </c>
      <c r="T380">
        <f>HYPERLINK("https://klasma.github.io/Logging_0381/kartor/A 29510-2025 karta.png", "A 29510-2025")</f>
        <v/>
      </c>
      <c r="V380">
        <f>HYPERLINK("https://klasma.github.io/Logging_0381/klagomål/A 29510-2025 FSC-klagomål.docx", "A 29510-2025")</f>
        <v/>
      </c>
      <c r="W380">
        <f>HYPERLINK("https://klasma.github.io/Logging_0381/klagomålsmail/A 29510-2025 FSC-klagomål mail.docx", "A 29510-2025")</f>
        <v/>
      </c>
      <c r="X380">
        <f>HYPERLINK("https://klasma.github.io/Logging_0381/tillsyn/A 29510-2025 tillsynsbegäran.docx", "A 29510-2025")</f>
        <v/>
      </c>
      <c r="Y380">
        <f>HYPERLINK("https://klasma.github.io/Logging_0381/tillsynsmail/A 29510-2025 tillsynsbegäran mail.docx", "A 29510-2025")</f>
        <v/>
      </c>
    </row>
    <row r="381" ht="15" customHeight="1">
      <c r="A381" t="inlineStr">
        <is>
          <t>A 3304-2025</t>
        </is>
      </c>
      <c r="B381" s="1" t="n">
        <v>45679</v>
      </c>
      <c r="C381" s="1" t="n">
        <v>46098</v>
      </c>
      <c r="D381" t="inlineStr">
        <is>
          <t>UPPSALA LÄN</t>
        </is>
      </c>
      <c r="E381" t="inlineStr">
        <is>
          <t>UPPSALA</t>
        </is>
      </c>
      <c r="F381" t="inlineStr">
        <is>
          <t>Övriga statliga verk och myndigheter</t>
        </is>
      </c>
      <c r="G381" t="n">
        <v>3.8</v>
      </c>
      <c r="H381" t="n">
        <v>1</v>
      </c>
      <c r="I381" t="n">
        <v>0</v>
      </c>
      <c r="J381" t="n">
        <v>0</v>
      </c>
      <c r="K381" t="n">
        <v>0</v>
      </c>
      <c r="L381" t="n">
        <v>0</v>
      </c>
      <c r="M381" t="n">
        <v>0</v>
      </c>
      <c r="N381" t="n">
        <v>0</v>
      </c>
      <c r="O381" t="n">
        <v>0</v>
      </c>
      <c r="P381" t="n">
        <v>0</v>
      </c>
      <c r="Q381" t="n">
        <v>1</v>
      </c>
      <c r="R381" s="2" t="inlineStr">
        <is>
          <t>Blåsippa</t>
        </is>
      </c>
      <c r="S381">
        <f>HYPERLINK("https://klasma.github.io/Logging_0380/artfynd/A 3304-2025 artfynd.xlsx", "A 3304-2025")</f>
        <v/>
      </c>
      <c r="T381">
        <f>HYPERLINK("https://klasma.github.io/Logging_0380/kartor/A 3304-2025 karta.png", "A 3304-2025")</f>
        <v/>
      </c>
      <c r="V381">
        <f>HYPERLINK("https://klasma.github.io/Logging_0380/klagomål/A 3304-2025 FSC-klagomål.docx", "A 3304-2025")</f>
        <v/>
      </c>
      <c r="W381">
        <f>HYPERLINK("https://klasma.github.io/Logging_0380/klagomålsmail/A 3304-2025 FSC-klagomål mail.docx", "A 3304-2025")</f>
        <v/>
      </c>
      <c r="X381">
        <f>HYPERLINK("https://klasma.github.io/Logging_0380/tillsyn/A 3304-2025 tillsynsbegäran.docx", "A 3304-2025")</f>
        <v/>
      </c>
      <c r="Y381">
        <f>HYPERLINK("https://klasma.github.io/Logging_0380/tillsynsmail/A 3304-2025 tillsynsbegäran mail.docx", "A 3304-2025")</f>
        <v/>
      </c>
    </row>
    <row r="382" ht="15" customHeight="1">
      <c r="A382" t="inlineStr">
        <is>
          <t>A 28056-2025</t>
        </is>
      </c>
      <c r="B382" s="1" t="n">
        <v>45817</v>
      </c>
      <c r="C382" s="1" t="n">
        <v>46098</v>
      </c>
      <c r="D382" t="inlineStr">
        <is>
          <t>UPPSALA LÄN</t>
        </is>
      </c>
      <c r="E382" t="inlineStr">
        <is>
          <t>UPPSALA</t>
        </is>
      </c>
      <c r="G382" t="n">
        <v>19.3</v>
      </c>
      <c r="H382" t="n">
        <v>1</v>
      </c>
      <c r="I382" t="n">
        <v>0</v>
      </c>
      <c r="J382" t="n">
        <v>0</v>
      </c>
      <c r="K382" t="n">
        <v>1</v>
      </c>
      <c r="L382" t="n">
        <v>0</v>
      </c>
      <c r="M382" t="n">
        <v>0</v>
      </c>
      <c r="N382" t="n">
        <v>0</v>
      </c>
      <c r="O382" t="n">
        <v>1</v>
      </c>
      <c r="P382" t="n">
        <v>1</v>
      </c>
      <c r="Q382" t="n">
        <v>1</v>
      </c>
      <c r="R382" s="2" t="inlineStr">
        <is>
          <t>Knärot</t>
        </is>
      </c>
      <c r="S382">
        <f>HYPERLINK("https://klasma.github.io/Logging_0380/artfynd/A 28056-2025 artfynd.xlsx", "A 28056-2025")</f>
        <v/>
      </c>
      <c r="T382">
        <f>HYPERLINK("https://klasma.github.io/Logging_0380/kartor/A 28056-2025 karta.png", "A 28056-2025")</f>
        <v/>
      </c>
      <c r="U382">
        <f>HYPERLINK("https://klasma.github.io/Logging_0380/knärot/A 28056-2025 karta knärot.png", "A 28056-2025")</f>
        <v/>
      </c>
      <c r="V382">
        <f>HYPERLINK("https://klasma.github.io/Logging_0380/klagomål/A 28056-2025 FSC-klagomål.docx", "A 28056-2025")</f>
        <v/>
      </c>
      <c r="W382">
        <f>HYPERLINK("https://klasma.github.io/Logging_0380/klagomålsmail/A 28056-2025 FSC-klagomål mail.docx", "A 28056-2025")</f>
        <v/>
      </c>
      <c r="X382">
        <f>HYPERLINK("https://klasma.github.io/Logging_0380/tillsyn/A 28056-2025 tillsynsbegäran.docx", "A 28056-2025")</f>
        <v/>
      </c>
      <c r="Y382">
        <f>HYPERLINK("https://klasma.github.io/Logging_0380/tillsynsmail/A 28056-2025 tillsynsbegäran mail.docx", "A 28056-2025")</f>
        <v/>
      </c>
    </row>
    <row r="383" ht="15" customHeight="1">
      <c r="A383" t="inlineStr">
        <is>
          <t>A 27824-2025</t>
        </is>
      </c>
      <c r="B383" s="1" t="n">
        <v>45817.34614583333</v>
      </c>
      <c r="C383" s="1" t="n">
        <v>46098</v>
      </c>
      <c r="D383" t="inlineStr">
        <is>
          <t>UPPSALA LÄN</t>
        </is>
      </c>
      <c r="E383" t="inlineStr">
        <is>
          <t>UPPSALA</t>
        </is>
      </c>
      <c r="F383" t="inlineStr">
        <is>
          <t>Kyrkan</t>
        </is>
      </c>
      <c r="G383" t="n">
        <v>3.3</v>
      </c>
      <c r="H383" t="n">
        <v>0</v>
      </c>
      <c r="I383" t="n">
        <v>1</v>
      </c>
      <c r="J383" t="n">
        <v>0</v>
      </c>
      <c r="K383" t="n">
        <v>0</v>
      </c>
      <c r="L383" t="n">
        <v>0</v>
      </c>
      <c r="M383" t="n">
        <v>0</v>
      </c>
      <c r="N383" t="n">
        <v>0</v>
      </c>
      <c r="O383" t="n">
        <v>0</v>
      </c>
      <c r="P383" t="n">
        <v>0</v>
      </c>
      <c r="Q383" t="n">
        <v>1</v>
      </c>
      <c r="R383" s="2" t="inlineStr">
        <is>
          <t>Sårläka</t>
        </is>
      </c>
      <c r="S383">
        <f>HYPERLINK("https://klasma.github.io/Logging_0380/artfynd/A 27824-2025 artfynd.xlsx", "A 27824-2025")</f>
        <v/>
      </c>
      <c r="T383">
        <f>HYPERLINK("https://klasma.github.io/Logging_0380/kartor/A 27824-2025 karta.png", "A 27824-2025")</f>
        <v/>
      </c>
      <c r="V383">
        <f>HYPERLINK("https://klasma.github.io/Logging_0380/klagomål/A 27824-2025 FSC-klagomål.docx", "A 27824-2025")</f>
        <v/>
      </c>
      <c r="W383">
        <f>HYPERLINK("https://klasma.github.io/Logging_0380/klagomålsmail/A 27824-2025 FSC-klagomål mail.docx", "A 27824-2025")</f>
        <v/>
      </c>
      <c r="X383">
        <f>HYPERLINK("https://klasma.github.io/Logging_0380/tillsyn/A 27824-2025 tillsynsbegäran.docx", "A 27824-2025")</f>
        <v/>
      </c>
      <c r="Y383">
        <f>HYPERLINK("https://klasma.github.io/Logging_0380/tillsynsmail/A 27824-2025 tillsynsbegäran mail.docx", "A 27824-2025")</f>
        <v/>
      </c>
    </row>
    <row r="384" ht="15" customHeight="1">
      <c r="A384" t="inlineStr">
        <is>
          <t>A 28299-2025</t>
        </is>
      </c>
      <c r="B384" s="1" t="n">
        <v>45818.60254629629</v>
      </c>
      <c r="C384" s="1" t="n">
        <v>46098</v>
      </c>
      <c r="D384" t="inlineStr">
        <is>
          <t>UPPSALA LÄN</t>
        </is>
      </c>
      <c r="E384" t="inlineStr">
        <is>
          <t>UPPSALA</t>
        </is>
      </c>
      <c r="F384" t="inlineStr">
        <is>
          <t>Holmen skog AB</t>
        </is>
      </c>
      <c r="G384" t="n">
        <v>12</v>
      </c>
      <c r="H384" t="n">
        <v>0</v>
      </c>
      <c r="I384" t="n">
        <v>0</v>
      </c>
      <c r="J384" t="n">
        <v>1</v>
      </c>
      <c r="K384" t="n">
        <v>0</v>
      </c>
      <c r="L384" t="n">
        <v>0</v>
      </c>
      <c r="M384" t="n">
        <v>0</v>
      </c>
      <c r="N384" t="n">
        <v>0</v>
      </c>
      <c r="O384" t="n">
        <v>1</v>
      </c>
      <c r="P384" t="n">
        <v>0</v>
      </c>
      <c r="Q384" t="n">
        <v>1</v>
      </c>
      <c r="R384" s="2" t="inlineStr">
        <is>
          <t>Slåtterfibbla</t>
        </is>
      </c>
      <c r="S384">
        <f>HYPERLINK("https://klasma.github.io/Logging_0380/artfynd/A 28299-2025 artfynd.xlsx", "A 28299-2025")</f>
        <v/>
      </c>
      <c r="T384">
        <f>HYPERLINK("https://klasma.github.io/Logging_0380/kartor/A 28299-2025 karta.png", "A 28299-2025")</f>
        <v/>
      </c>
      <c r="V384">
        <f>HYPERLINK("https://klasma.github.io/Logging_0380/klagomål/A 28299-2025 FSC-klagomål.docx", "A 28299-2025")</f>
        <v/>
      </c>
      <c r="W384">
        <f>HYPERLINK("https://klasma.github.io/Logging_0380/klagomålsmail/A 28299-2025 FSC-klagomål mail.docx", "A 28299-2025")</f>
        <v/>
      </c>
      <c r="X384">
        <f>HYPERLINK("https://klasma.github.io/Logging_0380/tillsyn/A 28299-2025 tillsynsbegäran.docx", "A 28299-2025")</f>
        <v/>
      </c>
      <c r="Y384">
        <f>HYPERLINK("https://klasma.github.io/Logging_0380/tillsynsmail/A 28299-2025 tillsynsbegäran mail.docx", "A 28299-2025")</f>
        <v/>
      </c>
    </row>
    <row r="385" ht="15" customHeight="1">
      <c r="A385" t="inlineStr">
        <is>
          <t>A 13526-2025</t>
        </is>
      </c>
      <c r="B385" s="1" t="n">
        <v>45736.49902777778</v>
      </c>
      <c r="C385" s="1" t="n">
        <v>46098</v>
      </c>
      <c r="D385" t="inlineStr">
        <is>
          <t>UPPSALA LÄN</t>
        </is>
      </c>
      <c r="E385" t="inlineStr">
        <is>
          <t>UPPSALA</t>
        </is>
      </c>
      <c r="F385" t="inlineStr">
        <is>
          <t>Allmännings- och besparingsskogar</t>
        </is>
      </c>
      <c r="G385" t="n">
        <v>3</v>
      </c>
      <c r="H385" t="n">
        <v>0</v>
      </c>
      <c r="I385" t="n">
        <v>0</v>
      </c>
      <c r="J385" t="n">
        <v>1</v>
      </c>
      <c r="K385" t="n">
        <v>0</v>
      </c>
      <c r="L385" t="n">
        <v>0</v>
      </c>
      <c r="M385" t="n">
        <v>0</v>
      </c>
      <c r="N385" t="n">
        <v>0</v>
      </c>
      <c r="O385" t="n">
        <v>1</v>
      </c>
      <c r="P385" t="n">
        <v>0</v>
      </c>
      <c r="Q385" t="n">
        <v>1</v>
      </c>
      <c r="R385" s="2" t="inlineStr">
        <is>
          <t>Vedtrappmossa</t>
        </is>
      </c>
      <c r="S385">
        <f>HYPERLINK("https://klasma.github.io/Logging_0380/artfynd/A 13526-2025 artfynd.xlsx", "A 13526-2025")</f>
        <v/>
      </c>
      <c r="T385">
        <f>HYPERLINK("https://klasma.github.io/Logging_0380/kartor/A 13526-2025 karta.png", "A 13526-2025")</f>
        <v/>
      </c>
      <c r="V385">
        <f>HYPERLINK("https://klasma.github.io/Logging_0380/klagomål/A 13526-2025 FSC-klagomål.docx", "A 13526-2025")</f>
        <v/>
      </c>
      <c r="W385">
        <f>HYPERLINK("https://klasma.github.io/Logging_0380/klagomålsmail/A 13526-2025 FSC-klagomål mail.docx", "A 13526-2025")</f>
        <v/>
      </c>
      <c r="X385">
        <f>HYPERLINK("https://klasma.github.io/Logging_0380/tillsyn/A 13526-2025 tillsynsbegäran.docx", "A 13526-2025")</f>
        <v/>
      </c>
      <c r="Y385">
        <f>HYPERLINK("https://klasma.github.io/Logging_0380/tillsynsmail/A 13526-2025 tillsynsbegäran mail.docx", "A 13526-2025")</f>
        <v/>
      </c>
    </row>
    <row r="386" ht="15" customHeight="1">
      <c r="A386" t="inlineStr">
        <is>
          <t>A 44385-2025</t>
        </is>
      </c>
      <c r="B386" s="1" t="n">
        <v>45916.48704861111</v>
      </c>
      <c r="C386" s="1" t="n">
        <v>46098</v>
      </c>
      <c r="D386" t="inlineStr">
        <is>
          <t>UPPSALA LÄN</t>
        </is>
      </c>
      <c r="E386" t="inlineStr">
        <is>
          <t>UPPSALA</t>
        </is>
      </c>
      <c r="F386" t="inlineStr">
        <is>
          <t>Bergvik skog öst AB</t>
        </is>
      </c>
      <c r="G386" t="n">
        <v>6.8</v>
      </c>
      <c r="H386" t="n">
        <v>1</v>
      </c>
      <c r="I386" t="n">
        <v>0</v>
      </c>
      <c r="J386" t="n">
        <v>0</v>
      </c>
      <c r="K386" t="n">
        <v>0</v>
      </c>
      <c r="L386" t="n">
        <v>0</v>
      </c>
      <c r="M386" t="n">
        <v>0</v>
      </c>
      <c r="N386" t="n">
        <v>0</v>
      </c>
      <c r="O386" t="n">
        <v>0</v>
      </c>
      <c r="P386" t="n">
        <v>0</v>
      </c>
      <c r="Q386" t="n">
        <v>1</v>
      </c>
      <c r="R386" s="2" t="inlineStr">
        <is>
          <t>Blåsippa</t>
        </is>
      </c>
      <c r="S386">
        <f>HYPERLINK("https://klasma.github.io/Logging_0380/artfynd/A 44385-2025 artfynd.xlsx", "A 44385-2025")</f>
        <v/>
      </c>
      <c r="T386">
        <f>HYPERLINK("https://klasma.github.io/Logging_0380/kartor/A 44385-2025 karta.png", "A 44385-2025")</f>
        <v/>
      </c>
      <c r="V386">
        <f>HYPERLINK("https://klasma.github.io/Logging_0380/klagomål/A 44385-2025 FSC-klagomål.docx", "A 44385-2025")</f>
        <v/>
      </c>
      <c r="W386">
        <f>HYPERLINK("https://klasma.github.io/Logging_0380/klagomålsmail/A 44385-2025 FSC-klagomål mail.docx", "A 44385-2025")</f>
        <v/>
      </c>
      <c r="X386">
        <f>HYPERLINK("https://klasma.github.io/Logging_0380/tillsyn/A 44385-2025 tillsynsbegäran.docx", "A 44385-2025")</f>
        <v/>
      </c>
      <c r="Y386">
        <f>HYPERLINK("https://klasma.github.io/Logging_0380/tillsynsmail/A 44385-2025 tillsynsbegäran mail.docx", "A 44385-2025")</f>
        <v/>
      </c>
    </row>
    <row r="387" ht="15" customHeight="1">
      <c r="A387" t="inlineStr">
        <is>
          <t>A 57988-2025</t>
        </is>
      </c>
      <c r="B387" s="1" t="n">
        <v>45982.42078703704</v>
      </c>
      <c r="C387" s="1" t="n">
        <v>46098</v>
      </c>
      <c r="D387" t="inlineStr">
        <is>
          <t>UPPSALA LÄN</t>
        </is>
      </c>
      <c r="E387" t="inlineStr">
        <is>
          <t>HEBY</t>
        </is>
      </c>
      <c r="G387" t="n">
        <v>1.8</v>
      </c>
      <c r="H387" t="n">
        <v>1</v>
      </c>
      <c r="I387" t="n">
        <v>0</v>
      </c>
      <c r="J387" t="n">
        <v>0</v>
      </c>
      <c r="K387" t="n">
        <v>0</v>
      </c>
      <c r="L387" t="n">
        <v>0</v>
      </c>
      <c r="M387" t="n">
        <v>0</v>
      </c>
      <c r="N387" t="n">
        <v>0</v>
      </c>
      <c r="O387" t="n">
        <v>0</v>
      </c>
      <c r="P387" t="n">
        <v>0</v>
      </c>
      <c r="Q387" t="n">
        <v>1</v>
      </c>
      <c r="R387" s="2" t="inlineStr">
        <is>
          <t>Revlummer</t>
        </is>
      </c>
      <c r="S387">
        <f>HYPERLINK("https://klasma.github.io/Logging_0331/artfynd/A 57988-2025 artfynd.xlsx", "A 57988-2025")</f>
        <v/>
      </c>
      <c r="T387">
        <f>HYPERLINK("https://klasma.github.io/Logging_0331/kartor/A 57988-2025 karta.png", "A 57988-2025")</f>
        <v/>
      </c>
      <c r="V387">
        <f>HYPERLINK("https://klasma.github.io/Logging_0331/klagomål/A 57988-2025 FSC-klagomål.docx", "A 57988-2025")</f>
        <v/>
      </c>
      <c r="W387">
        <f>HYPERLINK("https://klasma.github.io/Logging_0331/klagomålsmail/A 57988-2025 FSC-klagomål mail.docx", "A 57988-2025")</f>
        <v/>
      </c>
      <c r="X387">
        <f>HYPERLINK("https://klasma.github.io/Logging_0331/tillsyn/A 57988-2025 tillsynsbegäran.docx", "A 57988-2025")</f>
        <v/>
      </c>
      <c r="Y387">
        <f>HYPERLINK("https://klasma.github.io/Logging_0331/tillsynsmail/A 57988-2025 tillsynsbegäran mail.docx", "A 57988-2025")</f>
        <v/>
      </c>
    </row>
    <row r="388" ht="15" customHeight="1">
      <c r="A388" t="inlineStr">
        <is>
          <t>A 57986-2025</t>
        </is>
      </c>
      <c r="B388" s="1" t="n">
        <v>45982.41844907407</v>
      </c>
      <c r="C388" s="1" t="n">
        <v>46098</v>
      </c>
      <c r="D388" t="inlineStr">
        <is>
          <t>UPPSALA LÄN</t>
        </is>
      </c>
      <c r="E388" t="inlineStr">
        <is>
          <t>HEBY</t>
        </is>
      </c>
      <c r="G388" t="n">
        <v>8.1</v>
      </c>
      <c r="H388" t="n">
        <v>1</v>
      </c>
      <c r="I388" t="n">
        <v>0</v>
      </c>
      <c r="J388" t="n">
        <v>0</v>
      </c>
      <c r="K388" t="n">
        <v>0</v>
      </c>
      <c r="L388" t="n">
        <v>0</v>
      </c>
      <c r="M388" t="n">
        <v>0</v>
      </c>
      <c r="N388" t="n">
        <v>0</v>
      </c>
      <c r="O388" t="n">
        <v>0</v>
      </c>
      <c r="P388" t="n">
        <v>0</v>
      </c>
      <c r="Q388" t="n">
        <v>1</v>
      </c>
      <c r="R388" s="2" t="inlineStr">
        <is>
          <t>Revlummer</t>
        </is>
      </c>
      <c r="S388">
        <f>HYPERLINK("https://klasma.github.io/Logging_0331/artfynd/A 57986-2025 artfynd.xlsx", "A 57986-2025")</f>
        <v/>
      </c>
      <c r="T388">
        <f>HYPERLINK("https://klasma.github.io/Logging_0331/kartor/A 57986-2025 karta.png", "A 57986-2025")</f>
        <v/>
      </c>
      <c r="V388">
        <f>HYPERLINK("https://klasma.github.io/Logging_0331/klagomål/A 57986-2025 FSC-klagomål.docx", "A 57986-2025")</f>
        <v/>
      </c>
      <c r="W388">
        <f>HYPERLINK("https://klasma.github.io/Logging_0331/klagomålsmail/A 57986-2025 FSC-klagomål mail.docx", "A 57986-2025")</f>
        <v/>
      </c>
      <c r="X388">
        <f>HYPERLINK("https://klasma.github.io/Logging_0331/tillsyn/A 57986-2025 tillsynsbegäran.docx", "A 57986-2025")</f>
        <v/>
      </c>
      <c r="Y388">
        <f>HYPERLINK("https://klasma.github.io/Logging_0331/tillsynsmail/A 57986-2025 tillsynsbegäran mail.docx", "A 57986-2025")</f>
        <v/>
      </c>
    </row>
    <row r="389" ht="15" customHeight="1">
      <c r="A389" t="inlineStr">
        <is>
          <t>A 58369-2025</t>
        </is>
      </c>
      <c r="B389" s="1" t="n">
        <v>45985.52939814814</v>
      </c>
      <c r="C389" s="1" t="n">
        <v>46098</v>
      </c>
      <c r="D389" t="inlineStr">
        <is>
          <t>UPPSALA LÄN</t>
        </is>
      </c>
      <c r="E389" t="inlineStr">
        <is>
          <t>HEBY</t>
        </is>
      </c>
      <c r="G389" t="n">
        <v>4.6</v>
      </c>
      <c r="H389" t="n">
        <v>1</v>
      </c>
      <c r="I389" t="n">
        <v>0</v>
      </c>
      <c r="J389" t="n">
        <v>1</v>
      </c>
      <c r="K389" t="n">
        <v>0</v>
      </c>
      <c r="L389" t="n">
        <v>0</v>
      </c>
      <c r="M389" t="n">
        <v>0</v>
      </c>
      <c r="N389" t="n">
        <v>0</v>
      </c>
      <c r="O389" t="n">
        <v>1</v>
      </c>
      <c r="P389" t="n">
        <v>0</v>
      </c>
      <c r="Q389" t="n">
        <v>1</v>
      </c>
      <c r="R389" s="2" t="inlineStr">
        <is>
          <t>Spillkråka</t>
        </is>
      </c>
      <c r="S389">
        <f>HYPERLINK("https://klasma.github.io/Logging_0331/artfynd/A 58369-2025 artfynd.xlsx", "A 58369-2025")</f>
        <v/>
      </c>
      <c r="T389">
        <f>HYPERLINK("https://klasma.github.io/Logging_0331/kartor/A 58369-2025 karta.png", "A 58369-2025")</f>
        <v/>
      </c>
      <c r="V389">
        <f>HYPERLINK("https://klasma.github.io/Logging_0331/klagomål/A 58369-2025 FSC-klagomål.docx", "A 58369-2025")</f>
        <v/>
      </c>
      <c r="W389">
        <f>HYPERLINK("https://klasma.github.io/Logging_0331/klagomålsmail/A 58369-2025 FSC-klagomål mail.docx", "A 58369-2025")</f>
        <v/>
      </c>
      <c r="X389">
        <f>HYPERLINK("https://klasma.github.io/Logging_0331/tillsyn/A 58369-2025 tillsynsbegäran.docx", "A 58369-2025")</f>
        <v/>
      </c>
      <c r="Y389">
        <f>HYPERLINK("https://klasma.github.io/Logging_0331/tillsynsmail/A 58369-2025 tillsynsbegäran mail.docx", "A 58369-2025")</f>
        <v/>
      </c>
      <c r="Z389">
        <f>HYPERLINK("https://klasma.github.io/Logging_0331/fåglar/A 58369-2025 prioriterade fågelarter.docx", "A 58369-2025")</f>
        <v/>
      </c>
    </row>
    <row r="390" ht="15" customHeight="1">
      <c r="A390" t="inlineStr">
        <is>
          <t>A 44680-2025</t>
        </is>
      </c>
      <c r="B390" s="1" t="n">
        <v>45917.57564814815</v>
      </c>
      <c r="C390" s="1" t="n">
        <v>46098</v>
      </c>
      <c r="D390" t="inlineStr">
        <is>
          <t>UPPSALA LÄN</t>
        </is>
      </c>
      <c r="E390" t="inlineStr">
        <is>
          <t>TIERP</t>
        </is>
      </c>
      <c r="F390" t="inlineStr">
        <is>
          <t>Bergvik skog väst AB</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HYPERLINK("https://klasma.github.io/Logging_0360/artfynd/A 44680-2025 artfynd.xlsx", "A 44680-2025")</f>
        <v/>
      </c>
      <c r="T390">
        <f>HYPERLINK("https://klasma.github.io/Logging_0360/kartor/A 44680-2025 karta.png", "A 44680-2025")</f>
        <v/>
      </c>
      <c r="V390">
        <f>HYPERLINK("https://klasma.github.io/Logging_0360/klagomål/A 44680-2025 FSC-klagomål.docx", "A 44680-2025")</f>
        <v/>
      </c>
      <c r="W390">
        <f>HYPERLINK("https://klasma.github.io/Logging_0360/klagomålsmail/A 44680-2025 FSC-klagomål mail.docx", "A 44680-2025")</f>
        <v/>
      </c>
      <c r="X390">
        <f>HYPERLINK("https://klasma.github.io/Logging_0360/tillsyn/A 44680-2025 tillsynsbegäran.docx", "A 44680-2025")</f>
        <v/>
      </c>
      <c r="Y390">
        <f>HYPERLINK("https://klasma.github.io/Logging_0360/tillsynsmail/A 44680-2025 tillsynsbegäran mail.docx", "A 44680-2025")</f>
        <v/>
      </c>
      <c r="Z390">
        <f>HYPERLINK("https://klasma.github.io/Logging_0360/fåglar/A 44680-2025 prioriterade fågelarter.docx", "A 44680-2025")</f>
        <v/>
      </c>
    </row>
    <row r="391" ht="15" customHeight="1">
      <c r="A391" t="inlineStr">
        <is>
          <t>A 57983-2025</t>
        </is>
      </c>
      <c r="B391" s="1" t="n">
        <v>45982.41523148148</v>
      </c>
      <c r="C391" s="1" t="n">
        <v>46098</v>
      </c>
      <c r="D391" t="inlineStr">
        <is>
          <t>UPPSALA LÄN</t>
        </is>
      </c>
      <c r="E391" t="inlineStr">
        <is>
          <t>HEBY</t>
        </is>
      </c>
      <c r="G391" t="n">
        <v>1.8</v>
      </c>
      <c r="H391" t="n">
        <v>1</v>
      </c>
      <c r="I391" t="n">
        <v>0</v>
      </c>
      <c r="J391" t="n">
        <v>0</v>
      </c>
      <c r="K391" t="n">
        <v>0</v>
      </c>
      <c r="L391" t="n">
        <v>0</v>
      </c>
      <c r="M391" t="n">
        <v>0</v>
      </c>
      <c r="N391" t="n">
        <v>0</v>
      </c>
      <c r="O391" t="n">
        <v>0</v>
      </c>
      <c r="P391" t="n">
        <v>0</v>
      </c>
      <c r="Q391" t="n">
        <v>1</v>
      </c>
      <c r="R391" s="2" t="inlineStr">
        <is>
          <t>Blåsippa</t>
        </is>
      </c>
      <c r="S391">
        <f>HYPERLINK("https://klasma.github.io/Logging_0331/artfynd/A 57983-2025 artfynd.xlsx", "A 57983-2025")</f>
        <v/>
      </c>
      <c r="T391">
        <f>HYPERLINK("https://klasma.github.io/Logging_0331/kartor/A 57983-2025 karta.png", "A 57983-2025")</f>
        <v/>
      </c>
      <c r="V391">
        <f>HYPERLINK("https://klasma.github.io/Logging_0331/klagomål/A 57983-2025 FSC-klagomål.docx", "A 57983-2025")</f>
        <v/>
      </c>
      <c r="W391">
        <f>HYPERLINK("https://klasma.github.io/Logging_0331/klagomålsmail/A 57983-2025 FSC-klagomål mail.docx", "A 57983-2025")</f>
        <v/>
      </c>
      <c r="X391">
        <f>HYPERLINK("https://klasma.github.io/Logging_0331/tillsyn/A 57983-2025 tillsynsbegäran.docx", "A 57983-2025")</f>
        <v/>
      </c>
      <c r="Y391">
        <f>HYPERLINK("https://klasma.github.io/Logging_0331/tillsynsmail/A 57983-2025 tillsynsbegäran mail.docx", "A 57983-2025")</f>
        <v/>
      </c>
    </row>
    <row r="392" ht="15" customHeight="1">
      <c r="A392" t="inlineStr">
        <is>
          <t>A 29906-2023</t>
        </is>
      </c>
      <c r="B392" s="1" t="n">
        <v>45107</v>
      </c>
      <c r="C392" s="1" t="n">
        <v>46098</v>
      </c>
      <c r="D392" t="inlineStr">
        <is>
          <t>UPPSALA LÄN</t>
        </is>
      </c>
      <c r="E392" t="inlineStr">
        <is>
          <t>UPPSALA</t>
        </is>
      </c>
      <c r="F392" t="inlineStr">
        <is>
          <t>Kyrkan</t>
        </is>
      </c>
      <c r="G392" t="n">
        <v>0.5</v>
      </c>
      <c r="H392" t="n">
        <v>0</v>
      </c>
      <c r="I392" t="n">
        <v>1</v>
      </c>
      <c r="J392" t="n">
        <v>0</v>
      </c>
      <c r="K392" t="n">
        <v>0</v>
      </c>
      <c r="L392" t="n">
        <v>0</v>
      </c>
      <c r="M392" t="n">
        <v>0</v>
      </c>
      <c r="N392" t="n">
        <v>0</v>
      </c>
      <c r="O392" t="n">
        <v>0</v>
      </c>
      <c r="P392" t="n">
        <v>0</v>
      </c>
      <c r="Q392" t="n">
        <v>1</v>
      </c>
      <c r="R392" s="2" t="inlineStr">
        <is>
          <t>Sotriska</t>
        </is>
      </c>
      <c r="S392">
        <f>HYPERLINK("https://klasma.github.io/Logging_0380/artfynd/A 29906-2023 artfynd.xlsx", "A 29906-2023")</f>
        <v/>
      </c>
      <c r="T392">
        <f>HYPERLINK("https://klasma.github.io/Logging_0380/kartor/A 29906-2023 karta.png", "A 29906-2023")</f>
        <v/>
      </c>
      <c r="V392">
        <f>HYPERLINK("https://klasma.github.io/Logging_0380/klagomål/A 29906-2023 FSC-klagomål.docx", "A 29906-2023")</f>
        <v/>
      </c>
      <c r="W392">
        <f>HYPERLINK("https://klasma.github.io/Logging_0380/klagomålsmail/A 29906-2023 FSC-klagomål mail.docx", "A 29906-2023")</f>
        <v/>
      </c>
      <c r="X392">
        <f>HYPERLINK("https://klasma.github.io/Logging_0380/tillsyn/A 29906-2023 tillsynsbegäran.docx", "A 29906-2023")</f>
        <v/>
      </c>
      <c r="Y392">
        <f>HYPERLINK("https://klasma.github.io/Logging_0380/tillsynsmail/A 29906-2023 tillsynsbegäran mail.docx", "A 29906-2023")</f>
        <v/>
      </c>
    </row>
    <row r="393" ht="15" customHeight="1">
      <c r="A393" t="inlineStr">
        <is>
          <t>A 58107-2024</t>
        </is>
      </c>
      <c r="B393" s="1" t="n">
        <v>45632</v>
      </c>
      <c r="C393" s="1" t="n">
        <v>46098</v>
      </c>
      <c r="D393" t="inlineStr">
        <is>
          <t>UPPSALA LÄN</t>
        </is>
      </c>
      <c r="E393" t="inlineStr">
        <is>
          <t>TIERP</t>
        </is>
      </c>
      <c r="G393" t="n">
        <v>0.6</v>
      </c>
      <c r="H393" t="n">
        <v>1</v>
      </c>
      <c r="I393" t="n">
        <v>1</v>
      </c>
      <c r="J393" t="n">
        <v>0</v>
      </c>
      <c r="K393" t="n">
        <v>0</v>
      </c>
      <c r="L393" t="n">
        <v>0</v>
      </c>
      <c r="M393" t="n">
        <v>0</v>
      </c>
      <c r="N393" t="n">
        <v>0</v>
      </c>
      <c r="O393" t="n">
        <v>0</v>
      </c>
      <c r="P393" t="n">
        <v>0</v>
      </c>
      <c r="Q393" t="n">
        <v>1</v>
      </c>
      <c r="R393" s="2" t="inlineStr">
        <is>
          <t>Skogsknipprot</t>
        </is>
      </c>
      <c r="S393">
        <f>HYPERLINK("https://klasma.github.io/Logging_0360/artfynd/A 58107-2024 artfynd.xlsx", "A 58107-2024")</f>
        <v/>
      </c>
      <c r="T393">
        <f>HYPERLINK("https://klasma.github.io/Logging_0360/kartor/A 58107-2024 karta.png", "A 58107-2024")</f>
        <v/>
      </c>
      <c r="V393">
        <f>HYPERLINK("https://klasma.github.io/Logging_0360/klagomål/A 58107-2024 FSC-klagomål.docx", "A 58107-2024")</f>
        <v/>
      </c>
      <c r="W393">
        <f>HYPERLINK("https://klasma.github.io/Logging_0360/klagomålsmail/A 58107-2024 FSC-klagomål mail.docx", "A 58107-2024")</f>
        <v/>
      </c>
      <c r="X393">
        <f>HYPERLINK("https://klasma.github.io/Logging_0360/tillsyn/A 58107-2024 tillsynsbegäran.docx", "A 58107-2024")</f>
        <v/>
      </c>
      <c r="Y393">
        <f>HYPERLINK("https://klasma.github.io/Logging_0360/tillsynsmail/A 58107-2024 tillsynsbegäran mail.docx", "A 58107-2024")</f>
        <v/>
      </c>
    </row>
    <row r="394" ht="15" customHeight="1">
      <c r="A394" t="inlineStr">
        <is>
          <t>A 29664-2025</t>
        </is>
      </c>
      <c r="B394" s="1" t="n">
        <v>45825.49060185185</v>
      </c>
      <c r="C394" s="1" t="n">
        <v>46098</v>
      </c>
      <c r="D394" t="inlineStr">
        <is>
          <t>UPPSALA LÄN</t>
        </is>
      </c>
      <c r="E394" t="inlineStr">
        <is>
          <t>UPPSALA</t>
        </is>
      </c>
      <c r="F394" t="inlineStr">
        <is>
          <t>Holmen skog AB</t>
        </is>
      </c>
      <c r="G394" t="n">
        <v>16.8</v>
      </c>
      <c r="H394" t="n">
        <v>0</v>
      </c>
      <c r="I394" t="n">
        <v>1</v>
      </c>
      <c r="J394" t="n">
        <v>0</v>
      </c>
      <c r="K394" t="n">
        <v>0</v>
      </c>
      <c r="L394" t="n">
        <v>0</v>
      </c>
      <c r="M394" t="n">
        <v>0</v>
      </c>
      <c r="N394" t="n">
        <v>0</v>
      </c>
      <c r="O394" t="n">
        <v>0</v>
      </c>
      <c r="P394" t="n">
        <v>0</v>
      </c>
      <c r="Q394" t="n">
        <v>1</v>
      </c>
      <c r="R394" s="2" t="inlineStr">
        <is>
          <t>Fjällig taggsvamp s.str.</t>
        </is>
      </c>
      <c r="S394">
        <f>HYPERLINK("https://klasma.github.io/Logging_0380/artfynd/A 29664-2025 artfynd.xlsx", "A 29664-2025")</f>
        <v/>
      </c>
      <c r="T394">
        <f>HYPERLINK("https://klasma.github.io/Logging_0380/kartor/A 29664-2025 karta.png", "A 29664-2025")</f>
        <v/>
      </c>
      <c r="V394">
        <f>HYPERLINK("https://klasma.github.io/Logging_0380/klagomål/A 29664-2025 FSC-klagomål.docx", "A 29664-2025")</f>
        <v/>
      </c>
      <c r="W394">
        <f>HYPERLINK("https://klasma.github.io/Logging_0380/klagomålsmail/A 29664-2025 FSC-klagomål mail.docx", "A 29664-2025")</f>
        <v/>
      </c>
      <c r="X394">
        <f>HYPERLINK("https://klasma.github.io/Logging_0380/tillsyn/A 29664-2025 tillsynsbegäran.docx", "A 29664-2025")</f>
        <v/>
      </c>
      <c r="Y394">
        <f>HYPERLINK("https://klasma.github.io/Logging_0380/tillsynsmail/A 29664-2025 tillsynsbegäran mail.docx", "A 29664-2025")</f>
        <v/>
      </c>
    </row>
    <row r="395" ht="15" customHeight="1">
      <c r="A395" t="inlineStr">
        <is>
          <t>A 47584-2025</t>
        </is>
      </c>
      <c r="B395" s="1" t="n">
        <v>45931.43355324074</v>
      </c>
      <c r="C395" s="1" t="n">
        <v>46098</v>
      </c>
      <c r="D395" t="inlineStr">
        <is>
          <t>UPPSALA LÄN</t>
        </is>
      </c>
      <c r="E395" t="inlineStr">
        <is>
          <t>TIERP</t>
        </is>
      </c>
      <c r="F395" t="inlineStr">
        <is>
          <t>Bergvik skog öst AB</t>
        </is>
      </c>
      <c r="G395" t="n">
        <v>5.5</v>
      </c>
      <c r="H395" t="n">
        <v>1</v>
      </c>
      <c r="I395" t="n">
        <v>0</v>
      </c>
      <c r="J395" t="n">
        <v>1</v>
      </c>
      <c r="K395" t="n">
        <v>0</v>
      </c>
      <c r="L395" t="n">
        <v>0</v>
      </c>
      <c r="M395" t="n">
        <v>0</v>
      </c>
      <c r="N395" t="n">
        <v>0</v>
      </c>
      <c r="O395" t="n">
        <v>1</v>
      </c>
      <c r="P395" t="n">
        <v>0</v>
      </c>
      <c r="Q395" t="n">
        <v>1</v>
      </c>
      <c r="R395" s="2" t="inlineStr">
        <is>
          <t>Spillkråka</t>
        </is>
      </c>
      <c r="S395">
        <f>HYPERLINK("https://klasma.github.io/Logging_0360/artfynd/A 47584-2025 artfynd.xlsx", "A 47584-2025")</f>
        <v/>
      </c>
      <c r="T395">
        <f>HYPERLINK("https://klasma.github.io/Logging_0360/kartor/A 47584-2025 karta.png", "A 47584-2025")</f>
        <v/>
      </c>
      <c r="V395">
        <f>HYPERLINK("https://klasma.github.io/Logging_0360/klagomål/A 47584-2025 FSC-klagomål.docx", "A 47584-2025")</f>
        <v/>
      </c>
      <c r="W395">
        <f>HYPERLINK("https://klasma.github.io/Logging_0360/klagomålsmail/A 47584-2025 FSC-klagomål mail.docx", "A 47584-2025")</f>
        <v/>
      </c>
      <c r="X395">
        <f>HYPERLINK("https://klasma.github.io/Logging_0360/tillsyn/A 47584-2025 tillsynsbegäran.docx", "A 47584-2025")</f>
        <v/>
      </c>
      <c r="Y395">
        <f>HYPERLINK("https://klasma.github.io/Logging_0360/tillsynsmail/A 47584-2025 tillsynsbegäran mail.docx", "A 47584-2025")</f>
        <v/>
      </c>
      <c r="Z395">
        <f>HYPERLINK("https://klasma.github.io/Logging_0360/fåglar/A 47584-2025 prioriterade fågelarter.docx", "A 47584-2025")</f>
        <v/>
      </c>
    </row>
    <row r="396" ht="15" customHeight="1">
      <c r="A396" t="inlineStr">
        <is>
          <t>A 49776-2025</t>
        </is>
      </c>
      <c r="B396" s="1" t="n">
        <v>45940.3791087963</v>
      </c>
      <c r="C396" s="1" t="n">
        <v>46098</v>
      </c>
      <c r="D396" t="inlineStr">
        <is>
          <t>UPPSALA LÄN</t>
        </is>
      </c>
      <c r="E396" t="inlineStr">
        <is>
          <t>TIERP</t>
        </is>
      </c>
      <c r="F396" t="inlineStr">
        <is>
          <t>Bergvik skog öst AB</t>
        </is>
      </c>
      <c r="G396" t="n">
        <v>5.2</v>
      </c>
      <c r="H396" t="n">
        <v>1</v>
      </c>
      <c r="I396" t="n">
        <v>0</v>
      </c>
      <c r="J396" t="n">
        <v>0</v>
      </c>
      <c r="K396" t="n">
        <v>0</v>
      </c>
      <c r="L396" t="n">
        <v>0</v>
      </c>
      <c r="M396" t="n">
        <v>0</v>
      </c>
      <c r="N396" t="n">
        <v>0</v>
      </c>
      <c r="O396" t="n">
        <v>0</v>
      </c>
      <c r="P396" t="n">
        <v>0</v>
      </c>
      <c r="Q396" t="n">
        <v>1</v>
      </c>
      <c r="R396" s="2" t="inlineStr">
        <is>
          <t>Kopparödla</t>
        </is>
      </c>
      <c r="S396">
        <f>HYPERLINK("https://klasma.github.io/Logging_0360/artfynd/A 49776-2025 artfynd.xlsx", "A 49776-2025")</f>
        <v/>
      </c>
      <c r="T396">
        <f>HYPERLINK("https://klasma.github.io/Logging_0360/kartor/A 49776-2025 karta.png", "A 49776-2025")</f>
        <v/>
      </c>
      <c r="V396">
        <f>HYPERLINK("https://klasma.github.io/Logging_0360/klagomål/A 49776-2025 FSC-klagomål.docx", "A 49776-2025")</f>
        <v/>
      </c>
      <c r="W396">
        <f>HYPERLINK("https://klasma.github.io/Logging_0360/klagomålsmail/A 49776-2025 FSC-klagomål mail.docx", "A 49776-2025")</f>
        <v/>
      </c>
      <c r="X396">
        <f>HYPERLINK("https://klasma.github.io/Logging_0360/tillsyn/A 49776-2025 tillsynsbegäran.docx", "A 49776-2025")</f>
        <v/>
      </c>
      <c r="Y396">
        <f>HYPERLINK("https://klasma.github.io/Logging_0360/tillsynsmail/A 49776-2025 tillsynsbegäran mail.docx", "A 49776-2025")</f>
        <v/>
      </c>
    </row>
    <row r="397" ht="15" customHeight="1">
      <c r="A397" t="inlineStr">
        <is>
          <t>A 10455-2022</t>
        </is>
      </c>
      <c r="B397" s="1" t="n">
        <v>44623</v>
      </c>
      <c r="C397" s="1" t="n">
        <v>46098</v>
      </c>
      <c r="D397" t="inlineStr">
        <is>
          <t>UPPSALA LÄN</t>
        </is>
      </c>
      <c r="E397" t="inlineStr">
        <is>
          <t>ÄLVKARLEBY</t>
        </is>
      </c>
      <c r="F397" t="inlineStr">
        <is>
          <t>Bergvik skog öst AB</t>
        </is>
      </c>
      <c r="G397" t="n">
        <v>1.1</v>
      </c>
      <c r="H397" t="n">
        <v>0</v>
      </c>
      <c r="I397" t="n">
        <v>0</v>
      </c>
      <c r="J397" t="n">
        <v>1</v>
      </c>
      <c r="K397" t="n">
        <v>0</v>
      </c>
      <c r="L397" t="n">
        <v>0</v>
      </c>
      <c r="M397" t="n">
        <v>0</v>
      </c>
      <c r="N397" t="n">
        <v>0</v>
      </c>
      <c r="O397" t="n">
        <v>1</v>
      </c>
      <c r="P397" t="n">
        <v>0</v>
      </c>
      <c r="Q397" t="n">
        <v>1</v>
      </c>
      <c r="R397" s="2" t="inlineStr">
        <is>
          <t>Sandviol</t>
        </is>
      </c>
      <c r="S397">
        <f>HYPERLINK("https://klasma.github.io/Logging_0319/artfynd/A 10455-2022 artfynd.xlsx", "A 10455-2022")</f>
        <v/>
      </c>
      <c r="T397">
        <f>HYPERLINK("https://klasma.github.io/Logging_0319/kartor/A 10455-2022 karta.png", "A 10455-2022")</f>
        <v/>
      </c>
      <c r="V397">
        <f>HYPERLINK("https://klasma.github.io/Logging_0319/klagomål/A 10455-2022 FSC-klagomål.docx", "A 10455-2022")</f>
        <v/>
      </c>
      <c r="W397">
        <f>HYPERLINK("https://klasma.github.io/Logging_0319/klagomålsmail/A 10455-2022 FSC-klagomål mail.docx", "A 10455-2022")</f>
        <v/>
      </c>
      <c r="X397">
        <f>HYPERLINK("https://klasma.github.io/Logging_0319/tillsyn/A 10455-2022 tillsynsbegäran.docx", "A 10455-2022")</f>
        <v/>
      </c>
      <c r="Y397">
        <f>HYPERLINK("https://klasma.github.io/Logging_0319/tillsynsmail/A 10455-2022 tillsynsbegäran mail.docx", "A 10455-2022")</f>
        <v/>
      </c>
    </row>
    <row r="398" ht="15" customHeight="1">
      <c r="A398" t="inlineStr">
        <is>
          <t>A 30605-2025</t>
        </is>
      </c>
      <c r="B398" s="1" t="n">
        <v>45831.45510416666</v>
      </c>
      <c r="C398" s="1" t="n">
        <v>46098</v>
      </c>
      <c r="D398" t="inlineStr">
        <is>
          <t>UPPSALA LÄN</t>
        </is>
      </c>
      <c r="E398" t="inlineStr">
        <is>
          <t>ÖSTHAMMAR</t>
        </is>
      </c>
      <c r="G398" t="n">
        <v>1.7</v>
      </c>
      <c r="H398" t="n">
        <v>0</v>
      </c>
      <c r="I398" t="n">
        <v>0</v>
      </c>
      <c r="J398" t="n">
        <v>0</v>
      </c>
      <c r="K398" t="n">
        <v>1</v>
      </c>
      <c r="L398" t="n">
        <v>0</v>
      </c>
      <c r="M398" t="n">
        <v>0</v>
      </c>
      <c r="N398" t="n">
        <v>0</v>
      </c>
      <c r="O398" t="n">
        <v>1</v>
      </c>
      <c r="P398" t="n">
        <v>1</v>
      </c>
      <c r="Q398" t="n">
        <v>1</v>
      </c>
      <c r="R398" s="2" t="inlineStr">
        <is>
          <t>Plattsäv</t>
        </is>
      </c>
      <c r="S398">
        <f>HYPERLINK("https://klasma.github.io/Logging_0382/artfynd/A 30605-2025 artfynd.xlsx", "A 30605-2025")</f>
        <v/>
      </c>
      <c r="T398">
        <f>HYPERLINK("https://klasma.github.io/Logging_0382/kartor/A 30605-2025 karta.png", "A 30605-2025")</f>
        <v/>
      </c>
      <c r="V398">
        <f>HYPERLINK("https://klasma.github.io/Logging_0382/klagomål/A 30605-2025 FSC-klagomål.docx", "A 30605-2025")</f>
        <v/>
      </c>
      <c r="W398">
        <f>HYPERLINK("https://klasma.github.io/Logging_0382/klagomålsmail/A 30605-2025 FSC-klagomål mail.docx", "A 30605-2025")</f>
        <v/>
      </c>
      <c r="X398">
        <f>HYPERLINK("https://klasma.github.io/Logging_0382/tillsyn/A 30605-2025 tillsynsbegäran.docx", "A 30605-2025")</f>
        <v/>
      </c>
      <c r="Y398">
        <f>HYPERLINK("https://klasma.github.io/Logging_0382/tillsynsmail/A 30605-2025 tillsynsbegäran mail.docx", "A 30605-2025")</f>
        <v/>
      </c>
    </row>
    <row r="399" ht="15" customHeight="1">
      <c r="A399" t="inlineStr">
        <is>
          <t>A 45460-2025</t>
        </is>
      </c>
      <c r="B399" s="1" t="n">
        <v>45922.49263888889</v>
      </c>
      <c r="C399" s="1" t="n">
        <v>46098</v>
      </c>
      <c r="D399" t="inlineStr">
        <is>
          <t>UPPSALA LÄN</t>
        </is>
      </c>
      <c r="E399" t="inlineStr">
        <is>
          <t>TIERP</t>
        </is>
      </c>
      <c r="G399" t="n">
        <v>4.2</v>
      </c>
      <c r="H399" t="n">
        <v>0</v>
      </c>
      <c r="I399" t="n">
        <v>1</v>
      </c>
      <c r="J399" t="n">
        <v>0</v>
      </c>
      <c r="K399" t="n">
        <v>0</v>
      </c>
      <c r="L399" t="n">
        <v>0</v>
      </c>
      <c r="M399" t="n">
        <v>0</v>
      </c>
      <c r="N399" t="n">
        <v>0</v>
      </c>
      <c r="O399" t="n">
        <v>0</v>
      </c>
      <c r="P399" t="n">
        <v>0</v>
      </c>
      <c r="Q399" t="n">
        <v>1</v>
      </c>
      <c r="R399" s="2" t="inlineStr">
        <is>
          <t>Vårärt</t>
        </is>
      </c>
      <c r="S399">
        <f>HYPERLINK("https://klasma.github.io/Logging_0360/artfynd/A 45460-2025 artfynd.xlsx", "A 45460-2025")</f>
        <v/>
      </c>
      <c r="T399">
        <f>HYPERLINK("https://klasma.github.io/Logging_0360/kartor/A 45460-2025 karta.png", "A 45460-2025")</f>
        <v/>
      </c>
      <c r="V399">
        <f>HYPERLINK("https://klasma.github.io/Logging_0360/klagomål/A 45460-2025 FSC-klagomål.docx", "A 45460-2025")</f>
        <v/>
      </c>
      <c r="W399">
        <f>HYPERLINK("https://klasma.github.io/Logging_0360/klagomålsmail/A 45460-2025 FSC-klagomål mail.docx", "A 45460-2025")</f>
        <v/>
      </c>
      <c r="X399">
        <f>HYPERLINK("https://klasma.github.io/Logging_0360/tillsyn/A 45460-2025 tillsynsbegäran.docx", "A 45460-2025")</f>
        <v/>
      </c>
      <c r="Y399">
        <f>HYPERLINK("https://klasma.github.io/Logging_0360/tillsynsmail/A 45460-2025 tillsynsbegäran mail.docx", "A 45460-2025")</f>
        <v/>
      </c>
    </row>
    <row r="400" ht="15" customHeight="1">
      <c r="A400" t="inlineStr">
        <is>
          <t>A 59993-2025</t>
        </is>
      </c>
      <c r="B400" s="1" t="n">
        <v>45993.56505787037</v>
      </c>
      <c r="C400" s="1" t="n">
        <v>46098</v>
      </c>
      <c r="D400" t="inlineStr">
        <is>
          <t>UPPSALA LÄN</t>
        </is>
      </c>
      <c r="E400" t="inlineStr">
        <is>
          <t>ÄLVKARLEBY</t>
        </is>
      </c>
      <c r="F400" t="inlineStr">
        <is>
          <t>Bergvik skog väst AB</t>
        </is>
      </c>
      <c r="G400" t="n">
        <v>18.6</v>
      </c>
      <c r="H400" t="n">
        <v>1</v>
      </c>
      <c r="I400" t="n">
        <v>1</v>
      </c>
      <c r="J400" t="n">
        <v>0</v>
      </c>
      <c r="K400" t="n">
        <v>0</v>
      </c>
      <c r="L400" t="n">
        <v>0</v>
      </c>
      <c r="M400" t="n">
        <v>0</v>
      </c>
      <c r="N400" t="n">
        <v>0</v>
      </c>
      <c r="O400" t="n">
        <v>0</v>
      </c>
      <c r="P400" t="n">
        <v>0</v>
      </c>
      <c r="Q400" t="n">
        <v>1</v>
      </c>
      <c r="R400" s="2" t="inlineStr">
        <is>
          <t>Skogsknipprot</t>
        </is>
      </c>
      <c r="S400">
        <f>HYPERLINK("https://klasma.github.io/Logging_0319/artfynd/A 59993-2025 artfynd.xlsx", "A 59993-2025")</f>
        <v/>
      </c>
      <c r="T400">
        <f>HYPERLINK("https://klasma.github.io/Logging_0319/kartor/A 59993-2025 karta.png", "A 59993-2025")</f>
        <v/>
      </c>
      <c r="V400">
        <f>HYPERLINK("https://klasma.github.io/Logging_0319/klagomål/A 59993-2025 FSC-klagomål.docx", "A 59993-2025")</f>
        <v/>
      </c>
      <c r="W400">
        <f>HYPERLINK("https://klasma.github.io/Logging_0319/klagomålsmail/A 59993-2025 FSC-klagomål mail.docx", "A 59993-2025")</f>
        <v/>
      </c>
      <c r="X400">
        <f>HYPERLINK("https://klasma.github.io/Logging_0319/tillsyn/A 59993-2025 tillsynsbegäran.docx", "A 59993-2025")</f>
        <v/>
      </c>
      <c r="Y400">
        <f>HYPERLINK("https://klasma.github.io/Logging_0319/tillsynsmail/A 59993-2025 tillsynsbegäran mail.docx", "A 59993-2025")</f>
        <v/>
      </c>
    </row>
    <row r="401" ht="15" customHeight="1">
      <c r="A401" t="inlineStr">
        <is>
          <t>A 27855-2025</t>
        </is>
      </c>
      <c r="B401" s="1" t="n">
        <v>45817</v>
      </c>
      <c r="C401" s="1" t="n">
        <v>46098</v>
      </c>
      <c r="D401" t="inlineStr">
        <is>
          <t>UPPSALA LÄN</t>
        </is>
      </c>
      <c r="E401" t="inlineStr">
        <is>
          <t>TIERP</t>
        </is>
      </c>
      <c r="G401" t="n">
        <v>7.5</v>
      </c>
      <c r="H401" t="n">
        <v>0</v>
      </c>
      <c r="I401" t="n">
        <v>1</v>
      </c>
      <c r="J401" t="n">
        <v>0</v>
      </c>
      <c r="K401" t="n">
        <v>0</v>
      </c>
      <c r="L401" t="n">
        <v>0</v>
      </c>
      <c r="M401" t="n">
        <v>0</v>
      </c>
      <c r="N401" t="n">
        <v>0</v>
      </c>
      <c r="O401" t="n">
        <v>0</v>
      </c>
      <c r="P401" t="n">
        <v>0</v>
      </c>
      <c r="Q401" t="n">
        <v>1</v>
      </c>
      <c r="R401" s="2" t="inlineStr">
        <is>
          <t>Zontaggsvamp</t>
        </is>
      </c>
      <c r="S401">
        <f>HYPERLINK("https://klasma.github.io/Logging_0360/artfynd/A 27855-2025 artfynd.xlsx", "A 27855-2025")</f>
        <v/>
      </c>
      <c r="T401">
        <f>HYPERLINK("https://klasma.github.io/Logging_0360/kartor/A 27855-2025 karta.png", "A 27855-2025")</f>
        <v/>
      </c>
      <c r="V401">
        <f>HYPERLINK("https://klasma.github.io/Logging_0360/klagomål/A 27855-2025 FSC-klagomål.docx", "A 27855-2025")</f>
        <v/>
      </c>
      <c r="W401">
        <f>HYPERLINK("https://klasma.github.io/Logging_0360/klagomålsmail/A 27855-2025 FSC-klagomål mail.docx", "A 27855-2025")</f>
        <v/>
      </c>
      <c r="X401">
        <f>HYPERLINK("https://klasma.github.io/Logging_0360/tillsyn/A 27855-2025 tillsynsbegäran.docx", "A 27855-2025")</f>
        <v/>
      </c>
      <c r="Y401">
        <f>HYPERLINK("https://klasma.github.io/Logging_0360/tillsynsmail/A 27855-2025 tillsynsbegäran mail.docx", "A 27855-2025")</f>
        <v/>
      </c>
    </row>
    <row r="402" ht="15" customHeight="1">
      <c r="A402" t="inlineStr">
        <is>
          <t>A 7446-2022</t>
        </is>
      </c>
      <c r="B402" s="1" t="n">
        <v>44606</v>
      </c>
      <c r="C402" s="1" t="n">
        <v>46098</v>
      </c>
      <c r="D402" t="inlineStr">
        <is>
          <t>UPPSALA LÄN</t>
        </is>
      </c>
      <c r="E402" t="inlineStr">
        <is>
          <t>ÖSTHAMMAR</t>
        </is>
      </c>
      <c r="G402" t="n">
        <v>5</v>
      </c>
      <c r="H402" t="n">
        <v>1</v>
      </c>
      <c r="I402" t="n">
        <v>0</v>
      </c>
      <c r="J402" t="n">
        <v>0</v>
      </c>
      <c r="K402" t="n">
        <v>0</v>
      </c>
      <c r="L402" t="n">
        <v>0</v>
      </c>
      <c r="M402" t="n">
        <v>0</v>
      </c>
      <c r="N402" t="n">
        <v>0</v>
      </c>
      <c r="O402" t="n">
        <v>0</v>
      </c>
      <c r="P402" t="n">
        <v>0</v>
      </c>
      <c r="Q402" t="n">
        <v>1</v>
      </c>
      <c r="R402" s="2" t="inlineStr">
        <is>
          <t>Mattlummer</t>
        </is>
      </c>
      <c r="S402">
        <f>HYPERLINK("https://klasma.github.io/Logging_0382/artfynd/A 7446-2022 artfynd.xlsx", "A 7446-2022")</f>
        <v/>
      </c>
      <c r="T402">
        <f>HYPERLINK("https://klasma.github.io/Logging_0382/kartor/A 7446-2022 karta.png", "A 7446-2022")</f>
        <v/>
      </c>
      <c r="V402">
        <f>HYPERLINK("https://klasma.github.io/Logging_0382/klagomål/A 7446-2022 FSC-klagomål.docx", "A 7446-2022")</f>
        <v/>
      </c>
      <c r="W402">
        <f>HYPERLINK("https://klasma.github.io/Logging_0382/klagomålsmail/A 7446-2022 FSC-klagomål mail.docx", "A 7446-2022")</f>
        <v/>
      </c>
      <c r="X402">
        <f>HYPERLINK("https://klasma.github.io/Logging_0382/tillsyn/A 7446-2022 tillsynsbegäran.docx", "A 7446-2022")</f>
        <v/>
      </c>
      <c r="Y402">
        <f>HYPERLINK("https://klasma.github.io/Logging_0382/tillsynsmail/A 7446-2022 tillsynsbegäran mail.docx", "A 7446-2022")</f>
        <v/>
      </c>
    </row>
    <row r="403" ht="15" customHeight="1">
      <c r="A403" t="inlineStr">
        <is>
          <t>A 844-2025</t>
        </is>
      </c>
      <c r="B403" s="1" t="n">
        <v>45665</v>
      </c>
      <c r="C403" s="1" t="n">
        <v>46098</v>
      </c>
      <c r="D403" t="inlineStr">
        <is>
          <t>UPPSALA LÄN</t>
        </is>
      </c>
      <c r="E403" t="inlineStr">
        <is>
          <t>UPPSALA</t>
        </is>
      </c>
      <c r="G403" t="n">
        <v>2.6</v>
      </c>
      <c r="H403" t="n">
        <v>1</v>
      </c>
      <c r="I403" t="n">
        <v>0</v>
      </c>
      <c r="J403" t="n">
        <v>0</v>
      </c>
      <c r="K403" t="n">
        <v>0</v>
      </c>
      <c r="L403" t="n">
        <v>0</v>
      </c>
      <c r="M403" t="n">
        <v>0</v>
      </c>
      <c r="N403" t="n">
        <v>0</v>
      </c>
      <c r="O403" t="n">
        <v>0</v>
      </c>
      <c r="P403" t="n">
        <v>0</v>
      </c>
      <c r="Q403" t="n">
        <v>1</v>
      </c>
      <c r="R403" s="2" t="inlineStr">
        <is>
          <t>Tjäder</t>
        </is>
      </c>
      <c r="S403">
        <f>HYPERLINK("https://klasma.github.io/Logging_0380/artfynd/A 844-2025 artfynd.xlsx", "A 844-2025")</f>
        <v/>
      </c>
      <c r="T403">
        <f>HYPERLINK("https://klasma.github.io/Logging_0380/kartor/A 844-2025 karta.png", "A 844-2025")</f>
        <v/>
      </c>
      <c r="V403">
        <f>HYPERLINK("https://klasma.github.io/Logging_0380/klagomål/A 844-2025 FSC-klagomål.docx", "A 844-2025")</f>
        <v/>
      </c>
      <c r="W403">
        <f>HYPERLINK("https://klasma.github.io/Logging_0380/klagomålsmail/A 844-2025 FSC-klagomål mail.docx", "A 844-2025")</f>
        <v/>
      </c>
      <c r="X403">
        <f>HYPERLINK("https://klasma.github.io/Logging_0380/tillsyn/A 844-2025 tillsynsbegäran.docx", "A 844-2025")</f>
        <v/>
      </c>
      <c r="Y403">
        <f>HYPERLINK("https://klasma.github.io/Logging_0380/tillsynsmail/A 844-2025 tillsynsbegäran mail.docx", "A 844-2025")</f>
        <v/>
      </c>
      <c r="Z403">
        <f>HYPERLINK("https://klasma.github.io/Logging_0380/fåglar/A 844-2025 prioriterade fågelarter.docx", "A 844-2025")</f>
        <v/>
      </c>
    </row>
    <row r="404" ht="15" customHeight="1">
      <c r="A404" t="inlineStr">
        <is>
          <t>A 17942-2024</t>
        </is>
      </c>
      <c r="B404" s="1" t="n">
        <v>45419</v>
      </c>
      <c r="C404" s="1" t="n">
        <v>46098</v>
      </c>
      <c r="D404" t="inlineStr">
        <is>
          <t>UPPSALA LÄN</t>
        </is>
      </c>
      <c r="E404" t="inlineStr">
        <is>
          <t>ENKÖPING</t>
        </is>
      </c>
      <c r="G404" t="n">
        <v>0.8</v>
      </c>
      <c r="H404" t="n">
        <v>0</v>
      </c>
      <c r="I404" t="n">
        <v>0</v>
      </c>
      <c r="J404" t="n">
        <v>1</v>
      </c>
      <c r="K404" t="n">
        <v>0</v>
      </c>
      <c r="L404" t="n">
        <v>0</v>
      </c>
      <c r="M404" t="n">
        <v>0</v>
      </c>
      <c r="N404" t="n">
        <v>0</v>
      </c>
      <c r="O404" t="n">
        <v>1</v>
      </c>
      <c r="P404" t="n">
        <v>0</v>
      </c>
      <c r="Q404" t="n">
        <v>1</v>
      </c>
      <c r="R404" s="2" t="inlineStr">
        <is>
          <t>Ängsskära</t>
        </is>
      </c>
      <c r="S404">
        <f>HYPERLINK("https://klasma.github.io/Logging_0381/artfynd/A 17942-2024 artfynd.xlsx", "A 17942-2024")</f>
        <v/>
      </c>
      <c r="T404">
        <f>HYPERLINK("https://klasma.github.io/Logging_0381/kartor/A 17942-2024 karta.png", "A 17942-2024")</f>
        <v/>
      </c>
      <c r="V404">
        <f>HYPERLINK("https://klasma.github.io/Logging_0381/klagomål/A 17942-2024 FSC-klagomål.docx", "A 17942-2024")</f>
        <v/>
      </c>
      <c r="W404">
        <f>HYPERLINK("https://klasma.github.io/Logging_0381/klagomålsmail/A 17942-2024 FSC-klagomål mail.docx", "A 17942-2024")</f>
        <v/>
      </c>
      <c r="X404">
        <f>HYPERLINK("https://klasma.github.io/Logging_0381/tillsyn/A 17942-2024 tillsynsbegäran.docx", "A 17942-2024")</f>
        <v/>
      </c>
      <c r="Y404">
        <f>HYPERLINK("https://klasma.github.io/Logging_0381/tillsynsmail/A 17942-2024 tillsynsbegäran mail.docx", "A 17942-2024")</f>
        <v/>
      </c>
    </row>
    <row r="405" ht="15" customHeight="1">
      <c r="A405" t="inlineStr">
        <is>
          <t>A 54835-2025</t>
        </is>
      </c>
      <c r="B405" s="1" t="n">
        <v>45966.67909722222</v>
      </c>
      <c r="C405" s="1" t="n">
        <v>46098</v>
      </c>
      <c r="D405" t="inlineStr">
        <is>
          <t>UPPSALA LÄN</t>
        </is>
      </c>
      <c r="E405" t="inlineStr">
        <is>
          <t>TIERP</t>
        </is>
      </c>
      <c r="F405" t="inlineStr">
        <is>
          <t>Bergvik skog öst AB</t>
        </is>
      </c>
      <c r="G405" t="n">
        <v>2.8</v>
      </c>
      <c r="H405" t="n">
        <v>1</v>
      </c>
      <c r="I405" t="n">
        <v>0</v>
      </c>
      <c r="J405" t="n">
        <v>0</v>
      </c>
      <c r="K405" t="n">
        <v>1</v>
      </c>
      <c r="L405" t="n">
        <v>0</v>
      </c>
      <c r="M405" t="n">
        <v>0</v>
      </c>
      <c r="N405" t="n">
        <v>0</v>
      </c>
      <c r="O405" t="n">
        <v>1</v>
      </c>
      <c r="P405" t="n">
        <v>1</v>
      </c>
      <c r="Q405" t="n">
        <v>1</v>
      </c>
      <c r="R405" s="2" t="inlineStr">
        <is>
          <t>Knärot</t>
        </is>
      </c>
      <c r="S405">
        <f>HYPERLINK("https://klasma.github.io/Logging_0360/artfynd/A 54835-2025 artfynd.xlsx", "A 54835-2025")</f>
        <v/>
      </c>
      <c r="T405">
        <f>HYPERLINK("https://klasma.github.io/Logging_0360/kartor/A 54835-2025 karta.png", "A 54835-2025")</f>
        <v/>
      </c>
      <c r="U405">
        <f>HYPERLINK("https://klasma.github.io/Logging_0360/knärot/A 54835-2025 karta knärot.png", "A 54835-2025")</f>
        <v/>
      </c>
      <c r="V405">
        <f>HYPERLINK("https://klasma.github.io/Logging_0360/klagomål/A 54835-2025 FSC-klagomål.docx", "A 54835-2025")</f>
        <v/>
      </c>
      <c r="W405">
        <f>HYPERLINK("https://klasma.github.io/Logging_0360/klagomålsmail/A 54835-2025 FSC-klagomål mail.docx", "A 54835-2025")</f>
        <v/>
      </c>
      <c r="X405">
        <f>HYPERLINK("https://klasma.github.io/Logging_0360/tillsyn/A 54835-2025 tillsynsbegäran.docx", "A 54835-2025")</f>
        <v/>
      </c>
      <c r="Y405">
        <f>HYPERLINK("https://klasma.github.io/Logging_0360/tillsynsmail/A 54835-2025 tillsynsbegäran mail.docx", "A 54835-2025")</f>
        <v/>
      </c>
    </row>
    <row r="406" ht="15" customHeight="1">
      <c r="A406" t="inlineStr">
        <is>
          <t>A 61374-2025</t>
        </is>
      </c>
      <c r="B406" s="1" t="n">
        <v>46001.44021990741</v>
      </c>
      <c r="C406" s="1" t="n">
        <v>46098</v>
      </c>
      <c r="D406" t="inlineStr">
        <is>
          <t>UPPSALA LÄN</t>
        </is>
      </c>
      <c r="E406" t="inlineStr">
        <is>
          <t>UPPSALA</t>
        </is>
      </c>
      <c r="F406" t="inlineStr">
        <is>
          <t>Holmen skog AB</t>
        </is>
      </c>
      <c r="G406" t="n">
        <v>6.2</v>
      </c>
      <c r="H406" t="n">
        <v>0</v>
      </c>
      <c r="I406" t="n">
        <v>1</v>
      </c>
      <c r="J406" t="n">
        <v>0</v>
      </c>
      <c r="K406" t="n">
        <v>0</v>
      </c>
      <c r="L406" t="n">
        <v>0</v>
      </c>
      <c r="M406" t="n">
        <v>0</v>
      </c>
      <c r="N406" t="n">
        <v>0</v>
      </c>
      <c r="O406" t="n">
        <v>0</v>
      </c>
      <c r="P406" t="n">
        <v>0</v>
      </c>
      <c r="Q406" t="n">
        <v>1</v>
      </c>
      <c r="R406" s="2" t="inlineStr">
        <is>
          <t>Tibast</t>
        </is>
      </c>
      <c r="S406">
        <f>HYPERLINK("https://klasma.github.io/Logging_0380/artfynd/A 61374-2025 artfynd.xlsx", "A 61374-2025")</f>
        <v/>
      </c>
      <c r="T406">
        <f>HYPERLINK("https://klasma.github.io/Logging_0380/kartor/A 61374-2025 karta.png", "A 61374-2025")</f>
        <v/>
      </c>
      <c r="V406">
        <f>HYPERLINK("https://klasma.github.io/Logging_0380/klagomål/A 61374-2025 FSC-klagomål.docx", "A 61374-2025")</f>
        <v/>
      </c>
      <c r="W406">
        <f>HYPERLINK("https://klasma.github.io/Logging_0380/klagomålsmail/A 61374-2025 FSC-klagomål mail.docx", "A 61374-2025")</f>
        <v/>
      </c>
      <c r="X406">
        <f>HYPERLINK("https://klasma.github.io/Logging_0380/tillsyn/A 61374-2025 tillsynsbegäran.docx", "A 61374-2025")</f>
        <v/>
      </c>
      <c r="Y406">
        <f>HYPERLINK("https://klasma.github.io/Logging_0380/tillsynsmail/A 61374-2025 tillsynsbegäran mail.docx", "A 61374-2025")</f>
        <v/>
      </c>
    </row>
    <row r="407" ht="15" customHeight="1">
      <c r="A407" t="inlineStr">
        <is>
          <t>A 61410-2025</t>
        </is>
      </c>
      <c r="B407" s="1" t="n">
        <v>46001.51974537037</v>
      </c>
      <c r="C407" s="1" t="n">
        <v>46098</v>
      </c>
      <c r="D407" t="inlineStr">
        <is>
          <t>UPPSALA LÄN</t>
        </is>
      </c>
      <c r="E407" t="inlineStr">
        <is>
          <t>ÖSTHAMMAR</t>
        </is>
      </c>
      <c r="G407" t="n">
        <v>3.5</v>
      </c>
      <c r="H407" t="n">
        <v>0</v>
      </c>
      <c r="I407" t="n">
        <v>1</v>
      </c>
      <c r="J407" t="n">
        <v>0</v>
      </c>
      <c r="K407" t="n">
        <v>0</v>
      </c>
      <c r="L407" t="n">
        <v>0</v>
      </c>
      <c r="M407" t="n">
        <v>0</v>
      </c>
      <c r="N407" t="n">
        <v>0</v>
      </c>
      <c r="O407" t="n">
        <v>0</v>
      </c>
      <c r="P407" t="n">
        <v>0</v>
      </c>
      <c r="Q407" t="n">
        <v>1</v>
      </c>
      <c r="R407" s="2" t="inlineStr">
        <is>
          <t>Trådticka</t>
        </is>
      </c>
      <c r="S407">
        <f>HYPERLINK("https://klasma.github.io/Logging_0382/artfynd/A 61410-2025 artfynd.xlsx", "A 61410-2025")</f>
        <v/>
      </c>
      <c r="T407">
        <f>HYPERLINK("https://klasma.github.io/Logging_0382/kartor/A 61410-2025 karta.png", "A 61410-2025")</f>
        <v/>
      </c>
      <c r="V407">
        <f>HYPERLINK("https://klasma.github.io/Logging_0382/klagomål/A 61410-2025 FSC-klagomål.docx", "A 61410-2025")</f>
        <v/>
      </c>
      <c r="W407">
        <f>HYPERLINK("https://klasma.github.io/Logging_0382/klagomålsmail/A 61410-2025 FSC-klagomål mail.docx", "A 61410-2025")</f>
        <v/>
      </c>
      <c r="X407">
        <f>HYPERLINK("https://klasma.github.io/Logging_0382/tillsyn/A 61410-2025 tillsynsbegäran.docx", "A 61410-2025")</f>
        <v/>
      </c>
      <c r="Y407">
        <f>HYPERLINK("https://klasma.github.io/Logging_0382/tillsynsmail/A 61410-2025 tillsynsbegäran mail.docx", "A 61410-2025")</f>
        <v/>
      </c>
    </row>
    <row r="408" ht="15" customHeight="1">
      <c r="A408" t="inlineStr">
        <is>
          <t>A 47520-2025</t>
        </is>
      </c>
      <c r="B408" s="1" t="n">
        <v>45931.32129629629</v>
      </c>
      <c r="C408" s="1" t="n">
        <v>46098</v>
      </c>
      <c r="D408" t="inlineStr">
        <is>
          <t>UPPSALA LÄN</t>
        </is>
      </c>
      <c r="E408" t="inlineStr">
        <is>
          <t>TIERP</t>
        </is>
      </c>
      <c r="F408" t="inlineStr">
        <is>
          <t>Bergvik skog väst AB</t>
        </is>
      </c>
      <c r="G408" t="n">
        <v>11.7</v>
      </c>
      <c r="H408" t="n">
        <v>0</v>
      </c>
      <c r="I408" t="n">
        <v>0</v>
      </c>
      <c r="J408" t="n">
        <v>1</v>
      </c>
      <c r="K408" t="n">
        <v>0</v>
      </c>
      <c r="L408" t="n">
        <v>0</v>
      </c>
      <c r="M408" t="n">
        <v>0</v>
      </c>
      <c r="N408" t="n">
        <v>0</v>
      </c>
      <c r="O408" t="n">
        <v>1</v>
      </c>
      <c r="P408" t="n">
        <v>0</v>
      </c>
      <c r="Q408" t="n">
        <v>1</v>
      </c>
      <c r="R408" s="2" t="inlineStr">
        <is>
          <t>Klofibbla</t>
        </is>
      </c>
      <c r="S408">
        <f>HYPERLINK("https://klasma.github.io/Logging_0360/artfynd/A 47520-2025 artfynd.xlsx", "A 47520-2025")</f>
        <v/>
      </c>
      <c r="T408">
        <f>HYPERLINK("https://klasma.github.io/Logging_0360/kartor/A 47520-2025 karta.png", "A 47520-2025")</f>
        <v/>
      </c>
      <c r="V408">
        <f>HYPERLINK("https://klasma.github.io/Logging_0360/klagomål/A 47520-2025 FSC-klagomål.docx", "A 47520-2025")</f>
        <v/>
      </c>
      <c r="W408">
        <f>HYPERLINK("https://klasma.github.io/Logging_0360/klagomålsmail/A 47520-2025 FSC-klagomål mail.docx", "A 47520-2025")</f>
        <v/>
      </c>
      <c r="X408">
        <f>HYPERLINK("https://klasma.github.io/Logging_0360/tillsyn/A 47520-2025 tillsynsbegäran.docx", "A 47520-2025")</f>
        <v/>
      </c>
      <c r="Y408">
        <f>HYPERLINK("https://klasma.github.io/Logging_0360/tillsynsmail/A 47520-2025 tillsynsbegäran mail.docx", "A 47520-2025")</f>
        <v/>
      </c>
    </row>
    <row r="409" ht="15" customHeight="1">
      <c r="A409" t="inlineStr">
        <is>
          <t>A 47207-2025</t>
        </is>
      </c>
      <c r="B409" s="1" t="n">
        <v>45930.37263888889</v>
      </c>
      <c r="C409" s="1" t="n">
        <v>46098</v>
      </c>
      <c r="D409" t="inlineStr">
        <is>
          <t>UPPSALA LÄN</t>
        </is>
      </c>
      <c r="E409" t="inlineStr">
        <is>
          <t>ÄLVKARLEBY</t>
        </is>
      </c>
      <c r="F409" t="inlineStr">
        <is>
          <t>Bergvik skog väst AB</t>
        </is>
      </c>
      <c r="G409" t="n">
        <v>2.2</v>
      </c>
      <c r="H409" t="n">
        <v>0</v>
      </c>
      <c r="I409" t="n">
        <v>0</v>
      </c>
      <c r="J409" t="n">
        <v>1</v>
      </c>
      <c r="K409" t="n">
        <v>0</v>
      </c>
      <c r="L409" t="n">
        <v>0</v>
      </c>
      <c r="M409" t="n">
        <v>0</v>
      </c>
      <c r="N409" t="n">
        <v>0</v>
      </c>
      <c r="O409" t="n">
        <v>1</v>
      </c>
      <c r="P409" t="n">
        <v>0</v>
      </c>
      <c r="Q409" t="n">
        <v>1</v>
      </c>
      <c r="R409" s="2" t="inlineStr">
        <is>
          <t>Sumpviol</t>
        </is>
      </c>
      <c r="S409">
        <f>HYPERLINK("https://klasma.github.io/Logging_0319/artfynd/A 47207-2025 artfynd.xlsx", "A 47207-2025")</f>
        <v/>
      </c>
      <c r="T409">
        <f>HYPERLINK("https://klasma.github.io/Logging_0319/kartor/A 47207-2025 karta.png", "A 47207-2025")</f>
        <v/>
      </c>
      <c r="V409">
        <f>HYPERLINK("https://klasma.github.io/Logging_0319/klagomål/A 47207-2025 FSC-klagomål.docx", "A 47207-2025")</f>
        <v/>
      </c>
      <c r="W409">
        <f>HYPERLINK("https://klasma.github.io/Logging_0319/klagomålsmail/A 47207-2025 FSC-klagomål mail.docx", "A 47207-2025")</f>
        <v/>
      </c>
      <c r="X409">
        <f>HYPERLINK("https://klasma.github.io/Logging_0319/tillsyn/A 47207-2025 tillsynsbegäran.docx", "A 47207-2025")</f>
        <v/>
      </c>
      <c r="Y409">
        <f>HYPERLINK("https://klasma.github.io/Logging_0319/tillsynsmail/A 47207-2025 tillsynsbegäran mail.docx", "A 47207-2025")</f>
        <v/>
      </c>
    </row>
    <row r="410" ht="15" customHeight="1">
      <c r="A410" t="inlineStr">
        <is>
          <t>A 61768-2025</t>
        </is>
      </c>
      <c r="B410" s="1" t="n">
        <v>46002.63940972222</v>
      </c>
      <c r="C410" s="1" t="n">
        <v>46098</v>
      </c>
      <c r="D410" t="inlineStr">
        <is>
          <t>UPPSALA LÄN</t>
        </is>
      </c>
      <c r="E410" t="inlineStr">
        <is>
          <t>KNIVSTA</t>
        </is>
      </c>
      <c r="G410" t="n">
        <v>3</v>
      </c>
      <c r="H410" t="n">
        <v>0</v>
      </c>
      <c r="I410" t="n">
        <v>1</v>
      </c>
      <c r="J410" t="n">
        <v>0</v>
      </c>
      <c r="K410" t="n">
        <v>0</v>
      </c>
      <c r="L410" t="n">
        <v>0</v>
      </c>
      <c r="M410" t="n">
        <v>0</v>
      </c>
      <c r="N410" t="n">
        <v>0</v>
      </c>
      <c r="O410" t="n">
        <v>0</v>
      </c>
      <c r="P410" t="n">
        <v>0</v>
      </c>
      <c r="Q410" t="n">
        <v>1</v>
      </c>
      <c r="R410" s="2" t="inlineStr">
        <is>
          <t>Kamjordstjärna</t>
        </is>
      </c>
      <c r="S410">
        <f>HYPERLINK("https://klasma.github.io/Logging_0330/artfynd/A 61768-2025 artfynd.xlsx", "A 61768-2025")</f>
        <v/>
      </c>
      <c r="T410">
        <f>HYPERLINK("https://klasma.github.io/Logging_0330/kartor/A 61768-2025 karta.png", "A 61768-2025")</f>
        <v/>
      </c>
      <c r="V410">
        <f>HYPERLINK("https://klasma.github.io/Logging_0330/klagomål/A 61768-2025 FSC-klagomål.docx", "A 61768-2025")</f>
        <v/>
      </c>
      <c r="W410">
        <f>HYPERLINK("https://klasma.github.io/Logging_0330/klagomålsmail/A 61768-2025 FSC-klagomål mail.docx", "A 61768-2025")</f>
        <v/>
      </c>
      <c r="X410">
        <f>HYPERLINK("https://klasma.github.io/Logging_0330/tillsyn/A 61768-2025 tillsynsbegäran.docx", "A 61768-2025")</f>
        <v/>
      </c>
      <c r="Y410">
        <f>HYPERLINK("https://klasma.github.io/Logging_0330/tillsynsmail/A 61768-2025 tillsynsbegäran mail.docx", "A 61768-2025")</f>
        <v/>
      </c>
    </row>
    <row r="411" ht="15" customHeight="1">
      <c r="A411" t="inlineStr">
        <is>
          <t>A 61574-2025</t>
        </is>
      </c>
      <c r="B411" s="1" t="n">
        <v>46002</v>
      </c>
      <c r="C411" s="1" t="n">
        <v>46098</v>
      </c>
      <c r="D411" t="inlineStr">
        <is>
          <t>UPPSALA LÄN</t>
        </is>
      </c>
      <c r="E411" t="inlineStr">
        <is>
          <t>ÖSTHAMMAR</t>
        </is>
      </c>
      <c r="F411" t="inlineStr">
        <is>
          <t>Övriga Aktiebolag</t>
        </is>
      </c>
      <c r="G411" t="n">
        <v>16.6</v>
      </c>
      <c r="H411" t="n">
        <v>1</v>
      </c>
      <c r="I411" t="n">
        <v>0</v>
      </c>
      <c r="J411" t="n">
        <v>0</v>
      </c>
      <c r="K411" t="n">
        <v>1</v>
      </c>
      <c r="L411" t="n">
        <v>0</v>
      </c>
      <c r="M411" t="n">
        <v>0</v>
      </c>
      <c r="N411" t="n">
        <v>0</v>
      </c>
      <c r="O411" t="n">
        <v>1</v>
      </c>
      <c r="P411" t="n">
        <v>1</v>
      </c>
      <c r="Q411" t="n">
        <v>1</v>
      </c>
      <c r="R411" s="2" t="inlineStr">
        <is>
          <t>Hällebräcka</t>
        </is>
      </c>
      <c r="S411">
        <f>HYPERLINK("https://klasma.github.io/Logging_0382/artfynd/A 61574-2025 artfynd.xlsx", "A 61574-2025")</f>
        <v/>
      </c>
      <c r="T411">
        <f>HYPERLINK("https://klasma.github.io/Logging_0382/kartor/A 61574-2025 karta.png", "A 61574-2025")</f>
        <v/>
      </c>
      <c r="V411">
        <f>HYPERLINK("https://klasma.github.io/Logging_0382/klagomål/A 61574-2025 FSC-klagomål.docx", "A 61574-2025")</f>
        <v/>
      </c>
      <c r="W411">
        <f>HYPERLINK("https://klasma.github.io/Logging_0382/klagomålsmail/A 61574-2025 FSC-klagomål mail.docx", "A 61574-2025")</f>
        <v/>
      </c>
      <c r="X411">
        <f>HYPERLINK("https://klasma.github.io/Logging_0382/tillsyn/A 61574-2025 tillsynsbegäran.docx", "A 61574-2025")</f>
        <v/>
      </c>
      <c r="Y411">
        <f>HYPERLINK("https://klasma.github.io/Logging_0382/tillsynsmail/A 61574-2025 tillsynsbegäran mail.docx", "A 61574-2025")</f>
        <v/>
      </c>
    </row>
    <row r="412" ht="15" customHeight="1">
      <c r="A412" t="inlineStr">
        <is>
          <t>A 35260-2025</t>
        </is>
      </c>
      <c r="B412" s="1" t="n">
        <v>45853.76976851852</v>
      </c>
      <c r="C412" s="1" t="n">
        <v>46098</v>
      </c>
      <c r="D412" t="inlineStr">
        <is>
          <t>UPPSALA LÄN</t>
        </is>
      </c>
      <c r="E412" t="inlineStr">
        <is>
          <t>UPPSALA</t>
        </is>
      </c>
      <c r="G412" t="n">
        <v>7.3</v>
      </c>
      <c r="H412" t="n">
        <v>0</v>
      </c>
      <c r="I412" t="n">
        <v>1</v>
      </c>
      <c r="J412" t="n">
        <v>0</v>
      </c>
      <c r="K412" t="n">
        <v>0</v>
      </c>
      <c r="L412" t="n">
        <v>0</v>
      </c>
      <c r="M412" t="n">
        <v>0</v>
      </c>
      <c r="N412" t="n">
        <v>0</v>
      </c>
      <c r="O412" t="n">
        <v>0</v>
      </c>
      <c r="P412" t="n">
        <v>0</v>
      </c>
      <c r="Q412" t="n">
        <v>1</v>
      </c>
      <c r="R412" s="2" t="inlineStr">
        <is>
          <t>Svavelriska</t>
        </is>
      </c>
      <c r="S412">
        <f>HYPERLINK("https://klasma.github.io/Logging_0380/artfynd/A 35260-2025 artfynd.xlsx", "A 35260-2025")</f>
        <v/>
      </c>
      <c r="T412">
        <f>HYPERLINK("https://klasma.github.io/Logging_0380/kartor/A 35260-2025 karta.png", "A 35260-2025")</f>
        <v/>
      </c>
      <c r="V412">
        <f>HYPERLINK("https://klasma.github.io/Logging_0380/klagomål/A 35260-2025 FSC-klagomål.docx", "A 35260-2025")</f>
        <v/>
      </c>
      <c r="W412">
        <f>HYPERLINK("https://klasma.github.io/Logging_0380/klagomålsmail/A 35260-2025 FSC-klagomål mail.docx", "A 35260-2025")</f>
        <v/>
      </c>
      <c r="X412">
        <f>HYPERLINK("https://klasma.github.io/Logging_0380/tillsyn/A 35260-2025 tillsynsbegäran.docx", "A 35260-2025")</f>
        <v/>
      </c>
      <c r="Y412">
        <f>HYPERLINK("https://klasma.github.io/Logging_0380/tillsynsmail/A 35260-2025 tillsynsbegäran mail.docx", "A 35260-2025")</f>
        <v/>
      </c>
    </row>
    <row r="413" ht="15" customHeight="1">
      <c r="A413" t="inlineStr">
        <is>
          <t>A 5732-2025</t>
        </is>
      </c>
      <c r="B413" s="1" t="n">
        <v>45694.49650462963</v>
      </c>
      <c r="C413" s="1" t="n">
        <v>46098</v>
      </c>
      <c r="D413" t="inlineStr">
        <is>
          <t>UPPSALA LÄN</t>
        </is>
      </c>
      <c r="E413" t="inlineStr">
        <is>
          <t>UPPSALA</t>
        </is>
      </c>
      <c r="G413" t="n">
        <v>1.9</v>
      </c>
      <c r="H413" t="n">
        <v>0</v>
      </c>
      <c r="I413" t="n">
        <v>1</v>
      </c>
      <c r="J413" t="n">
        <v>0</v>
      </c>
      <c r="K413" t="n">
        <v>0</v>
      </c>
      <c r="L413" t="n">
        <v>0</v>
      </c>
      <c r="M413" t="n">
        <v>0</v>
      </c>
      <c r="N413" t="n">
        <v>0</v>
      </c>
      <c r="O413" t="n">
        <v>0</v>
      </c>
      <c r="P413" t="n">
        <v>0</v>
      </c>
      <c r="Q413" t="n">
        <v>1</v>
      </c>
      <c r="R413" s="2" t="inlineStr">
        <is>
          <t>Fällmossa</t>
        </is>
      </c>
      <c r="S413">
        <f>HYPERLINK("https://klasma.github.io/Logging_0380/artfynd/A 5732-2025 artfynd.xlsx", "A 5732-2025")</f>
        <v/>
      </c>
      <c r="T413">
        <f>HYPERLINK("https://klasma.github.io/Logging_0380/kartor/A 5732-2025 karta.png", "A 5732-2025")</f>
        <v/>
      </c>
      <c r="V413">
        <f>HYPERLINK("https://klasma.github.io/Logging_0380/klagomål/A 5732-2025 FSC-klagomål.docx", "A 5732-2025")</f>
        <v/>
      </c>
      <c r="W413">
        <f>HYPERLINK("https://klasma.github.io/Logging_0380/klagomålsmail/A 5732-2025 FSC-klagomål mail.docx", "A 5732-2025")</f>
        <v/>
      </c>
      <c r="X413">
        <f>HYPERLINK("https://klasma.github.io/Logging_0380/tillsyn/A 5732-2025 tillsynsbegäran.docx", "A 5732-2025")</f>
        <v/>
      </c>
      <c r="Y413">
        <f>HYPERLINK("https://klasma.github.io/Logging_0380/tillsynsmail/A 5732-2025 tillsynsbegäran mail.docx", "A 5732-2025")</f>
        <v/>
      </c>
    </row>
    <row r="414" ht="15" customHeight="1">
      <c r="A414" t="inlineStr">
        <is>
          <t>A 23384-2024</t>
        </is>
      </c>
      <c r="B414" s="1" t="n">
        <v>45453</v>
      </c>
      <c r="C414" s="1" t="n">
        <v>46098</v>
      </c>
      <c r="D414" t="inlineStr">
        <is>
          <t>UPPSALA LÄN</t>
        </is>
      </c>
      <c r="E414" t="inlineStr">
        <is>
          <t>HEBY</t>
        </is>
      </c>
      <c r="F414" t="inlineStr">
        <is>
          <t>Bergvik skog väst AB</t>
        </is>
      </c>
      <c r="G414" t="n">
        <v>30.3</v>
      </c>
      <c r="H414" t="n">
        <v>0</v>
      </c>
      <c r="I414" t="n">
        <v>1</v>
      </c>
      <c r="J414" t="n">
        <v>0</v>
      </c>
      <c r="K414" t="n">
        <v>0</v>
      </c>
      <c r="L414" t="n">
        <v>0</v>
      </c>
      <c r="M414" t="n">
        <v>0</v>
      </c>
      <c r="N414" t="n">
        <v>0</v>
      </c>
      <c r="O414" t="n">
        <v>0</v>
      </c>
      <c r="P414" t="n">
        <v>0</v>
      </c>
      <c r="Q414" t="n">
        <v>1</v>
      </c>
      <c r="R414" s="2" t="inlineStr">
        <is>
          <t>Grönpyrola</t>
        </is>
      </c>
      <c r="S414">
        <f>HYPERLINK("https://klasma.github.io/Logging_0331/artfynd/A 23384-2024 artfynd.xlsx", "A 23384-2024")</f>
        <v/>
      </c>
      <c r="T414">
        <f>HYPERLINK("https://klasma.github.io/Logging_0331/kartor/A 23384-2024 karta.png", "A 23384-2024")</f>
        <v/>
      </c>
      <c r="V414">
        <f>HYPERLINK("https://klasma.github.io/Logging_0331/klagomål/A 23384-2024 FSC-klagomål.docx", "A 23384-2024")</f>
        <v/>
      </c>
      <c r="W414">
        <f>HYPERLINK("https://klasma.github.io/Logging_0331/klagomålsmail/A 23384-2024 FSC-klagomål mail.docx", "A 23384-2024")</f>
        <v/>
      </c>
      <c r="X414">
        <f>HYPERLINK("https://klasma.github.io/Logging_0331/tillsyn/A 23384-2024 tillsynsbegäran.docx", "A 23384-2024")</f>
        <v/>
      </c>
      <c r="Y414">
        <f>HYPERLINK("https://klasma.github.io/Logging_0331/tillsynsmail/A 23384-2024 tillsynsbegäran mail.docx", "A 23384-2024")</f>
        <v/>
      </c>
    </row>
    <row r="415" ht="15" customHeight="1">
      <c r="A415" t="inlineStr">
        <is>
          <t>A 15680-2025</t>
        </is>
      </c>
      <c r="B415" s="1" t="n">
        <v>45748.4525</v>
      </c>
      <c r="C415" s="1" t="n">
        <v>46098</v>
      </c>
      <c r="D415" t="inlineStr">
        <is>
          <t>UPPSALA LÄN</t>
        </is>
      </c>
      <c r="E415" t="inlineStr">
        <is>
          <t>TIERP</t>
        </is>
      </c>
      <c r="F415" t="inlineStr">
        <is>
          <t>Kyrkan</t>
        </is>
      </c>
      <c r="G415" t="n">
        <v>13.5</v>
      </c>
      <c r="H415" t="n">
        <v>1</v>
      </c>
      <c r="I415" t="n">
        <v>0</v>
      </c>
      <c r="J415" t="n">
        <v>0</v>
      </c>
      <c r="K415" t="n">
        <v>0</v>
      </c>
      <c r="L415" t="n">
        <v>0</v>
      </c>
      <c r="M415" t="n">
        <v>0</v>
      </c>
      <c r="N415" t="n">
        <v>0</v>
      </c>
      <c r="O415" t="n">
        <v>0</v>
      </c>
      <c r="P415" t="n">
        <v>0</v>
      </c>
      <c r="Q415" t="n">
        <v>1</v>
      </c>
      <c r="R415" s="2" t="inlineStr">
        <is>
          <t>Mattlummer</t>
        </is>
      </c>
      <c r="S415">
        <f>HYPERLINK("https://klasma.github.io/Logging_0360/artfynd/A 15680-2025 artfynd.xlsx", "A 15680-2025")</f>
        <v/>
      </c>
      <c r="T415">
        <f>HYPERLINK("https://klasma.github.io/Logging_0360/kartor/A 15680-2025 karta.png", "A 15680-2025")</f>
        <v/>
      </c>
      <c r="V415">
        <f>HYPERLINK("https://klasma.github.io/Logging_0360/klagomål/A 15680-2025 FSC-klagomål.docx", "A 15680-2025")</f>
        <v/>
      </c>
      <c r="W415">
        <f>HYPERLINK("https://klasma.github.io/Logging_0360/klagomålsmail/A 15680-2025 FSC-klagomål mail.docx", "A 15680-2025")</f>
        <v/>
      </c>
      <c r="X415">
        <f>HYPERLINK("https://klasma.github.io/Logging_0360/tillsyn/A 15680-2025 tillsynsbegäran.docx", "A 15680-2025")</f>
        <v/>
      </c>
      <c r="Y415">
        <f>HYPERLINK("https://klasma.github.io/Logging_0360/tillsynsmail/A 15680-2025 tillsynsbegäran mail.docx", "A 15680-2025")</f>
        <v/>
      </c>
    </row>
    <row r="416" ht="15" customHeight="1">
      <c r="A416" t="inlineStr">
        <is>
          <t>A 6507-2026</t>
        </is>
      </c>
      <c r="B416" s="1" t="n">
        <v>46056.38474537037</v>
      </c>
      <c r="C416" s="1" t="n">
        <v>46098</v>
      </c>
      <c r="D416" t="inlineStr">
        <is>
          <t>UPPSALA LÄN</t>
        </is>
      </c>
      <c r="E416" t="inlineStr">
        <is>
          <t>ÖSTHAMMAR</t>
        </is>
      </c>
      <c r="F416" t="inlineStr">
        <is>
          <t>Bergvik skog öst AB</t>
        </is>
      </c>
      <c r="G416" t="n">
        <v>1.5</v>
      </c>
      <c r="H416" t="n">
        <v>0</v>
      </c>
      <c r="I416" t="n">
        <v>1</v>
      </c>
      <c r="J416" t="n">
        <v>0</v>
      </c>
      <c r="K416" t="n">
        <v>0</v>
      </c>
      <c r="L416" t="n">
        <v>0</v>
      </c>
      <c r="M416" t="n">
        <v>0</v>
      </c>
      <c r="N416" t="n">
        <v>0</v>
      </c>
      <c r="O416" t="n">
        <v>0</v>
      </c>
      <c r="P416" t="n">
        <v>0</v>
      </c>
      <c r="Q416" t="n">
        <v>1</v>
      </c>
      <c r="R416" s="2" t="inlineStr">
        <is>
          <t>Tibast</t>
        </is>
      </c>
      <c r="S416">
        <f>HYPERLINK("https://klasma.github.io/Logging_0382/artfynd/A 6507-2026 artfynd.xlsx", "A 6507-2026")</f>
        <v/>
      </c>
      <c r="T416">
        <f>HYPERLINK("https://klasma.github.io/Logging_0382/kartor/A 6507-2026 karta.png", "A 6507-2026")</f>
        <v/>
      </c>
      <c r="V416">
        <f>HYPERLINK("https://klasma.github.io/Logging_0382/klagomål/A 6507-2026 FSC-klagomål.docx", "A 6507-2026")</f>
        <v/>
      </c>
      <c r="W416">
        <f>HYPERLINK("https://klasma.github.io/Logging_0382/klagomålsmail/A 6507-2026 FSC-klagomål mail.docx", "A 6507-2026")</f>
        <v/>
      </c>
      <c r="X416">
        <f>HYPERLINK("https://klasma.github.io/Logging_0382/tillsyn/A 6507-2026 tillsynsbegäran.docx", "A 6507-2026")</f>
        <v/>
      </c>
      <c r="Y416">
        <f>HYPERLINK("https://klasma.github.io/Logging_0382/tillsynsmail/A 6507-2026 tillsynsbegäran mail.docx", "A 6507-2026")</f>
        <v/>
      </c>
    </row>
    <row r="417" ht="15" customHeight="1">
      <c r="A417" t="inlineStr">
        <is>
          <t>A 63075-2025</t>
        </is>
      </c>
      <c r="B417" s="1" t="n">
        <v>46009</v>
      </c>
      <c r="C417" s="1" t="n">
        <v>46098</v>
      </c>
      <c r="D417" t="inlineStr">
        <is>
          <t>UPPSALA LÄN</t>
        </is>
      </c>
      <c r="E417" t="inlineStr">
        <is>
          <t>UPPSALA</t>
        </is>
      </c>
      <c r="F417" t="inlineStr">
        <is>
          <t>Övriga statliga verk och myndigheter</t>
        </is>
      </c>
      <c r="G417" t="n">
        <v>4</v>
      </c>
      <c r="H417" t="n">
        <v>1</v>
      </c>
      <c r="I417" t="n">
        <v>0</v>
      </c>
      <c r="J417" t="n">
        <v>1</v>
      </c>
      <c r="K417" t="n">
        <v>0</v>
      </c>
      <c r="L417" t="n">
        <v>0</v>
      </c>
      <c r="M417" t="n">
        <v>0</v>
      </c>
      <c r="N417" t="n">
        <v>0</v>
      </c>
      <c r="O417" t="n">
        <v>1</v>
      </c>
      <c r="P417" t="n">
        <v>0</v>
      </c>
      <c r="Q417" t="n">
        <v>1</v>
      </c>
      <c r="R417" s="2" t="inlineStr">
        <is>
          <t>Talltita</t>
        </is>
      </c>
      <c r="S417">
        <f>HYPERLINK("https://klasma.github.io/Logging_0380/artfynd/A 63075-2025 artfynd.xlsx", "A 63075-2025")</f>
        <v/>
      </c>
      <c r="T417">
        <f>HYPERLINK("https://klasma.github.io/Logging_0380/kartor/A 63075-2025 karta.png", "A 63075-2025")</f>
        <v/>
      </c>
      <c r="V417">
        <f>HYPERLINK("https://klasma.github.io/Logging_0380/klagomål/A 63075-2025 FSC-klagomål.docx", "A 63075-2025")</f>
        <v/>
      </c>
      <c r="W417">
        <f>HYPERLINK("https://klasma.github.io/Logging_0380/klagomålsmail/A 63075-2025 FSC-klagomål mail.docx", "A 63075-2025")</f>
        <v/>
      </c>
      <c r="X417">
        <f>HYPERLINK("https://klasma.github.io/Logging_0380/tillsyn/A 63075-2025 tillsynsbegäran.docx", "A 63075-2025")</f>
        <v/>
      </c>
      <c r="Y417">
        <f>HYPERLINK("https://klasma.github.io/Logging_0380/tillsynsmail/A 63075-2025 tillsynsbegäran mail.docx", "A 63075-2025")</f>
        <v/>
      </c>
      <c r="Z417">
        <f>HYPERLINK("https://klasma.github.io/Logging_0380/fåglar/A 63075-2025 prioriterade fågelarter.docx", "A 63075-2025")</f>
        <v/>
      </c>
    </row>
    <row r="418" ht="15" customHeight="1">
      <c r="A418" t="inlineStr">
        <is>
          <t>A 38821-2023</t>
        </is>
      </c>
      <c r="B418" s="1" t="n">
        <v>45163</v>
      </c>
      <c r="C418" s="1" t="n">
        <v>46098</v>
      </c>
      <c r="D418" t="inlineStr">
        <is>
          <t>UPPSALA LÄN</t>
        </is>
      </c>
      <c r="E418" t="inlineStr">
        <is>
          <t>TIERP</t>
        </is>
      </c>
      <c r="G418" t="n">
        <v>20.3</v>
      </c>
      <c r="H418" t="n">
        <v>1</v>
      </c>
      <c r="I418" t="n">
        <v>0</v>
      </c>
      <c r="J418" t="n">
        <v>0</v>
      </c>
      <c r="K418" t="n">
        <v>0</v>
      </c>
      <c r="L418" t="n">
        <v>0</v>
      </c>
      <c r="M418" t="n">
        <v>0</v>
      </c>
      <c r="N418" t="n">
        <v>0</v>
      </c>
      <c r="O418" t="n">
        <v>0</v>
      </c>
      <c r="P418" t="n">
        <v>0</v>
      </c>
      <c r="Q418" t="n">
        <v>1</v>
      </c>
      <c r="R418" s="2" t="inlineStr">
        <is>
          <t>Revlummer</t>
        </is>
      </c>
      <c r="S418">
        <f>HYPERLINK("https://klasma.github.io/Logging_0360/artfynd/A 38821-2023 artfynd.xlsx", "A 38821-2023")</f>
        <v/>
      </c>
      <c r="T418">
        <f>HYPERLINK("https://klasma.github.io/Logging_0360/kartor/A 38821-2023 karta.png", "A 38821-2023")</f>
        <v/>
      </c>
      <c r="V418">
        <f>HYPERLINK("https://klasma.github.io/Logging_0360/klagomål/A 38821-2023 FSC-klagomål.docx", "A 38821-2023")</f>
        <v/>
      </c>
      <c r="W418">
        <f>HYPERLINK("https://klasma.github.io/Logging_0360/klagomålsmail/A 38821-2023 FSC-klagomål mail.docx", "A 38821-2023")</f>
        <v/>
      </c>
      <c r="X418">
        <f>HYPERLINK("https://klasma.github.io/Logging_0360/tillsyn/A 38821-2023 tillsynsbegäran.docx", "A 38821-2023")</f>
        <v/>
      </c>
      <c r="Y418">
        <f>HYPERLINK("https://klasma.github.io/Logging_0360/tillsynsmail/A 38821-2023 tillsynsbegäran mail.docx", "A 38821-2023")</f>
        <v/>
      </c>
    </row>
    <row r="419" ht="15" customHeight="1">
      <c r="A419" t="inlineStr">
        <is>
          <t>A 26135-2025</t>
        </is>
      </c>
      <c r="B419" s="1" t="n">
        <v>45805.41232638889</v>
      </c>
      <c r="C419" s="1" t="n">
        <v>46098</v>
      </c>
      <c r="D419" t="inlineStr">
        <is>
          <t>UPPSALA LÄN</t>
        </is>
      </c>
      <c r="E419" t="inlineStr">
        <is>
          <t>UPPSALA</t>
        </is>
      </c>
      <c r="F419" t="inlineStr">
        <is>
          <t>Holmen skog AB</t>
        </is>
      </c>
      <c r="G419" t="n">
        <v>3.1</v>
      </c>
      <c r="H419" t="n">
        <v>0</v>
      </c>
      <c r="I419" t="n">
        <v>0</v>
      </c>
      <c r="J419" t="n">
        <v>1</v>
      </c>
      <c r="K419" t="n">
        <v>0</v>
      </c>
      <c r="L419" t="n">
        <v>0</v>
      </c>
      <c r="M419" t="n">
        <v>0</v>
      </c>
      <c r="N419" t="n">
        <v>0</v>
      </c>
      <c r="O419" t="n">
        <v>1</v>
      </c>
      <c r="P419" t="n">
        <v>0</v>
      </c>
      <c r="Q419" t="n">
        <v>1</v>
      </c>
      <c r="R419" s="2" t="inlineStr">
        <is>
          <t>Vedtrappmossa</t>
        </is>
      </c>
      <c r="S419">
        <f>HYPERLINK("https://klasma.github.io/Logging_0380/artfynd/A 26135-2025 artfynd.xlsx", "A 26135-2025")</f>
        <v/>
      </c>
      <c r="T419">
        <f>HYPERLINK("https://klasma.github.io/Logging_0380/kartor/A 26135-2025 karta.png", "A 26135-2025")</f>
        <v/>
      </c>
      <c r="V419">
        <f>HYPERLINK("https://klasma.github.io/Logging_0380/klagomål/A 26135-2025 FSC-klagomål.docx", "A 26135-2025")</f>
        <v/>
      </c>
      <c r="W419">
        <f>HYPERLINK("https://klasma.github.io/Logging_0380/klagomålsmail/A 26135-2025 FSC-klagomål mail.docx", "A 26135-2025")</f>
        <v/>
      </c>
      <c r="X419">
        <f>HYPERLINK("https://klasma.github.io/Logging_0380/tillsyn/A 26135-2025 tillsynsbegäran.docx", "A 26135-2025")</f>
        <v/>
      </c>
      <c r="Y419">
        <f>HYPERLINK("https://klasma.github.io/Logging_0380/tillsynsmail/A 26135-2025 tillsynsbegäran mail.docx", "A 26135-2025")</f>
        <v/>
      </c>
    </row>
    <row r="420" ht="15" customHeight="1">
      <c r="A420" t="inlineStr">
        <is>
          <t>A 35046-2025</t>
        </is>
      </c>
      <c r="B420" s="1" t="n">
        <v>45852</v>
      </c>
      <c r="C420" s="1" t="n">
        <v>46098</v>
      </c>
      <c r="D420" t="inlineStr">
        <is>
          <t>UPPSALA LÄN</t>
        </is>
      </c>
      <c r="E420" t="inlineStr">
        <is>
          <t>HÅBO</t>
        </is>
      </c>
      <c r="G420" t="n">
        <v>5.4</v>
      </c>
      <c r="H420" t="n">
        <v>0</v>
      </c>
      <c r="I420" t="n">
        <v>0</v>
      </c>
      <c r="J420" t="n">
        <v>1</v>
      </c>
      <c r="K420" t="n">
        <v>0</v>
      </c>
      <c r="L420" t="n">
        <v>0</v>
      </c>
      <c r="M420" t="n">
        <v>0</v>
      </c>
      <c r="N420" t="n">
        <v>0</v>
      </c>
      <c r="O420" t="n">
        <v>1</v>
      </c>
      <c r="P420" t="n">
        <v>0</v>
      </c>
      <c r="Q420" t="n">
        <v>1</v>
      </c>
      <c r="R420" s="2" t="inlineStr">
        <is>
          <t>Tallticka</t>
        </is>
      </c>
      <c r="S420">
        <f>HYPERLINK("https://klasma.github.io/Logging_0305/artfynd/A 35046-2025 artfynd.xlsx", "A 35046-2025")</f>
        <v/>
      </c>
      <c r="T420">
        <f>HYPERLINK("https://klasma.github.io/Logging_0305/kartor/A 35046-2025 karta.png", "A 35046-2025")</f>
        <v/>
      </c>
      <c r="V420">
        <f>HYPERLINK("https://klasma.github.io/Logging_0305/klagomål/A 35046-2025 FSC-klagomål.docx", "A 35046-2025")</f>
        <v/>
      </c>
      <c r="W420">
        <f>HYPERLINK("https://klasma.github.io/Logging_0305/klagomålsmail/A 35046-2025 FSC-klagomål mail.docx", "A 35046-2025")</f>
        <v/>
      </c>
      <c r="X420">
        <f>HYPERLINK("https://klasma.github.io/Logging_0305/tillsyn/A 35046-2025 tillsynsbegäran.docx", "A 35046-2025")</f>
        <v/>
      </c>
      <c r="Y420">
        <f>HYPERLINK("https://klasma.github.io/Logging_0305/tillsynsmail/A 35046-2025 tillsynsbegäran mail.docx", "A 35046-2025")</f>
        <v/>
      </c>
    </row>
    <row r="421" ht="15" customHeight="1">
      <c r="A421" t="inlineStr">
        <is>
          <t>A 9561-2026</t>
        </is>
      </c>
      <c r="B421" s="1" t="n">
        <v>46071.64916666667</v>
      </c>
      <c r="C421" s="1" t="n">
        <v>46098</v>
      </c>
      <c r="D421" t="inlineStr">
        <is>
          <t>UPPSALA LÄN</t>
        </is>
      </c>
      <c r="E421" t="inlineStr">
        <is>
          <t>KNIVSTA</t>
        </is>
      </c>
      <c r="F421" t="inlineStr">
        <is>
          <t>Övriga statliga verk och myndigheter</t>
        </is>
      </c>
      <c r="G421" t="n">
        <v>2.6</v>
      </c>
      <c r="H421" t="n">
        <v>0</v>
      </c>
      <c r="I421" t="n">
        <v>0</v>
      </c>
      <c r="J421" t="n">
        <v>1</v>
      </c>
      <c r="K421" t="n">
        <v>0</v>
      </c>
      <c r="L421" t="n">
        <v>0</v>
      </c>
      <c r="M421" t="n">
        <v>0</v>
      </c>
      <c r="N421" t="n">
        <v>0</v>
      </c>
      <c r="O421" t="n">
        <v>1</v>
      </c>
      <c r="P421" t="n">
        <v>0</v>
      </c>
      <c r="Q421" t="n">
        <v>1</v>
      </c>
      <c r="R421" s="2" t="inlineStr">
        <is>
          <t>Svartöra</t>
        </is>
      </c>
      <c r="S421">
        <f>HYPERLINK("https://klasma.github.io/Logging_0330/artfynd/A 9561-2026 artfynd.xlsx", "A 9561-2026")</f>
        <v/>
      </c>
      <c r="T421">
        <f>HYPERLINK("https://klasma.github.io/Logging_0330/kartor/A 9561-2026 karta.png", "A 9561-2026")</f>
        <v/>
      </c>
      <c r="V421">
        <f>HYPERLINK("https://klasma.github.io/Logging_0330/klagomål/A 9561-2026 FSC-klagomål.docx", "A 9561-2026")</f>
        <v/>
      </c>
      <c r="W421">
        <f>HYPERLINK("https://klasma.github.io/Logging_0330/klagomålsmail/A 9561-2026 FSC-klagomål mail.docx", "A 9561-2026")</f>
        <v/>
      </c>
      <c r="X421">
        <f>HYPERLINK("https://klasma.github.io/Logging_0330/tillsyn/A 9561-2026 tillsynsbegäran.docx", "A 9561-2026")</f>
        <v/>
      </c>
      <c r="Y421">
        <f>HYPERLINK("https://klasma.github.io/Logging_0330/tillsynsmail/A 9561-2026 tillsynsbegäran mail.docx", "A 9561-2026")</f>
        <v/>
      </c>
    </row>
    <row r="422" ht="15" customHeight="1">
      <c r="A422" t="inlineStr">
        <is>
          <t>A 9455-2026</t>
        </is>
      </c>
      <c r="B422" s="1" t="n">
        <v>46071.48416666667</v>
      </c>
      <c r="C422" s="1" t="n">
        <v>46098</v>
      </c>
      <c r="D422" t="inlineStr">
        <is>
          <t>UPPSALA LÄN</t>
        </is>
      </c>
      <c r="E422" t="inlineStr">
        <is>
          <t>HEBY</t>
        </is>
      </c>
      <c r="G422" t="n">
        <v>0.9</v>
      </c>
      <c r="H422" t="n">
        <v>0</v>
      </c>
      <c r="I422" t="n">
        <v>0</v>
      </c>
      <c r="J422" t="n">
        <v>1</v>
      </c>
      <c r="K422" t="n">
        <v>0</v>
      </c>
      <c r="L422" t="n">
        <v>0</v>
      </c>
      <c r="M422" t="n">
        <v>0</v>
      </c>
      <c r="N422" t="n">
        <v>0</v>
      </c>
      <c r="O422" t="n">
        <v>1</v>
      </c>
      <c r="P422" t="n">
        <v>0</v>
      </c>
      <c r="Q422" t="n">
        <v>1</v>
      </c>
      <c r="R422" s="2" t="inlineStr">
        <is>
          <t>Kungsspindling</t>
        </is>
      </c>
      <c r="S422">
        <f>HYPERLINK("https://klasma.github.io/Logging_0331/artfynd/A 9455-2026 artfynd.xlsx", "A 9455-2026")</f>
        <v/>
      </c>
      <c r="T422">
        <f>HYPERLINK("https://klasma.github.io/Logging_0331/kartor/A 9455-2026 karta.png", "A 9455-2026")</f>
        <v/>
      </c>
      <c r="V422">
        <f>HYPERLINK("https://klasma.github.io/Logging_0331/klagomål/A 9455-2026 FSC-klagomål.docx", "A 9455-2026")</f>
        <v/>
      </c>
      <c r="W422">
        <f>HYPERLINK("https://klasma.github.io/Logging_0331/klagomålsmail/A 9455-2026 FSC-klagomål mail.docx", "A 9455-2026")</f>
        <v/>
      </c>
      <c r="X422">
        <f>HYPERLINK("https://klasma.github.io/Logging_0331/tillsyn/A 9455-2026 tillsynsbegäran.docx", "A 9455-2026")</f>
        <v/>
      </c>
      <c r="Y422">
        <f>HYPERLINK("https://klasma.github.io/Logging_0331/tillsynsmail/A 9455-2026 tillsynsbegäran mail.docx", "A 9455-2026")</f>
        <v/>
      </c>
    </row>
    <row r="423" ht="15" customHeight="1">
      <c r="A423" t="inlineStr">
        <is>
          <t>A 38417-2025</t>
        </is>
      </c>
      <c r="B423" s="1" t="n">
        <v>45883</v>
      </c>
      <c r="C423" s="1" t="n">
        <v>46098</v>
      </c>
      <c r="D423" t="inlineStr">
        <is>
          <t>UPPSALA LÄN</t>
        </is>
      </c>
      <c r="E423" t="inlineStr">
        <is>
          <t>HEBY</t>
        </is>
      </c>
      <c r="F423" t="inlineStr">
        <is>
          <t>Bergvik skog väst AB</t>
        </is>
      </c>
      <c r="G423" t="n">
        <v>8.300000000000001</v>
      </c>
      <c r="H423" t="n">
        <v>1</v>
      </c>
      <c r="I423" t="n">
        <v>0</v>
      </c>
      <c r="J423" t="n">
        <v>0</v>
      </c>
      <c r="K423" t="n">
        <v>1</v>
      </c>
      <c r="L423" t="n">
        <v>0</v>
      </c>
      <c r="M423" t="n">
        <v>0</v>
      </c>
      <c r="N423" t="n">
        <v>0</v>
      </c>
      <c r="O423" t="n">
        <v>1</v>
      </c>
      <c r="P423" t="n">
        <v>1</v>
      </c>
      <c r="Q423" t="n">
        <v>1</v>
      </c>
      <c r="R423" s="2" t="inlineStr">
        <is>
          <t>Knärot</t>
        </is>
      </c>
      <c r="S423">
        <f>HYPERLINK("https://klasma.github.io/Logging_0331/artfynd/A 38417-2025 artfynd.xlsx", "A 38417-2025")</f>
        <v/>
      </c>
      <c r="T423">
        <f>HYPERLINK("https://klasma.github.io/Logging_0331/kartor/A 38417-2025 karta.png", "A 38417-2025")</f>
        <v/>
      </c>
      <c r="U423">
        <f>HYPERLINK("https://klasma.github.io/Logging_0331/knärot/A 38417-2025 karta knärot.png", "A 38417-2025")</f>
        <v/>
      </c>
      <c r="V423">
        <f>HYPERLINK("https://klasma.github.io/Logging_0331/klagomål/A 38417-2025 FSC-klagomål.docx", "A 38417-2025")</f>
        <v/>
      </c>
      <c r="W423">
        <f>HYPERLINK("https://klasma.github.io/Logging_0331/klagomålsmail/A 38417-2025 FSC-klagomål mail.docx", "A 38417-2025")</f>
        <v/>
      </c>
      <c r="X423">
        <f>HYPERLINK("https://klasma.github.io/Logging_0331/tillsyn/A 38417-2025 tillsynsbegäran.docx", "A 38417-2025")</f>
        <v/>
      </c>
      <c r="Y423">
        <f>HYPERLINK("https://klasma.github.io/Logging_0331/tillsynsmail/A 38417-2025 tillsynsbegäran mail.docx", "A 38417-2025")</f>
        <v/>
      </c>
    </row>
    <row r="424" ht="15" customHeight="1">
      <c r="A424" t="inlineStr">
        <is>
          <t>A 9493-2026</t>
        </is>
      </c>
      <c r="B424" s="1" t="n">
        <v>46071.55975694444</v>
      </c>
      <c r="C424" s="1" t="n">
        <v>46098</v>
      </c>
      <c r="D424" t="inlineStr">
        <is>
          <t>UPPSALA LÄN</t>
        </is>
      </c>
      <c r="E424" t="inlineStr">
        <is>
          <t>TIERP</t>
        </is>
      </c>
      <c r="G424" t="n">
        <v>4.5</v>
      </c>
      <c r="H424" t="n">
        <v>0</v>
      </c>
      <c r="I424" t="n">
        <v>0</v>
      </c>
      <c r="J424" t="n">
        <v>1</v>
      </c>
      <c r="K424" t="n">
        <v>0</v>
      </c>
      <c r="L424" t="n">
        <v>0</v>
      </c>
      <c r="M424" t="n">
        <v>0</v>
      </c>
      <c r="N424" t="n">
        <v>0</v>
      </c>
      <c r="O424" t="n">
        <v>1</v>
      </c>
      <c r="P424" t="n">
        <v>0</v>
      </c>
      <c r="Q424" t="n">
        <v>1</v>
      </c>
      <c r="R424" s="2" t="inlineStr">
        <is>
          <t>Klasefibbla</t>
        </is>
      </c>
      <c r="S424">
        <f>HYPERLINK("https://klasma.github.io/Logging_0360/artfynd/A 9493-2026 artfynd.xlsx", "A 9493-2026")</f>
        <v/>
      </c>
      <c r="T424">
        <f>HYPERLINK("https://klasma.github.io/Logging_0360/kartor/A 9493-2026 karta.png", "A 9493-2026")</f>
        <v/>
      </c>
      <c r="V424">
        <f>HYPERLINK("https://klasma.github.io/Logging_0360/klagomål/A 9493-2026 FSC-klagomål.docx", "A 9493-2026")</f>
        <v/>
      </c>
      <c r="W424">
        <f>HYPERLINK("https://klasma.github.io/Logging_0360/klagomålsmail/A 9493-2026 FSC-klagomål mail.docx", "A 9493-2026")</f>
        <v/>
      </c>
      <c r="X424">
        <f>HYPERLINK("https://klasma.github.io/Logging_0360/tillsyn/A 9493-2026 tillsynsbegäran.docx", "A 9493-2026")</f>
        <v/>
      </c>
      <c r="Y424">
        <f>HYPERLINK("https://klasma.github.io/Logging_0360/tillsynsmail/A 9493-2026 tillsynsbegäran mail.docx", "A 9493-2026")</f>
        <v/>
      </c>
    </row>
    <row r="425" ht="15" customHeight="1">
      <c r="A425" t="inlineStr">
        <is>
          <t>A 22287-2023</t>
        </is>
      </c>
      <c r="B425" s="1" t="n">
        <v>45070</v>
      </c>
      <c r="C425" s="1" t="n">
        <v>46098</v>
      </c>
      <c r="D425" t="inlineStr">
        <is>
          <t>UPPSALA LÄN</t>
        </is>
      </c>
      <c r="E425" t="inlineStr">
        <is>
          <t>ÖSTHAMMAR</t>
        </is>
      </c>
      <c r="G425" t="n">
        <v>6.3</v>
      </c>
      <c r="H425" t="n">
        <v>1</v>
      </c>
      <c r="I425" t="n">
        <v>1</v>
      </c>
      <c r="J425" t="n">
        <v>0</v>
      </c>
      <c r="K425" t="n">
        <v>0</v>
      </c>
      <c r="L425" t="n">
        <v>0</v>
      </c>
      <c r="M425" t="n">
        <v>0</v>
      </c>
      <c r="N425" t="n">
        <v>0</v>
      </c>
      <c r="O425" t="n">
        <v>0</v>
      </c>
      <c r="P425" t="n">
        <v>0</v>
      </c>
      <c r="Q425" t="n">
        <v>1</v>
      </c>
      <c r="R425" s="2" t="inlineStr">
        <is>
          <t>Guckusko</t>
        </is>
      </c>
      <c r="S425">
        <f>HYPERLINK("https://klasma.github.io/Logging_0382/artfynd/A 22287-2023 artfynd.xlsx", "A 22287-2023")</f>
        <v/>
      </c>
      <c r="T425">
        <f>HYPERLINK("https://klasma.github.io/Logging_0382/kartor/A 22287-2023 karta.png", "A 22287-2023")</f>
        <v/>
      </c>
      <c r="V425">
        <f>HYPERLINK("https://klasma.github.io/Logging_0382/klagomål/A 22287-2023 FSC-klagomål.docx", "A 22287-2023")</f>
        <v/>
      </c>
      <c r="W425">
        <f>HYPERLINK("https://klasma.github.io/Logging_0382/klagomålsmail/A 22287-2023 FSC-klagomål mail.docx", "A 22287-2023")</f>
        <v/>
      </c>
      <c r="X425">
        <f>HYPERLINK("https://klasma.github.io/Logging_0382/tillsyn/A 22287-2023 tillsynsbegäran.docx", "A 22287-2023")</f>
        <v/>
      </c>
      <c r="Y425">
        <f>HYPERLINK("https://klasma.github.io/Logging_0382/tillsynsmail/A 22287-2023 tillsynsbegäran mail.docx", "A 22287-2023")</f>
        <v/>
      </c>
    </row>
    <row r="426" ht="15" customHeight="1">
      <c r="A426" t="inlineStr">
        <is>
          <t>A 1524-2023</t>
        </is>
      </c>
      <c r="B426" s="1" t="n">
        <v>44935</v>
      </c>
      <c r="C426" s="1" t="n">
        <v>46098</v>
      </c>
      <c r="D426" t="inlineStr">
        <is>
          <t>UPPSALA LÄN</t>
        </is>
      </c>
      <c r="E426" t="inlineStr">
        <is>
          <t>ENKÖPING</t>
        </is>
      </c>
      <c r="G426" t="n">
        <v>1.4</v>
      </c>
      <c r="H426" t="n">
        <v>1</v>
      </c>
      <c r="I426" t="n">
        <v>0</v>
      </c>
      <c r="J426" t="n">
        <v>0</v>
      </c>
      <c r="K426" t="n">
        <v>0</v>
      </c>
      <c r="L426" t="n">
        <v>0</v>
      </c>
      <c r="M426" t="n">
        <v>0</v>
      </c>
      <c r="N426" t="n">
        <v>0</v>
      </c>
      <c r="O426" t="n">
        <v>0</v>
      </c>
      <c r="P426" t="n">
        <v>0</v>
      </c>
      <c r="Q426" t="n">
        <v>1</v>
      </c>
      <c r="R426" s="2" t="inlineStr">
        <is>
          <t>Skogsduva</t>
        </is>
      </c>
      <c r="S426">
        <f>HYPERLINK("https://klasma.github.io/Logging_0381/artfynd/A 1524-2023 artfynd.xlsx", "A 1524-2023")</f>
        <v/>
      </c>
      <c r="T426">
        <f>HYPERLINK("https://klasma.github.io/Logging_0381/kartor/A 1524-2023 karta.png", "A 1524-2023")</f>
        <v/>
      </c>
      <c r="V426">
        <f>HYPERLINK("https://klasma.github.io/Logging_0381/klagomål/A 1524-2023 FSC-klagomål.docx", "A 1524-2023")</f>
        <v/>
      </c>
      <c r="W426">
        <f>HYPERLINK("https://klasma.github.io/Logging_0381/klagomålsmail/A 1524-2023 FSC-klagomål mail.docx", "A 1524-2023")</f>
        <v/>
      </c>
      <c r="X426">
        <f>HYPERLINK("https://klasma.github.io/Logging_0381/tillsyn/A 1524-2023 tillsynsbegäran.docx", "A 1524-2023")</f>
        <v/>
      </c>
      <c r="Y426">
        <f>HYPERLINK("https://klasma.github.io/Logging_0381/tillsynsmail/A 1524-2023 tillsynsbegäran mail.docx", "A 1524-2023")</f>
        <v/>
      </c>
      <c r="Z426">
        <f>HYPERLINK("https://klasma.github.io/Logging_0381/fåglar/A 1524-2023 prioriterade fågelarter.docx", "A 1524-2023")</f>
        <v/>
      </c>
    </row>
    <row r="427" ht="15" customHeight="1">
      <c r="A427" t="inlineStr">
        <is>
          <t>A 61818-2022</t>
        </is>
      </c>
      <c r="B427" s="1" t="n">
        <v>44917</v>
      </c>
      <c r="C427" s="1" t="n">
        <v>46098</v>
      </c>
      <c r="D427" t="inlineStr">
        <is>
          <t>UPPSALA LÄN</t>
        </is>
      </c>
      <c r="E427" t="inlineStr">
        <is>
          <t>UPPSALA</t>
        </is>
      </c>
      <c r="F427" t="inlineStr">
        <is>
          <t>Holmen skog AB</t>
        </is>
      </c>
      <c r="G427" t="n">
        <v>0.8</v>
      </c>
      <c r="H427" t="n">
        <v>0</v>
      </c>
      <c r="I427" t="n">
        <v>0</v>
      </c>
      <c r="J427" t="n">
        <v>1</v>
      </c>
      <c r="K427" t="n">
        <v>0</v>
      </c>
      <c r="L427" t="n">
        <v>0</v>
      </c>
      <c r="M427" t="n">
        <v>0</v>
      </c>
      <c r="N427" t="n">
        <v>0</v>
      </c>
      <c r="O427" t="n">
        <v>1</v>
      </c>
      <c r="P427" t="n">
        <v>0</v>
      </c>
      <c r="Q427" t="n">
        <v>1</v>
      </c>
      <c r="R427" s="2" t="inlineStr">
        <is>
          <t>Blekticka</t>
        </is>
      </c>
      <c r="S427">
        <f>HYPERLINK("https://klasma.github.io/Logging_0380/artfynd/A 61818-2022 artfynd.xlsx", "A 61818-2022")</f>
        <v/>
      </c>
      <c r="T427">
        <f>HYPERLINK("https://klasma.github.io/Logging_0380/kartor/A 61818-2022 karta.png", "A 61818-2022")</f>
        <v/>
      </c>
      <c r="V427">
        <f>HYPERLINK("https://klasma.github.io/Logging_0380/klagomål/A 61818-2022 FSC-klagomål.docx", "A 61818-2022")</f>
        <v/>
      </c>
      <c r="W427">
        <f>HYPERLINK("https://klasma.github.io/Logging_0380/klagomålsmail/A 61818-2022 FSC-klagomål mail.docx", "A 61818-2022")</f>
        <v/>
      </c>
      <c r="X427">
        <f>HYPERLINK("https://klasma.github.io/Logging_0380/tillsyn/A 61818-2022 tillsynsbegäran.docx", "A 61818-2022")</f>
        <v/>
      </c>
      <c r="Y427">
        <f>HYPERLINK("https://klasma.github.io/Logging_0380/tillsynsmail/A 61818-2022 tillsynsbegäran mail.docx", "A 61818-2022")</f>
        <v/>
      </c>
    </row>
    <row r="428" ht="15" customHeight="1">
      <c r="A428" t="inlineStr">
        <is>
          <t>A 49015-2022</t>
        </is>
      </c>
      <c r="B428" s="1" t="n">
        <v>44855</v>
      </c>
      <c r="C428" s="1" t="n">
        <v>46098</v>
      </c>
      <c r="D428" t="inlineStr">
        <is>
          <t>UPPSALA LÄN</t>
        </is>
      </c>
      <c r="E428" t="inlineStr">
        <is>
          <t>UPPSALA</t>
        </is>
      </c>
      <c r="F428" t="inlineStr">
        <is>
          <t>Kommuner</t>
        </is>
      </c>
      <c r="G428" t="n">
        <v>4.5</v>
      </c>
      <c r="H428" t="n">
        <v>0</v>
      </c>
      <c r="I428" t="n">
        <v>0</v>
      </c>
      <c r="J428" t="n">
        <v>1</v>
      </c>
      <c r="K428" t="n">
        <v>0</v>
      </c>
      <c r="L428" t="n">
        <v>0</v>
      </c>
      <c r="M428" t="n">
        <v>0</v>
      </c>
      <c r="N428" t="n">
        <v>0</v>
      </c>
      <c r="O428" t="n">
        <v>1</v>
      </c>
      <c r="P428" t="n">
        <v>0</v>
      </c>
      <c r="Q428" t="n">
        <v>1</v>
      </c>
      <c r="R428" s="2" t="inlineStr">
        <is>
          <t>Harticka</t>
        </is>
      </c>
      <c r="S428">
        <f>HYPERLINK("https://klasma.github.io/Logging_0380/artfynd/A 49015-2022 artfynd.xlsx", "A 49015-2022")</f>
        <v/>
      </c>
      <c r="T428">
        <f>HYPERLINK("https://klasma.github.io/Logging_0380/kartor/A 49015-2022 karta.png", "A 49015-2022")</f>
        <v/>
      </c>
      <c r="V428">
        <f>HYPERLINK("https://klasma.github.io/Logging_0380/klagomål/A 49015-2022 FSC-klagomål.docx", "A 49015-2022")</f>
        <v/>
      </c>
      <c r="W428">
        <f>HYPERLINK("https://klasma.github.io/Logging_0380/klagomålsmail/A 49015-2022 FSC-klagomål mail.docx", "A 49015-2022")</f>
        <v/>
      </c>
      <c r="X428">
        <f>HYPERLINK("https://klasma.github.io/Logging_0380/tillsyn/A 49015-2022 tillsynsbegäran.docx", "A 49015-2022")</f>
        <v/>
      </c>
      <c r="Y428">
        <f>HYPERLINK("https://klasma.github.io/Logging_0380/tillsynsmail/A 49015-2022 tillsynsbegäran mail.docx", "A 49015-2022")</f>
        <v/>
      </c>
    </row>
    <row r="429" ht="15" customHeight="1">
      <c r="A429" t="inlineStr">
        <is>
          <t>A 4166-2026</t>
        </is>
      </c>
      <c r="B429" s="1" t="n">
        <v>46044.66402777778</v>
      </c>
      <c r="C429" s="1" t="n">
        <v>46098</v>
      </c>
      <c r="D429" t="inlineStr">
        <is>
          <t>UPPSALA LÄN</t>
        </is>
      </c>
      <c r="E429" t="inlineStr">
        <is>
          <t>ENKÖPING</t>
        </is>
      </c>
      <c r="G429" t="n">
        <v>1.7</v>
      </c>
      <c r="H429" t="n">
        <v>1</v>
      </c>
      <c r="I429" t="n">
        <v>0</v>
      </c>
      <c r="J429" t="n">
        <v>1</v>
      </c>
      <c r="K429" t="n">
        <v>0</v>
      </c>
      <c r="L429" t="n">
        <v>0</v>
      </c>
      <c r="M429" t="n">
        <v>0</v>
      </c>
      <c r="N429" t="n">
        <v>0</v>
      </c>
      <c r="O429" t="n">
        <v>1</v>
      </c>
      <c r="P429" t="n">
        <v>0</v>
      </c>
      <c r="Q429" t="n">
        <v>1</v>
      </c>
      <c r="R429" s="2" t="inlineStr">
        <is>
          <t>Gulsparv</t>
        </is>
      </c>
      <c r="S429">
        <f>HYPERLINK("https://klasma.github.io/Logging_0381/artfynd/A 4166-2026 artfynd.xlsx", "A 4166-2026")</f>
        <v/>
      </c>
      <c r="T429">
        <f>HYPERLINK("https://klasma.github.io/Logging_0381/kartor/A 4166-2026 karta.png", "A 4166-2026")</f>
        <v/>
      </c>
      <c r="V429">
        <f>HYPERLINK("https://klasma.github.io/Logging_0381/klagomål/A 4166-2026 FSC-klagomål.docx", "A 4166-2026")</f>
        <v/>
      </c>
      <c r="W429">
        <f>HYPERLINK("https://klasma.github.io/Logging_0381/klagomålsmail/A 4166-2026 FSC-klagomål mail.docx", "A 4166-2026")</f>
        <v/>
      </c>
      <c r="X429">
        <f>HYPERLINK("https://klasma.github.io/Logging_0381/tillsyn/A 4166-2026 tillsynsbegäran.docx", "A 4166-2026")</f>
        <v/>
      </c>
      <c r="Y429">
        <f>HYPERLINK("https://klasma.github.io/Logging_0381/tillsynsmail/A 4166-2026 tillsynsbegäran mail.docx", "A 4166-2026")</f>
        <v/>
      </c>
      <c r="Z429">
        <f>HYPERLINK("https://klasma.github.io/Logging_0381/fåglar/A 4166-2026 prioriterade fågelarter.docx", "A 4166-2026")</f>
        <v/>
      </c>
    </row>
    <row r="430" ht="15" customHeight="1">
      <c r="A430" t="inlineStr">
        <is>
          <t>A 4132-2026</t>
        </is>
      </c>
      <c r="B430" s="1" t="n">
        <v>46044.62596064815</v>
      </c>
      <c r="C430" s="1" t="n">
        <v>46098</v>
      </c>
      <c r="D430" t="inlineStr">
        <is>
          <t>UPPSALA LÄN</t>
        </is>
      </c>
      <c r="E430" t="inlineStr">
        <is>
          <t>ÄLVKARLEBY</t>
        </is>
      </c>
      <c r="F430" t="inlineStr">
        <is>
          <t>Bergvik skog öst AB</t>
        </is>
      </c>
      <c r="G430" t="n">
        <v>12.2</v>
      </c>
      <c r="H430" t="n">
        <v>1</v>
      </c>
      <c r="I430" t="n">
        <v>0</v>
      </c>
      <c r="J430" t="n">
        <v>0</v>
      </c>
      <c r="K430" t="n">
        <v>0</v>
      </c>
      <c r="L430" t="n">
        <v>0</v>
      </c>
      <c r="M430" t="n">
        <v>0</v>
      </c>
      <c r="N430" t="n">
        <v>0</v>
      </c>
      <c r="O430" t="n">
        <v>0</v>
      </c>
      <c r="P430" t="n">
        <v>0</v>
      </c>
      <c r="Q430" t="n">
        <v>1</v>
      </c>
      <c r="R430" s="2" t="inlineStr">
        <is>
          <t>Dubbelnycklar</t>
        </is>
      </c>
      <c r="S430">
        <f>HYPERLINK("https://klasma.github.io/Logging_0319/artfynd/A 4132-2026 artfynd.xlsx", "A 4132-2026")</f>
        <v/>
      </c>
      <c r="T430">
        <f>HYPERLINK("https://klasma.github.io/Logging_0319/kartor/A 4132-2026 karta.png", "A 4132-2026")</f>
        <v/>
      </c>
      <c r="V430">
        <f>HYPERLINK("https://klasma.github.io/Logging_0319/klagomål/A 4132-2026 FSC-klagomål.docx", "A 4132-2026")</f>
        <v/>
      </c>
      <c r="W430">
        <f>HYPERLINK("https://klasma.github.io/Logging_0319/klagomålsmail/A 4132-2026 FSC-klagomål mail.docx", "A 4132-2026")</f>
        <v/>
      </c>
      <c r="X430">
        <f>HYPERLINK("https://klasma.github.io/Logging_0319/tillsyn/A 4132-2026 tillsynsbegäran.docx", "A 4132-2026")</f>
        <v/>
      </c>
      <c r="Y430">
        <f>HYPERLINK("https://klasma.github.io/Logging_0319/tillsynsmail/A 4132-2026 tillsynsbegäran mail.docx", "A 4132-2026")</f>
        <v/>
      </c>
    </row>
    <row r="431" ht="15" customHeight="1">
      <c r="A431" t="inlineStr">
        <is>
          <t>A 5009-2023</t>
        </is>
      </c>
      <c r="B431" s="1" t="n">
        <v>44958</v>
      </c>
      <c r="C431" s="1" t="n">
        <v>46098</v>
      </c>
      <c r="D431" t="inlineStr">
        <is>
          <t>UPPSALA LÄN</t>
        </is>
      </c>
      <c r="E431" t="inlineStr">
        <is>
          <t>UPPSALA</t>
        </is>
      </c>
      <c r="G431" t="n">
        <v>4.7</v>
      </c>
      <c r="H431" t="n">
        <v>1</v>
      </c>
      <c r="I431" t="n">
        <v>0</v>
      </c>
      <c r="J431" t="n">
        <v>0</v>
      </c>
      <c r="K431" t="n">
        <v>0</v>
      </c>
      <c r="L431" t="n">
        <v>0</v>
      </c>
      <c r="M431" t="n">
        <v>0</v>
      </c>
      <c r="N431" t="n">
        <v>0</v>
      </c>
      <c r="O431" t="n">
        <v>0</v>
      </c>
      <c r="P431" t="n">
        <v>0</v>
      </c>
      <c r="Q431" t="n">
        <v>1</v>
      </c>
      <c r="R431" s="2" t="inlineStr">
        <is>
          <t>Blåsippa</t>
        </is>
      </c>
      <c r="S431">
        <f>HYPERLINK("https://klasma.github.io/Logging_0380/artfynd/A 5009-2023 artfynd.xlsx", "A 5009-2023")</f>
        <v/>
      </c>
      <c r="T431">
        <f>HYPERLINK("https://klasma.github.io/Logging_0380/kartor/A 5009-2023 karta.png", "A 5009-2023")</f>
        <v/>
      </c>
      <c r="V431">
        <f>HYPERLINK("https://klasma.github.io/Logging_0380/klagomål/A 5009-2023 FSC-klagomål.docx", "A 5009-2023")</f>
        <v/>
      </c>
      <c r="W431">
        <f>HYPERLINK("https://klasma.github.io/Logging_0380/klagomålsmail/A 5009-2023 FSC-klagomål mail.docx", "A 5009-2023")</f>
        <v/>
      </c>
      <c r="X431">
        <f>HYPERLINK("https://klasma.github.io/Logging_0380/tillsyn/A 5009-2023 tillsynsbegäran.docx", "A 5009-2023")</f>
        <v/>
      </c>
      <c r="Y431">
        <f>HYPERLINK("https://klasma.github.io/Logging_0380/tillsynsmail/A 5009-2023 tillsynsbegäran mail.docx", "A 5009-2023")</f>
        <v/>
      </c>
    </row>
    <row r="432" ht="15" customHeight="1">
      <c r="A432" t="inlineStr">
        <is>
          <t>A 8181-2022</t>
        </is>
      </c>
      <c r="B432" s="1" t="n">
        <v>44609</v>
      </c>
      <c r="C432" s="1" t="n">
        <v>46098</v>
      </c>
      <c r="D432" t="inlineStr">
        <is>
          <t>UPPSALA LÄN</t>
        </is>
      </c>
      <c r="E432" t="inlineStr">
        <is>
          <t>HEBY</t>
        </is>
      </c>
      <c r="G432" t="n">
        <v>6.5</v>
      </c>
      <c r="H432" t="n">
        <v>1</v>
      </c>
      <c r="I432" t="n">
        <v>0</v>
      </c>
      <c r="J432" t="n">
        <v>0</v>
      </c>
      <c r="K432" t="n">
        <v>0</v>
      </c>
      <c r="L432" t="n">
        <v>0</v>
      </c>
      <c r="M432" t="n">
        <v>0</v>
      </c>
      <c r="N432" t="n">
        <v>0</v>
      </c>
      <c r="O432" t="n">
        <v>0</v>
      </c>
      <c r="P432" t="n">
        <v>0</v>
      </c>
      <c r="Q432" t="n">
        <v>1</v>
      </c>
      <c r="R432" s="2" t="inlineStr">
        <is>
          <t>Kopparödla</t>
        </is>
      </c>
      <c r="S432">
        <f>HYPERLINK("https://klasma.github.io/Logging_0331/artfynd/A 8181-2022 artfynd.xlsx", "A 8181-2022")</f>
        <v/>
      </c>
      <c r="T432">
        <f>HYPERLINK("https://klasma.github.io/Logging_0331/kartor/A 8181-2022 karta.png", "A 8181-2022")</f>
        <v/>
      </c>
      <c r="V432">
        <f>HYPERLINK("https://klasma.github.io/Logging_0331/klagomål/A 8181-2022 FSC-klagomål.docx", "A 8181-2022")</f>
        <v/>
      </c>
      <c r="W432">
        <f>HYPERLINK("https://klasma.github.io/Logging_0331/klagomålsmail/A 8181-2022 FSC-klagomål mail.docx", "A 8181-2022")</f>
        <v/>
      </c>
      <c r="X432">
        <f>HYPERLINK("https://klasma.github.io/Logging_0331/tillsyn/A 8181-2022 tillsynsbegäran.docx", "A 8181-2022")</f>
        <v/>
      </c>
      <c r="Y432">
        <f>HYPERLINK("https://klasma.github.io/Logging_0331/tillsynsmail/A 8181-2022 tillsynsbegäran mail.docx", "A 8181-2022")</f>
        <v/>
      </c>
    </row>
    <row r="433" ht="15" customHeight="1">
      <c r="A433" t="inlineStr">
        <is>
          <t>A 10853-2025</t>
        </is>
      </c>
      <c r="B433" s="1" t="n">
        <v>45722.58457175926</v>
      </c>
      <c r="C433" s="1" t="n">
        <v>46098</v>
      </c>
      <c r="D433" t="inlineStr">
        <is>
          <t>UPPSALA LÄN</t>
        </is>
      </c>
      <c r="E433" t="inlineStr">
        <is>
          <t>TIERP</t>
        </is>
      </c>
      <c r="F433" t="inlineStr">
        <is>
          <t>Bergvik skog öst AB</t>
        </is>
      </c>
      <c r="G433" t="n">
        <v>2.2</v>
      </c>
      <c r="H433" t="n">
        <v>1</v>
      </c>
      <c r="I433" t="n">
        <v>0</v>
      </c>
      <c r="J433" t="n">
        <v>0</v>
      </c>
      <c r="K433" t="n">
        <v>0</v>
      </c>
      <c r="L433" t="n">
        <v>0</v>
      </c>
      <c r="M433" t="n">
        <v>0</v>
      </c>
      <c r="N433" t="n">
        <v>0</v>
      </c>
      <c r="O433" t="n">
        <v>0</v>
      </c>
      <c r="P433" t="n">
        <v>0</v>
      </c>
      <c r="Q433" t="n">
        <v>1</v>
      </c>
      <c r="R433" s="2" t="inlineStr">
        <is>
          <t>Blåsippa</t>
        </is>
      </c>
      <c r="S433">
        <f>HYPERLINK("https://klasma.github.io/Logging_0360/artfynd/A 10853-2025 artfynd.xlsx", "A 10853-2025")</f>
        <v/>
      </c>
      <c r="T433">
        <f>HYPERLINK("https://klasma.github.io/Logging_0360/kartor/A 10853-2025 karta.png", "A 10853-2025")</f>
        <v/>
      </c>
      <c r="V433">
        <f>HYPERLINK("https://klasma.github.io/Logging_0360/klagomål/A 10853-2025 FSC-klagomål.docx", "A 10853-2025")</f>
        <v/>
      </c>
      <c r="W433">
        <f>HYPERLINK("https://klasma.github.io/Logging_0360/klagomålsmail/A 10853-2025 FSC-klagomål mail.docx", "A 10853-2025")</f>
        <v/>
      </c>
      <c r="X433">
        <f>HYPERLINK("https://klasma.github.io/Logging_0360/tillsyn/A 10853-2025 tillsynsbegäran.docx", "A 10853-2025")</f>
        <v/>
      </c>
      <c r="Y433">
        <f>HYPERLINK("https://klasma.github.io/Logging_0360/tillsynsmail/A 10853-2025 tillsynsbegäran mail.docx", "A 10853-2025")</f>
        <v/>
      </c>
    </row>
    <row r="434" ht="15" customHeight="1">
      <c r="A434" t="inlineStr">
        <is>
          <t>A 4714-2026</t>
        </is>
      </c>
      <c r="B434" s="1" t="n">
        <v>46048.46175925926</v>
      </c>
      <c r="C434" s="1" t="n">
        <v>46098</v>
      </c>
      <c r="D434" t="inlineStr">
        <is>
          <t>UPPSALA LÄN</t>
        </is>
      </c>
      <c r="E434" t="inlineStr">
        <is>
          <t>ÖSTHAMMAR</t>
        </is>
      </c>
      <c r="G434" t="n">
        <v>6.3</v>
      </c>
      <c r="H434" t="n">
        <v>1</v>
      </c>
      <c r="I434" t="n">
        <v>0</v>
      </c>
      <c r="J434" t="n">
        <v>1</v>
      </c>
      <c r="K434" t="n">
        <v>0</v>
      </c>
      <c r="L434" t="n">
        <v>0</v>
      </c>
      <c r="M434" t="n">
        <v>0</v>
      </c>
      <c r="N434" t="n">
        <v>0</v>
      </c>
      <c r="O434" t="n">
        <v>1</v>
      </c>
      <c r="P434" t="n">
        <v>0</v>
      </c>
      <c r="Q434" t="n">
        <v>1</v>
      </c>
      <c r="R434" s="2" t="inlineStr">
        <is>
          <t>Nordfladdermus</t>
        </is>
      </c>
      <c r="S434">
        <f>HYPERLINK("https://klasma.github.io/Logging_0382/artfynd/A 4714-2026 artfynd.xlsx", "A 4714-2026")</f>
        <v/>
      </c>
      <c r="T434">
        <f>HYPERLINK("https://klasma.github.io/Logging_0382/kartor/A 4714-2026 karta.png", "A 4714-2026")</f>
        <v/>
      </c>
      <c r="V434">
        <f>HYPERLINK("https://klasma.github.io/Logging_0382/klagomål/A 4714-2026 FSC-klagomål.docx", "A 4714-2026")</f>
        <v/>
      </c>
      <c r="W434">
        <f>HYPERLINK("https://klasma.github.io/Logging_0382/klagomålsmail/A 4714-2026 FSC-klagomål mail.docx", "A 4714-2026")</f>
        <v/>
      </c>
      <c r="X434">
        <f>HYPERLINK("https://klasma.github.io/Logging_0382/tillsyn/A 4714-2026 tillsynsbegäran.docx", "A 4714-2026")</f>
        <v/>
      </c>
      <c r="Y434">
        <f>HYPERLINK("https://klasma.github.io/Logging_0382/tillsynsmail/A 4714-2026 tillsynsbegäran mail.docx", "A 4714-2026")</f>
        <v/>
      </c>
    </row>
    <row r="435" ht="15" customHeight="1">
      <c r="A435" t="inlineStr">
        <is>
          <t>A 13002-2026</t>
        </is>
      </c>
      <c r="B435" s="1" t="n">
        <v>46092.68854166667</v>
      </c>
      <c r="C435" s="1" t="n">
        <v>46098</v>
      </c>
      <c r="D435" t="inlineStr">
        <is>
          <t>UPPSALA LÄN</t>
        </is>
      </c>
      <c r="E435" t="inlineStr">
        <is>
          <t>KNIVSTA</t>
        </is>
      </c>
      <c r="F435" t="inlineStr">
        <is>
          <t>Holmen skog AB</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HYPERLINK("https://klasma.github.io/Logging_0330/artfynd/A 13002-2026 artfynd.xlsx", "A 13002-2026")</f>
        <v/>
      </c>
      <c r="T435">
        <f>HYPERLINK("https://klasma.github.io/Logging_0330/kartor/A 13002-2026 karta.png", "A 13002-2026")</f>
        <v/>
      </c>
      <c r="U435">
        <f>HYPERLINK("https://klasma.github.io/Logging_0330/knärot/A 13002-2026 karta knärot.png", "A 13002-2026")</f>
        <v/>
      </c>
      <c r="V435">
        <f>HYPERLINK("https://klasma.github.io/Logging_0330/klagomål/A 13002-2026 FSC-klagomål.docx", "A 13002-2026")</f>
        <v/>
      </c>
      <c r="W435">
        <f>HYPERLINK("https://klasma.github.io/Logging_0330/klagomålsmail/A 13002-2026 FSC-klagomål mail.docx", "A 13002-2026")</f>
        <v/>
      </c>
      <c r="X435">
        <f>HYPERLINK("https://klasma.github.io/Logging_0330/tillsyn/A 13002-2026 tillsynsbegäran.docx", "A 13002-2026")</f>
        <v/>
      </c>
      <c r="Y435">
        <f>HYPERLINK("https://klasma.github.io/Logging_0330/tillsynsmail/A 13002-2026 tillsynsbegäran mail.docx", "A 13002-2026")</f>
        <v/>
      </c>
    </row>
    <row r="436" ht="15" customHeight="1">
      <c r="A436" t="inlineStr">
        <is>
          <t>A 13004-2026</t>
        </is>
      </c>
      <c r="B436" s="1" t="n">
        <v>46092.68935185186</v>
      </c>
      <c r="C436" s="1" t="n">
        <v>46098</v>
      </c>
      <c r="D436" t="inlineStr">
        <is>
          <t>UPPSALA LÄN</t>
        </is>
      </c>
      <c r="E436" t="inlineStr">
        <is>
          <t>KNIVSTA</t>
        </is>
      </c>
      <c r="F436" t="inlineStr">
        <is>
          <t>Holmen skog AB</t>
        </is>
      </c>
      <c r="G436" t="n">
        <v>7.8</v>
      </c>
      <c r="H436" t="n">
        <v>1</v>
      </c>
      <c r="I436" t="n">
        <v>0</v>
      </c>
      <c r="J436" t="n">
        <v>1</v>
      </c>
      <c r="K436" t="n">
        <v>0</v>
      </c>
      <c r="L436" t="n">
        <v>0</v>
      </c>
      <c r="M436" t="n">
        <v>0</v>
      </c>
      <c r="N436" t="n">
        <v>0</v>
      </c>
      <c r="O436" t="n">
        <v>1</v>
      </c>
      <c r="P436" t="n">
        <v>0</v>
      </c>
      <c r="Q436" t="n">
        <v>1</v>
      </c>
      <c r="R436" s="2" t="inlineStr">
        <is>
          <t>Spillkråka</t>
        </is>
      </c>
      <c r="S436">
        <f>HYPERLINK("https://klasma.github.io/Logging_0330/artfynd/A 13004-2026 artfynd.xlsx", "A 13004-2026")</f>
        <v/>
      </c>
      <c r="T436">
        <f>HYPERLINK("https://klasma.github.io/Logging_0330/kartor/A 13004-2026 karta.png", "A 13004-2026")</f>
        <v/>
      </c>
      <c r="U436">
        <f>HYPERLINK("https://klasma.github.io/Logging_0330/knärot/A 13004-2026 karta knärot.png", "A 13004-2026")</f>
        <v/>
      </c>
      <c r="V436">
        <f>HYPERLINK("https://klasma.github.io/Logging_0330/klagomål/A 13004-2026 FSC-klagomål.docx", "A 13004-2026")</f>
        <v/>
      </c>
      <c r="W436">
        <f>HYPERLINK("https://klasma.github.io/Logging_0330/klagomålsmail/A 13004-2026 FSC-klagomål mail.docx", "A 13004-2026")</f>
        <v/>
      </c>
      <c r="X436">
        <f>HYPERLINK("https://klasma.github.io/Logging_0330/tillsyn/A 13004-2026 tillsynsbegäran.docx", "A 13004-2026")</f>
        <v/>
      </c>
      <c r="Y436">
        <f>HYPERLINK("https://klasma.github.io/Logging_0330/tillsynsmail/A 13004-2026 tillsynsbegäran mail.docx", "A 13004-2026")</f>
        <v/>
      </c>
      <c r="Z436">
        <f>HYPERLINK("https://klasma.github.io/Logging_0330/fåglar/A 13004-2026 prioriterade fågelarter.docx", "A 13004-2026")</f>
        <v/>
      </c>
    </row>
    <row r="437" ht="15" customHeight="1">
      <c r="A437" t="inlineStr">
        <is>
          <t>A 5730-2026</t>
        </is>
      </c>
      <c r="B437" s="1" t="n">
        <v>46051.57261574074</v>
      </c>
      <c r="C437" s="1" t="n">
        <v>46098</v>
      </c>
      <c r="D437" t="inlineStr">
        <is>
          <t>UPPSALA LÄN</t>
        </is>
      </c>
      <c r="E437" t="inlineStr">
        <is>
          <t>TIERP</t>
        </is>
      </c>
      <c r="G437" t="n">
        <v>5.4</v>
      </c>
      <c r="H437" t="n">
        <v>0</v>
      </c>
      <c r="I437" t="n">
        <v>0</v>
      </c>
      <c r="J437" t="n">
        <v>1</v>
      </c>
      <c r="K437" t="n">
        <v>0</v>
      </c>
      <c r="L437" t="n">
        <v>0</v>
      </c>
      <c r="M437" t="n">
        <v>0</v>
      </c>
      <c r="N437" t="n">
        <v>0</v>
      </c>
      <c r="O437" t="n">
        <v>1</v>
      </c>
      <c r="P437" t="n">
        <v>0</v>
      </c>
      <c r="Q437" t="n">
        <v>1</v>
      </c>
      <c r="R437" s="2" t="inlineStr">
        <is>
          <t>Odörspindling</t>
        </is>
      </c>
      <c r="S437">
        <f>HYPERLINK("https://klasma.github.io/Logging_0360/artfynd/A 5730-2026 artfynd.xlsx", "A 5730-2026")</f>
        <v/>
      </c>
      <c r="T437">
        <f>HYPERLINK("https://klasma.github.io/Logging_0360/kartor/A 5730-2026 karta.png", "A 5730-2026")</f>
        <v/>
      </c>
      <c r="V437">
        <f>HYPERLINK("https://klasma.github.io/Logging_0360/klagomål/A 5730-2026 FSC-klagomål.docx", "A 5730-2026")</f>
        <v/>
      </c>
      <c r="W437">
        <f>HYPERLINK("https://klasma.github.io/Logging_0360/klagomålsmail/A 5730-2026 FSC-klagomål mail.docx", "A 5730-2026")</f>
        <v/>
      </c>
      <c r="X437">
        <f>HYPERLINK("https://klasma.github.io/Logging_0360/tillsyn/A 5730-2026 tillsynsbegäran.docx", "A 5730-2026")</f>
        <v/>
      </c>
      <c r="Y437">
        <f>HYPERLINK("https://klasma.github.io/Logging_0360/tillsynsmail/A 5730-2026 tillsynsbegäran mail.docx", "A 5730-2026")</f>
        <v/>
      </c>
    </row>
    <row r="438" ht="15" customHeight="1">
      <c r="A438" t="inlineStr">
        <is>
          <t>A 25729-2024</t>
        </is>
      </c>
      <c r="B438" s="1" t="n">
        <v>45464</v>
      </c>
      <c r="C438" s="1" t="n">
        <v>46098</v>
      </c>
      <c r="D438" t="inlineStr">
        <is>
          <t>UPPSALA LÄN</t>
        </is>
      </c>
      <c r="E438" t="inlineStr">
        <is>
          <t>UPPSALA</t>
        </is>
      </c>
      <c r="G438" t="n">
        <v>22.3</v>
      </c>
      <c r="H438" t="n">
        <v>0</v>
      </c>
      <c r="I438" t="n">
        <v>0</v>
      </c>
      <c r="J438" t="n">
        <v>1</v>
      </c>
      <c r="K438" t="n">
        <v>0</v>
      </c>
      <c r="L438" t="n">
        <v>0</v>
      </c>
      <c r="M438" t="n">
        <v>0</v>
      </c>
      <c r="N438" t="n">
        <v>0</v>
      </c>
      <c r="O438" t="n">
        <v>1</v>
      </c>
      <c r="P438" t="n">
        <v>0</v>
      </c>
      <c r="Q438" t="n">
        <v>1</v>
      </c>
      <c r="R438" s="2" t="inlineStr">
        <is>
          <t>Ullticka</t>
        </is>
      </c>
      <c r="S438">
        <f>HYPERLINK("https://klasma.github.io/Logging_0380/artfynd/A 25729-2024 artfynd.xlsx", "A 25729-2024")</f>
        <v/>
      </c>
      <c r="T438">
        <f>HYPERLINK("https://klasma.github.io/Logging_0380/kartor/A 25729-2024 karta.png", "A 25729-2024")</f>
        <v/>
      </c>
      <c r="V438">
        <f>HYPERLINK("https://klasma.github.io/Logging_0380/klagomål/A 25729-2024 FSC-klagomål.docx", "A 25729-2024")</f>
        <v/>
      </c>
      <c r="W438">
        <f>HYPERLINK("https://klasma.github.io/Logging_0380/klagomålsmail/A 25729-2024 FSC-klagomål mail.docx", "A 25729-2024")</f>
        <v/>
      </c>
      <c r="X438">
        <f>HYPERLINK("https://klasma.github.io/Logging_0380/tillsyn/A 25729-2024 tillsynsbegäran.docx", "A 25729-2024")</f>
        <v/>
      </c>
      <c r="Y438">
        <f>HYPERLINK("https://klasma.github.io/Logging_0380/tillsynsmail/A 25729-2024 tillsynsbegäran mail.docx", "A 25729-2024")</f>
        <v/>
      </c>
    </row>
    <row r="439" ht="15" customHeight="1">
      <c r="A439" t="inlineStr">
        <is>
          <t>A 6398-2026</t>
        </is>
      </c>
      <c r="B439" s="1" t="n">
        <v>46055.65600694445</v>
      </c>
      <c r="C439" s="1" t="n">
        <v>46098</v>
      </c>
      <c r="D439" t="inlineStr">
        <is>
          <t>UPPSALA LÄN</t>
        </is>
      </c>
      <c r="E439" t="inlineStr">
        <is>
          <t>HEBY</t>
        </is>
      </c>
      <c r="G439" t="n">
        <v>1.6</v>
      </c>
      <c r="H439" t="n">
        <v>1</v>
      </c>
      <c r="I439" t="n">
        <v>0</v>
      </c>
      <c r="J439" t="n">
        <v>0</v>
      </c>
      <c r="K439" t="n">
        <v>0</v>
      </c>
      <c r="L439" t="n">
        <v>1</v>
      </c>
      <c r="M439" t="n">
        <v>0</v>
      </c>
      <c r="N439" t="n">
        <v>0</v>
      </c>
      <c r="O439" t="n">
        <v>1</v>
      </c>
      <c r="P439" t="n">
        <v>1</v>
      </c>
      <c r="Q439" t="n">
        <v>1</v>
      </c>
      <c r="R439" s="2" t="inlineStr">
        <is>
          <t>Mosippa</t>
        </is>
      </c>
      <c r="S439">
        <f>HYPERLINK("https://klasma.github.io/Logging_0331/artfynd/A 6398-2026 artfynd.xlsx", "A 6398-2026")</f>
        <v/>
      </c>
      <c r="T439">
        <f>HYPERLINK("https://klasma.github.io/Logging_0331/kartor/A 6398-2026 karta.png", "A 6398-2026")</f>
        <v/>
      </c>
      <c r="V439">
        <f>HYPERLINK("https://klasma.github.io/Logging_0331/klagomål/A 6398-2026 FSC-klagomål.docx", "A 6398-2026")</f>
        <v/>
      </c>
      <c r="W439">
        <f>HYPERLINK("https://klasma.github.io/Logging_0331/klagomålsmail/A 6398-2026 FSC-klagomål mail.docx", "A 6398-2026")</f>
        <v/>
      </c>
      <c r="X439">
        <f>HYPERLINK("https://klasma.github.io/Logging_0331/tillsyn/A 6398-2026 tillsynsbegäran.docx", "A 6398-2026")</f>
        <v/>
      </c>
      <c r="Y439">
        <f>HYPERLINK("https://klasma.github.io/Logging_0331/tillsynsmail/A 6398-2026 tillsynsbegäran mail.docx", "A 6398-2026")</f>
        <v/>
      </c>
    </row>
    <row r="440" ht="15" customHeight="1">
      <c r="A440" t="inlineStr">
        <is>
          <t>A 46629-2024</t>
        </is>
      </c>
      <c r="B440" s="1" t="n">
        <v>45583.33221064815</v>
      </c>
      <c r="C440" s="1" t="n">
        <v>46098</v>
      </c>
      <c r="D440" t="inlineStr">
        <is>
          <t>UPPSALA LÄN</t>
        </is>
      </c>
      <c r="E440" t="inlineStr">
        <is>
          <t>ÖSTHAMMAR</t>
        </is>
      </c>
      <c r="F440" t="inlineStr">
        <is>
          <t>Bergvik skog öst AB</t>
        </is>
      </c>
      <c r="G440" t="n">
        <v>0.7</v>
      </c>
      <c r="H440" t="n">
        <v>0</v>
      </c>
      <c r="I440" t="n">
        <v>0</v>
      </c>
      <c r="J440" t="n">
        <v>1</v>
      </c>
      <c r="K440" t="n">
        <v>0</v>
      </c>
      <c r="L440" t="n">
        <v>0</v>
      </c>
      <c r="M440" t="n">
        <v>0</v>
      </c>
      <c r="N440" t="n">
        <v>0</v>
      </c>
      <c r="O440" t="n">
        <v>1</v>
      </c>
      <c r="P440" t="n">
        <v>0</v>
      </c>
      <c r="Q440" t="n">
        <v>1</v>
      </c>
      <c r="R440" s="2" t="inlineStr">
        <is>
          <t>Slåtterfibbla</t>
        </is>
      </c>
      <c r="S440">
        <f>HYPERLINK("https://klasma.github.io/Logging_0382/artfynd/A 46629-2024 artfynd.xlsx", "A 46629-2024")</f>
        <v/>
      </c>
      <c r="T440">
        <f>HYPERLINK("https://klasma.github.io/Logging_0382/kartor/A 46629-2024 karta.png", "A 46629-2024")</f>
        <v/>
      </c>
      <c r="V440">
        <f>HYPERLINK("https://klasma.github.io/Logging_0382/klagomål/A 46629-2024 FSC-klagomål.docx", "A 46629-2024")</f>
        <v/>
      </c>
      <c r="W440">
        <f>HYPERLINK("https://klasma.github.io/Logging_0382/klagomålsmail/A 46629-2024 FSC-klagomål mail.docx", "A 46629-2024")</f>
        <v/>
      </c>
      <c r="X440">
        <f>HYPERLINK("https://klasma.github.io/Logging_0382/tillsyn/A 46629-2024 tillsynsbegäran.docx", "A 46629-2024")</f>
        <v/>
      </c>
      <c r="Y440">
        <f>HYPERLINK("https://klasma.github.io/Logging_0382/tillsynsmail/A 46629-2024 tillsynsbegäran mail.docx", "A 46629-2024")</f>
        <v/>
      </c>
    </row>
    <row r="441" ht="15" customHeight="1">
      <c r="A441" t="inlineStr">
        <is>
          <t>A 52849-2021</t>
        </is>
      </c>
      <c r="B441" s="1" t="n">
        <v>44467</v>
      </c>
      <c r="C441" s="1" t="n">
        <v>46098</v>
      </c>
      <c r="D441" t="inlineStr">
        <is>
          <t>UPPSALA LÄN</t>
        </is>
      </c>
      <c r="E441" t="inlineStr">
        <is>
          <t>UPPSALA</t>
        </is>
      </c>
      <c r="F441" t="inlineStr">
        <is>
          <t>Övriga Aktiebolag</t>
        </is>
      </c>
      <c r="G441" t="n">
        <v>3.3</v>
      </c>
      <c r="H441" t="n">
        <v>0</v>
      </c>
      <c r="I441" t="n">
        <v>0</v>
      </c>
      <c r="J441" t="n">
        <v>1</v>
      </c>
      <c r="K441" t="n">
        <v>0</v>
      </c>
      <c r="L441" t="n">
        <v>0</v>
      </c>
      <c r="M441" t="n">
        <v>0</v>
      </c>
      <c r="N441" t="n">
        <v>0</v>
      </c>
      <c r="O441" t="n">
        <v>1</v>
      </c>
      <c r="P441" t="n">
        <v>0</v>
      </c>
      <c r="Q441" t="n">
        <v>1</v>
      </c>
      <c r="R441" s="2" t="inlineStr">
        <is>
          <t>Skogshare</t>
        </is>
      </c>
      <c r="S441">
        <f>HYPERLINK("https://klasma.github.io/Logging_0380/artfynd/A 52849-2021 artfynd.xlsx", "A 52849-2021")</f>
        <v/>
      </c>
      <c r="T441">
        <f>HYPERLINK("https://klasma.github.io/Logging_0380/kartor/A 52849-2021 karta.png", "A 52849-2021")</f>
        <v/>
      </c>
      <c r="V441">
        <f>HYPERLINK("https://klasma.github.io/Logging_0380/klagomål/A 52849-2021 FSC-klagomål.docx", "A 52849-2021")</f>
        <v/>
      </c>
      <c r="W441">
        <f>HYPERLINK("https://klasma.github.io/Logging_0380/klagomålsmail/A 52849-2021 FSC-klagomål mail.docx", "A 52849-2021")</f>
        <v/>
      </c>
      <c r="X441">
        <f>HYPERLINK("https://klasma.github.io/Logging_0380/tillsyn/A 52849-2021 tillsynsbegäran.docx", "A 52849-2021")</f>
        <v/>
      </c>
      <c r="Y441">
        <f>HYPERLINK("https://klasma.github.io/Logging_0380/tillsynsmail/A 52849-2021 tillsynsbegäran mail.docx", "A 52849-2021")</f>
        <v/>
      </c>
    </row>
    <row r="442" ht="15" customHeight="1">
      <c r="A442" t="inlineStr">
        <is>
          <t>A 39741-2023</t>
        </is>
      </c>
      <c r="B442" s="1" t="n">
        <v>45167</v>
      </c>
      <c r="C442" s="1" t="n">
        <v>46098</v>
      </c>
      <c r="D442" t="inlineStr">
        <is>
          <t>UPPSALA LÄN</t>
        </is>
      </c>
      <c r="E442" t="inlineStr">
        <is>
          <t>UPPSALA</t>
        </is>
      </c>
      <c r="G442" t="n">
        <v>5.6</v>
      </c>
      <c r="H442" t="n">
        <v>1</v>
      </c>
      <c r="I442" t="n">
        <v>0</v>
      </c>
      <c r="J442" t="n">
        <v>1</v>
      </c>
      <c r="K442" t="n">
        <v>0</v>
      </c>
      <c r="L442" t="n">
        <v>0</v>
      </c>
      <c r="M442" t="n">
        <v>0</v>
      </c>
      <c r="N442" t="n">
        <v>0</v>
      </c>
      <c r="O442" t="n">
        <v>1</v>
      </c>
      <c r="P442" t="n">
        <v>0</v>
      </c>
      <c r="Q442" t="n">
        <v>1</v>
      </c>
      <c r="R442" s="2" t="inlineStr">
        <is>
          <t>Entita</t>
        </is>
      </c>
      <c r="S442">
        <f>HYPERLINK("https://klasma.github.io/Logging_0380/artfynd/A 39741-2023 artfynd.xlsx", "A 39741-2023")</f>
        <v/>
      </c>
      <c r="T442">
        <f>HYPERLINK("https://klasma.github.io/Logging_0380/kartor/A 39741-2023 karta.png", "A 39741-2023")</f>
        <v/>
      </c>
      <c r="V442">
        <f>HYPERLINK("https://klasma.github.io/Logging_0380/klagomål/A 39741-2023 FSC-klagomål.docx", "A 39741-2023")</f>
        <v/>
      </c>
      <c r="W442">
        <f>HYPERLINK("https://klasma.github.io/Logging_0380/klagomålsmail/A 39741-2023 FSC-klagomål mail.docx", "A 39741-2023")</f>
        <v/>
      </c>
      <c r="X442">
        <f>HYPERLINK("https://klasma.github.io/Logging_0380/tillsyn/A 39741-2023 tillsynsbegäran.docx", "A 39741-2023")</f>
        <v/>
      </c>
      <c r="Y442">
        <f>HYPERLINK("https://klasma.github.io/Logging_0380/tillsynsmail/A 39741-2023 tillsynsbegäran mail.docx", "A 39741-2023")</f>
        <v/>
      </c>
      <c r="Z442">
        <f>HYPERLINK("https://klasma.github.io/Logging_0380/fåglar/A 39741-2023 prioriterade fågelarter.docx", "A 39741-2023")</f>
        <v/>
      </c>
    </row>
    <row r="443" ht="15" customHeight="1">
      <c r="A443" t="inlineStr">
        <is>
          <t>A 10034-2023</t>
        </is>
      </c>
      <c r="B443" s="1" t="n">
        <v>44985</v>
      </c>
      <c r="C443" s="1" t="n">
        <v>46098</v>
      </c>
      <c r="D443" t="inlineStr">
        <is>
          <t>UPPSALA LÄN</t>
        </is>
      </c>
      <c r="E443" t="inlineStr">
        <is>
          <t>ÖSTHAMMAR</t>
        </is>
      </c>
      <c r="G443" t="n">
        <v>2.1</v>
      </c>
      <c r="H443" t="n">
        <v>1</v>
      </c>
      <c r="I443" t="n">
        <v>0</v>
      </c>
      <c r="J443" t="n">
        <v>0</v>
      </c>
      <c r="K443" t="n">
        <v>0</v>
      </c>
      <c r="L443" t="n">
        <v>0</v>
      </c>
      <c r="M443" t="n">
        <v>0</v>
      </c>
      <c r="N443" t="n">
        <v>0</v>
      </c>
      <c r="O443" t="n">
        <v>0</v>
      </c>
      <c r="P443" t="n">
        <v>0</v>
      </c>
      <c r="Q443" t="n">
        <v>1</v>
      </c>
      <c r="R443" s="2" t="inlineStr">
        <is>
          <t>Blåsippa</t>
        </is>
      </c>
      <c r="S443">
        <f>HYPERLINK("https://klasma.github.io/Logging_0382/artfynd/A 10034-2023 artfynd.xlsx", "A 10034-2023")</f>
        <v/>
      </c>
      <c r="T443">
        <f>HYPERLINK("https://klasma.github.io/Logging_0382/kartor/A 10034-2023 karta.png", "A 10034-2023")</f>
        <v/>
      </c>
      <c r="V443">
        <f>HYPERLINK("https://klasma.github.io/Logging_0382/klagomål/A 10034-2023 FSC-klagomål.docx", "A 10034-2023")</f>
        <v/>
      </c>
      <c r="W443">
        <f>HYPERLINK("https://klasma.github.io/Logging_0382/klagomålsmail/A 10034-2023 FSC-klagomål mail.docx", "A 10034-2023")</f>
        <v/>
      </c>
      <c r="X443">
        <f>HYPERLINK("https://klasma.github.io/Logging_0382/tillsyn/A 10034-2023 tillsynsbegäran.docx", "A 10034-2023")</f>
        <v/>
      </c>
      <c r="Y443">
        <f>HYPERLINK("https://klasma.github.io/Logging_0382/tillsynsmail/A 10034-2023 tillsynsbegäran mail.docx", "A 10034-2023")</f>
        <v/>
      </c>
    </row>
    <row r="444" ht="15" customHeight="1">
      <c r="A444" t="inlineStr">
        <is>
          <t>A 5454-2022</t>
        </is>
      </c>
      <c r="B444" s="1" t="n">
        <v>44595</v>
      </c>
      <c r="C444" s="1" t="n">
        <v>46098</v>
      </c>
      <c r="D444" t="inlineStr">
        <is>
          <t>UPPSALA LÄN</t>
        </is>
      </c>
      <c r="E444" t="inlineStr">
        <is>
          <t>TIERP</t>
        </is>
      </c>
      <c r="G444" t="n">
        <v>2</v>
      </c>
      <c r="H444" t="n">
        <v>0</v>
      </c>
      <c r="I444" t="n">
        <v>1</v>
      </c>
      <c r="J444" t="n">
        <v>0</v>
      </c>
      <c r="K444" t="n">
        <v>0</v>
      </c>
      <c r="L444" t="n">
        <v>0</v>
      </c>
      <c r="M444" t="n">
        <v>0</v>
      </c>
      <c r="N444" t="n">
        <v>0</v>
      </c>
      <c r="O444" t="n">
        <v>0</v>
      </c>
      <c r="P444" t="n">
        <v>0</v>
      </c>
      <c r="Q444" t="n">
        <v>1</v>
      </c>
      <c r="R444" s="2" t="inlineStr">
        <is>
          <t>Anisspindling</t>
        </is>
      </c>
      <c r="S444">
        <f>HYPERLINK("https://klasma.github.io/Logging_0360/artfynd/A 5454-2022 artfynd.xlsx", "A 5454-2022")</f>
        <v/>
      </c>
      <c r="T444">
        <f>HYPERLINK("https://klasma.github.io/Logging_0360/kartor/A 5454-2022 karta.png", "A 5454-2022")</f>
        <v/>
      </c>
      <c r="U444">
        <f>HYPERLINK("https://klasma.github.io/Logging_0360/knärot/A 5454-2022 karta knärot.png", "A 5454-2022")</f>
        <v/>
      </c>
      <c r="V444">
        <f>HYPERLINK("https://klasma.github.io/Logging_0360/klagomål/A 5454-2022 FSC-klagomål.docx", "A 5454-2022")</f>
        <v/>
      </c>
      <c r="W444">
        <f>HYPERLINK("https://klasma.github.io/Logging_0360/klagomålsmail/A 5454-2022 FSC-klagomål mail.docx", "A 5454-2022")</f>
        <v/>
      </c>
      <c r="X444">
        <f>HYPERLINK("https://klasma.github.io/Logging_0360/tillsyn/A 5454-2022 tillsynsbegäran.docx", "A 5454-2022")</f>
        <v/>
      </c>
      <c r="Y444">
        <f>HYPERLINK("https://klasma.github.io/Logging_0360/tillsynsmail/A 5454-2022 tillsynsbegäran mail.docx", "A 5454-2022")</f>
        <v/>
      </c>
    </row>
    <row r="445" ht="15" customHeight="1">
      <c r="A445" t="inlineStr">
        <is>
          <t>A 60055-2022</t>
        </is>
      </c>
      <c r="B445" s="1" t="n">
        <v>44909</v>
      </c>
      <c r="C445" s="1" t="n">
        <v>46098</v>
      </c>
      <c r="D445" t="inlineStr">
        <is>
          <t>UPPSALA LÄN</t>
        </is>
      </c>
      <c r="E445" t="inlineStr">
        <is>
          <t>UPPSALA</t>
        </is>
      </c>
      <c r="G445" t="n">
        <v>11.4</v>
      </c>
      <c r="H445" t="n">
        <v>1</v>
      </c>
      <c r="I445" t="n">
        <v>0</v>
      </c>
      <c r="J445" t="n">
        <v>0</v>
      </c>
      <c r="K445" t="n">
        <v>0</v>
      </c>
      <c r="L445" t="n">
        <v>0</v>
      </c>
      <c r="M445" t="n">
        <v>0</v>
      </c>
      <c r="N445" t="n">
        <v>0</v>
      </c>
      <c r="O445" t="n">
        <v>0</v>
      </c>
      <c r="P445" t="n">
        <v>0</v>
      </c>
      <c r="Q445" t="n">
        <v>1</v>
      </c>
      <c r="R445" s="2" t="inlineStr">
        <is>
          <t>Tjäder</t>
        </is>
      </c>
      <c r="S445">
        <f>HYPERLINK("https://klasma.github.io/Logging_0380/artfynd/A 60055-2022 artfynd.xlsx", "A 60055-2022")</f>
        <v/>
      </c>
      <c r="T445">
        <f>HYPERLINK("https://klasma.github.io/Logging_0380/kartor/A 60055-2022 karta.png", "A 60055-2022")</f>
        <v/>
      </c>
      <c r="V445">
        <f>HYPERLINK("https://klasma.github.io/Logging_0380/klagomål/A 60055-2022 FSC-klagomål.docx", "A 60055-2022")</f>
        <v/>
      </c>
      <c r="W445">
        <f>HYPERLINK("https://klasma.github.io/Logging_0380/klagomålsmail/A 60055-2022 FSC-klagomål mail.docx", "A 60055-2022")</f>
        <v/>
      </c>
      <c r="X445">
        <f>HYPERLINK("https://klasma.github.io/Logging_0380/tillsyn/A 60055-2022 tillsynsbegäran.docx", "A 60055-2022")</f>
        <v/>
      </c>
      <c r="Y445">
        <f>HYPERLINK("https://klasma.github.io/Logging_0380/tillsynsmail/A 60055-2022 tillsynsbegäran mail.docx", "A 60055-2022")</f>
        <v/>
      </c>
      <c r="Z445">
        <f>HYPERLINK("https://klasma.github.io/Logging_0380/fåglar/A 60055-2022 prioriterade fågelarter.docx", "A 60055-2022")</f>
        <v/>
      </c>
    </row>
    <row r="446" ht="15" customHeight="1">
      <c r="A446" t="inlineStr">
        <is>
          <t>A 7470-2022</t>
        </is>
      </c>
      <c r="B446" s="1" t="n">
        <v>44607</v>
      </c>
      <c r="C446" s="1" t="n">
        <v>46098</v>
      </c>
      <c r="D446" t="inlineStr">
        <is>
          <t>UPPSALA LÄN</t>
        </is>
      </c>
      <c r="E446" t="inlineStr">
        <is>
          <t>ÖSTHAMMAR</t>
        </is>
      </c>
      <c r="G446" t="n">
        <v>2.6</v>
      </c>
      <c r="H446" t="n">
        <v>1</v>
      </c>
      <c r="I446" t="n">
        <v>1</v>
      </c>
      <c r="J446" t="n">
        <v>0</v>
      </c>
      <c r="K446" t="n">
        <v>0</v>
      </c>
      <c r="L446" t="n">
        <v>0</v>
      </c>
      <c r="M446" t="n">
        <v>0</v>
      </c>
      <c r="N446" t="n">
        <v>0</v>
      </c>
      <c r="O446" t="n">
        <v>0</v>
      </c>
      <c r="P446" t="n">
        <v>0</v>
      </c>
      <c r="Q446" t="n">
        <v>1</v>
      </c>
      <c r="R446" s="2" t="inlineStr">
        <is>
          <t>Grön sköldmossa</t>
        </is>
      </c>
      <c r="S446">
        <f>HYPERLINK("https://klasma.github.io/Logging_0382/artfynd/A 7470-2022 artfynd.xlsx", "A 7470-2022")</f>
        <v/>
      </c>
      <c r="T446">
        <f>HYPERLINK("https://klasma.github.io/Logging_0382/kartor/A 7470-2022 karta.png", "A 7470-2022")</f>
        <v/>
      </c>
      <c r="V446">
        <f>HYPERLINK("https://klasma.github.io/Logging_0382/klagomål/A 7470-2022 FSC-klagomål.docx", "A 7470-2022")</f>
        <v/>
      </c>
      <c r="W446">
        <f>HYPERLINK("https://klasma.github.io/Logging_0382/klagomålsmail/A 7470-2022 FSC-klagomål mail.docx", "A 7470-2022")</f>
        <v/>
      </c>
      <c r="X446">
        <f>HYPERLINK("https://klasma.github.io/Logging_0382/tillsyn/A 7470-2022 tillsynsbegäran.docx", "A 7470-2022")</f>
        <v/>
      </c>
      <c r="Y446">
        <f>HYPERLINK("https://klasma.github.io/Logging_0382/tillsynsmail/A 7470-2022 tillsynsbegäran mail.docx", "A 7470-2022")</f>
        <v/>
      </c>
    </row>
    <row r="447" ht="15" customHeight="1">
      <c r="A447" t="inlineStr">
        <is>
          <t>A 63982-2023</t>
        </is>
      </c>
      <c r="B447" s="1" t="n">
        <v>45278.72756944445</v>
      </c>
      <c r="C447" s="1" t="n">
        <v>46098</v>
      </c>
      <c r="D447" t="inlineStr">
        <is>
          <t>UPPSALA LÄN</t>
        </is>
      </c>
      <c r="E447" t="inlineStr">
        <is>
          <t>HEBY</t>
        </is>
      </c>
      <c r="F447" t="inlineStr">
        <is>
          <t>Kyrkan</t>
        </is>
      </c>
      <c r="G447" t="n">
        <v>1.6</v>
      </c>
      <c r="H447" t="n">
        <v>1</v>
      </c>
      <c r="I447" t="n">
        <v>0</v>
      </c>
      <c r="J447" t="n">
        <v>0</v>
      </c>
      <c r="K447" t="n">
        <v>0</v>
      </c>
      <c r="L447" t="n">
        <v>0</v>
      </c>
      <c r="M447" t="n">
        <v>0</v>
      </c>
      <c r="N447" t="n">
        <v>0</v>
      </c>
      <c r="O447" t="n">
        <v>0</v>
      </c>
      <c r="P447" t="n">
        <v>0</v>
      </c>
      <c r="Q447" t="n">
        <v>1</v>
      </c>
      <c r="R447" s="2" t="inlineStr">
        <is>
          <t>Tjäder</t>
        </is>
      </c>
      <c r="S447">
        <f>HYPERLINK("https://klasma.github.io/Logging_0331/artfynd/A 63982-2023 artfynd.xlsx", "A 63982-2023")</f>
        <v/>
      </c>
      <c r="T447">
        <f>HYPERLINK("https://klasma.github.io/Logging_0331/kartor/A 63982-2023 karta.png", "A 63982-2023")</f>
        <v/>
      </c>
      <c r="V447">
        <f>HYPERLINK("https://klasma.github.io/Logging_0331/klagomål/A 63982-2023 FSC-klagomål.docx", "A 63982-2023")</f>
        <v/>
      </c>
      <c r="W447">
        <f>HYPERLINK("https://klasma.github.io/Logging_0331/klagomålsmail/A 63982-2023 FSC-klagomål mail.docx", "A 63982-2023")</f>
        <v/>
      </c>
      <c r="X447">
        <f>HYPERLINK("https://klasma.github.io/Logging_0331/tillsyn/A 63982-2023 tillsynsbegäran.docx", "A 63982-2023")</f>
        <v/>
      </c>
      <c r="Y447">
        <f>HYPERLINK("https://klasma.github.io/Logging_0331/tillsynsmail/A 63982-2023 tillsynsbegäran mail.docx", "A 63982-2023")</f>
        <v/>
      </c>
      <c r="Z447">
        <f>HYPERLINK("https://klasma.github.io/Logging_0331/fåglar/A 63982-2023 prioriterade fågelarter.docx", "A 63982-2023")</f>
        <v/>
      </c>
    </row>
    <row r="448" ht="15" customHeight="1">
      <c r="A448" t="inlineStr">
        <is>
          <t>A 19139-2021</t>
        </is>
      </c>
      <c r="B448" s="1" t="n">
        <v>44308</v>
      </c>
      <c r="C448" s="1" t="n">
        <v>46098</v>
      </c>
      <c r="D448" t="inlineStr">
        <is>
          <t>UPPSALA LÄN</t>
        </is>
      </c>
      <c r="E448" t="inlineStr">
        <is>
          <t>HEBY</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HYPERLINK("https://klasma.github.io/Logging_0331/artfynd/A 19139-2021 artfynd.xlsx", "A 19139-2021")</f>
        <v/>
      </c>
      <c r="T448">
        <f>HYPERLINK("https://klasma.github.io/Logging_0331/kartor/A 19139-2021 karta.png", "A 19139-2021")</f>
        <v/>
      </c>
      <c r="U448">
        <f>HYPERLINK("https://klasma.github.io/Logging_0331/knärot/A 19139-2021 karta knärot.png", "A 19139-2021")</f>
        <v/>
      </c>
      <c r="V448">
        <f>HYPERLINK("https://klasma.github.io/Logging_0331/klagomål/A 19139-2021 FSC-klagomål.docx", "A 19139-2021")</f>
        <v/>
      </c>
      <c r="W448">
        <f>HYPERLINK("https://klasma.github.io/Logging_0331/klagomålsmail/A 19139-2021 FSC-klagomål mail.docx", "A 19139-2021")</f>
        <v/>
      </c>
      <c r="X448">
        <f>HYPERLINK("https://klasma.github.io/Logging_0331/tillsyn/A 19139-2021 tillsynsbegäran.docx", "A 19139-2021")</f>
        <v/>
      </c>
      <c r="Y448">
        <f>HYPERLINK("https://klasma.github.io/Logging_0331/tillsynsmail/A 19139-2021 tillsynsbegäran mail.docx", "A 19139-2021")</f>
        <v/>
      </c>
    </row>
    <row r="449" ht="15" customHeight="1">
      <c r="A449" t="inlineStr">
        <is>
          <t>A 57793-2022</t>
        </is>
      </c>
      <c r="B449" s="1" t="n">
        <v>44897</v>
      </c>
      <c r="C449" s="1" t="n">
        <v>46098</v>
      </c>
      <c r="D449" t="inlineStr">
        <is>
          <t>UPPSALA LÄN</t>
        </is>
      </c>
      <c r="E449" t="inlineStr">
        <is>
          <t>UPPSALA</t>
        </is>
      </c>
      <c r="G449" t="n">
        <v>2.9</v>
      </c>
      <c r="H449" t="n">
        <v>1</v>
      </c>
      <c r="I449" t="n">
        <v>0</v>
      </c>
      <c r="J449" t="n">
        <v>1</v>
      </c>
      <c r="K449" t="n">
        <v>0</v>
      </c>
      <c r="L449" t="n">
        <v>0</v>
      </c>
      <c r="M449" t="n">
        <v>0</v>
      </c>
      <c r="N449" t="n">
        <v>0</v>
      </c>
      <c r="O449" t="n">
        <v>1</v>
      </c>
      <c r="P449" t="n">
        <v>0</v>
      </c>
      <c r="Q449" t="n">
        <v>1</v>
      </c>
      <c r="R449" s="2" t="inlineStr">
        <is>
          <t>Talltita</t>
        </is>
      </c>
      <c r="S449">
        <f>HYPERLINK("https://klasma.github.io/Logging_0380/artfynd/A 57793-2022 artfynd.xlsx", "A 57793-2022")</f>
        <v/>
      </c>
      <c r="T449">
        <f>HYPERLINK("https://klasma.github.io/Logging_0380/kartor/A 57793-2022 karta.png", "A 57793-2022")</f>
        <v/>
      </c>
      <c r="V449">
        <f>HYPERLINK("https://klasma.github.io/Logging_0380/klagomål/A 57793-2022 FSC-klagomål.docx", "A 57793-2022")</f>
        <v/>
      </c>
      <c r="W449">
        <f>HYPERLINK("https://klasma.github.io/Logging_0380/klagomålsmail/A 57793-2022 FSC-klagomål mail.docx", "A 57793-2022")</f>
        <v/>
      </c>
      <c r="X449">
        <f>HYPERLINK("https://klasma.github.io/Logging_0380/tillsyn/A 57793-2022 tillsynsbegäran.docx", "A 57793-2022")</f>
        <v/>
      </c>
      <c r="Y449">
        <f>HYPERLINK("https://klasma.github.io/Logging_0380/tillsynsmail/A 57793-2022 tillsynsbegäran mail.docx", "A 57793-2022")</f>
        <v/>
      </c>
      <c r="Z449">
        <f>HYPERLINK("https://klasma.github.io/Logging_0380/fåglar/A 57793-2022 prioriterade fågelarter.docx", "A 57793-2022")</f>
        <v/>
      </c>
    </row>
    <row r="450" ht="15" customHeight="1">
      <c r="A450" t="inlineStr">
        <is>
          <t>A 5750-2023</t>
        </is>
      </c>
      <c r="B450" s="1" t="n">
        <v>44963</v>
      </c>
      <c r="C450" s="1" t="n">
        <v>46098</v>
      </c>
      <c r="D450" t="inlineStr">
        <is>
          <t>UPPSALA LÄN</t>
        </is>
      </c>
      <c r="E450" t="inlineStr">
        <is>
          <t>UPPSALA</t>
        </is>
      </c>
      <c r="G450" t="n">
        <v>13.8</v>
      </c>
      <c r="H450" t="n">
        <v>0</v>
      </c>
      <c r="I450" t="n">
        <v>0</v>
      </c>
      <c r="J450" t="n">
        <v>0</v>
      </c>
      <c r="K450" t="n">
        <v>1</v>
      </c>
      <c r="L450" t="n">
        <v>0</v>
      </c>
      <c r="M450" t="n">
        <v>0</v>
      </c>
      <c r="N450" t="n">
        <v>0</v>
      </c>
      <c r="O450" t="n">
        <v>1</v>
      </c>
      <c r="P450" t="n">
        <v>1</v>
      </c>
      <c r="Q450" t="n">
        <v>1</v>
      </c>
      <c r="R450" s="2" t="inlineStr">
        <is>
          <t>Raggbock</t>
        </is>
      </c>
      <c r="S450">
        <f>HYPERLINK("https://klasma.github.io/Logging_0380/artfynd/A 5750-2023 artfynd.xlsx", "A 5750-2023")</f>
        <v/>
      </c>
      <c r="T450">
        <f>HYPERLINK("https://klasma.github.io/Logging_0380/kartor/A 5750-2023 karta.png", "A 5750-2023")</f>
        <v/>
      </c>
      <c r="V450">
        <f>HYPERLINK("https://klasma.github.io/Logging_0380/klagomål/A 5750-2023 FSC-klagomål.docx", "A 5750-2023")</f>
        <v/>
      </c>
      <c r="W450">
        <f>HYPERLINK("https://klasma.github.io/Logging_0380/klagomålsmail/A 5750-2023 FSC-klagomål mail.docx", "A 5750-2023")</f>
        <v/>
      </c>
      <c r="X450">
        <f>HYPERLINK("https://klasma.github.io/Logging_0380/tillsyn/A 5750-2023 tillsynsbegäran.docx", "A 5750-2023")</f>
        <v/>
      </c>
      <c r="Y450">
        <f>HYPERLINK("https://klasma.github.io/Logging_0380/tillsynsmail/A 5750-2023 tillsynsbegäran mail.docx", "A 5750-2023")</f>
        <v/>
      </c>
    </row>
    <row r="451" ht="15" customHeight="1">
      <c r="A451" t="inlineStr">
        <is>
          <t>A 22209-2022</t>
        </is>
      </c>
      <c r="B451" s="1" t="n">
        <v>44712</v>
      </c>
      <c r="C451" s="1" t="n">
        <v>46098</v>
      </c>
      <c r="D451" t="inlineStr">
        <is>
          <t>UPPSALA LÄN</t>
        </is>
      </c>
      <c r="E451" t="inlineStr">
        <is>
          <t>ÖSTHAMMAR</t>
        </is>
      </c>
      <c r="F451" t="inlineStr">
        <is>
          <t>Bergvik skog öst AB</t>
        </is>
      </c>
      <c r="G451" t="n">
        <v>1.5</v>
      </c>
      <c r="H451" t="n">
        <v>1</v>
      </c>
      <c r="I451" t="n">
        <v>0</v>
      </c>
      <c r="J451" t="n">
        <v>0</v>
      </c>
      <c r="K451" t="n">
        <v>0</v>
      </c>
      <c r="L451" t="n">
        <v>0</v>
      </c>
      <c r="M451" t="n">
        <v>0</v>
      </c>
      <c r="N451" t="n">
        <v>0</v>
      </c>
      <c r="O451" t="n">
        <v>0</v>
      </c>
      <c r="P451" t="n">
        <v>0</v>
      </c>
      <c r="Q451" t="n">
        <v>1</v>
      </c>
      <c r="R451" s="2" t="inlineStr">
        <is>
          <t>Blåsippa</t>
        </is>
      </c>
      <c r="S451">
        <f>HYPERLINK("https://klasma.github.io/Logging_0382/artfynd/A 22209-2022 artfynd.xlsx", "A 22209-2022")</f>
        <v/>
      </c>
      <c r="T451">
        <f>HYPERLINK("https://klasma.github.io/Logging_0382/kartor/A 22209-2022 karta.png", "A 22209-2022")</f>
        <v/>
      </c>
      <c r="V451">
        <f>HYPERLINK("https://klasma.github.io/Logging_0382/klagomål/A 22209-2022 FSC-klagomål.docx", "A 22209-2022")</f>
        <v/>
      </c>
      <c r="W451">
        <f>HYPERLINK("https://klasma.github.io/Logging_0382/klagomålsmail/A 22209-2022 FSC-klagomål mail.docx", "A 22209-2022")</f>
        <v/>
      </c>
      <c r="X451">
        <f>HYPERLINK("https://klasma.github.io/Logging_0382/tillsyn/A 22209-2022 tillsynsbegäran.docx", "A 22209-2022")</f>
        <v/>
      </c>
      <c r="Y451">
        <f>HYPERLINK("https://klasma.github.io/Logging_0382/tillsynsmail/A 22209-2022 tillsynsbegäran mail.docx", "A 22209-2022")</f>
        <v/>
      </c>
    </row>
    <row r="452" ht="15" customHeight="1">
      <c r="A452" t="inlineStr">
        <is>
          <t>A 16733-2025</t>
        </is>
      </c>
      <c r="B452" s="1" t="n">
        <v>45754</v>
      </c>
      <c r="C452" s="1" t="n">
        <v>46098</v>
      </c>
      <c r="D452" t="inlineStr">
        <is>
          <t>UPPSALA LÄN</t>
        </is>
      </c>
      <c r="E452" t="inlineStr">
        <is>
          <t>TIERP</t>
        </is>
      </c>
      <c r="F452" t="inlineStr">
        <is>
          <t>Bergvik skog väst AB</t>
        </is>
      </c>
      <c r="G452" t="n">
        <v>4.5</v>
      </c>
      <c r="H452" t="n">
        <v>0</v>
      </c>
      <c r="I452" t="n">
        <v>0</v>
      </c>
      <c r="J452" t="n">
        <v>1</v>
      </c>
      <c r="K452" t="n">
        <v>0</v>
      </c>
      <c r="L452" t="n">
        <v>0</v>
      </c>
      <c r="M452" t="n">
        <v>0</v>
      </c>
      <c r="N452" t="n">
        <v>0</v>
      </c>
      <c r="O452" t="n">
        <v>1</v>
      </c>
      <c r="P452" t="n">
        <v>0</v>
      </c>
      <c r="Q452" t="n">
        <v>1</v>
      </c>
      <c r="R452" s="2" t="inlineStr">
        <is>
          <t>Rödbrun blekspik</t>
        </is>
      </c>
      <c r="S452">
        <f>HYPERLINK("https://klasma.github.io/Logging_0360/artfynd/A 16733-2025 artfynd.xlsx", "A 16733-2025")</f>
        <v/>
      </c>
      <c r="T452">
        <f>HYPERLINK("https://klasma.github.io/Logging_0360/kartor/A 16733-2025 karta.png", "A 16733-2025")</f>
        <v/>
      </c>
      <c r="V452">
        <f>HYPERLINK("https://klasma.github.io/Logging_0360/klagomål/A 16733-2025 FSC-klagomål.docx", "A 16733-2025")</f>
        <v/>
      </c>
      <c r="W452">
        <f>HYPERLINK("https://klasma.github.io/Logging_0360/klagomålsmail/A 16733-2025 FSC-klagomål mail.docx", "A 16733-2025")</f>
        <v/>
      </c>
      <c r="X452">
        <f>HYPERLINK("https://klasma.github.io/Logging_0360/tillsyn/A 16733-2025 tillsynsbegäran.docx", "A 16733-2025")</f>
        <v/>
      </c>
      <c r="Y452">
        <f>HYPERLINK("https://klasma.github.io/Logging_0360/tillsynsmail/A 16733-2025 tillsynsbegäran mail.docx", "A 16733-2025")</f>
        <v/>
      </c>
    </row>
    <row r="453" ht="15" customHeight="1">
      <c r="A453" t="inlineStr">
        <is>
          <t>A 16973-2021</t>
        </is>
      </c>
      <c r="B453" s="1" t="n">
        <v>44295</v>
      </c>
      <c r="C453" s="1" t="n">
        <v>46098</v>
      </c>
      <c r="D453" t="inlineStr">
        <is>
          <t>UPPSALA LÄN</t>
        </is>
      </c>
      <c r="E453" t="inlineStr">
        <is>
          <t>KNIVSTA</t>
        </is>
      </c>
      <c r="G453" t="n">
        <v>5.5</v>
      </c>
      <c r="H453" t="n">
        <v>0</v>
      </c>
      <c r="I453" t="n">
        <v>0</v>
      </c>
      <c r="J453" t="n">
        <v>1</v>
      </c>
      <c r="K453" t="n">
        <v>0</v>
      </c>
      <c r="L453" t="n">
        <v>0</v>
      </c>
      <c r="M453" t="n">
        <v>0</v>
      </c>
      <c r="N453" t="n">
        <v>0</v>
      </c>
      <c r="O453" t="n">
        <v>1</v>
      </c>
      <c r="P453" t="n">
        <v>0</v>
      </c>
      <c r="Q453" t="n">
        <v>1</v>
      </c>
      <c r="R453" s="2" t="inlineStr">
        <is>
          <t>Backklöver</t>
        </is>
      </c>
      <c r="S453">
        <f>HYPERLINK("https://klasma.github.io/Logging_0330/artfynd/A 16973-2021 artfynd.xlsx", "A 16973-2021")</f>
        <v/>
      </c>
      <c r="T453">
        <f>HYPERLINK("https://klasma.github.io/Logging_0330/kartor/A 16973-2021 karta.png", "A 16973-2021")</f>
        <v/>
      </c>
      <c r="V453">
        <f>HYPERLINK("https://klasma.github.io/Logging_0330/klagomål/A 16973-2021 FSC-klagomål.docx", "A 16973-2021")</f>
        <v/>
      </c>
      <c r="W453">
        <f>HYPERLINK("https://klasma.github.io/Logging_0330/klagomålsmail/A 16973-2021 FSC-klagomål mail.docx", "A 16973-2021")</f>
        <v/>
      </c>
      <c r="X453">
        <f>HYPERLINK("https://klasma.github.io/Logging_0330/tillsyn/A 16973-2021 tillsynsbegäran.docx", "A 16973-2021")</f>
        <v/>
      </c>
      <c r="Y453">
        <f>HYPERLINK("https://klasma.github.io/Logging_0330/tillsynsmail/A 16973-2021 tillsynsbegäran mail.docx", "A 16973-2021")</f>
        <v/>
      </c>
    </row>
    <row r="454" ht="15" customHeight="1">
      <c r="A454" t="inlineStr">
        <is>
          <t>A 46634-2022</t>
        </is>
      </c>
      <c r="B454" s="1" t="n">
        <v>44849</v>
      </c>
      <c r="C454" s="1" t="n">
        <v>46098</v>
      </c>
      <c r="D454" t="inlineStr">
        <is>
          <t>UPPSALA LÄN</t>
        </is>
      </c>
      <c r="E454" t="inlineStr">
        <is>
          <t>UPPSALA</t>
        </is>
      </c>
      <c r="G454" t="n">
        <v>2.9</v>
      </c>
      <c r="H454" t="n">
        <v>0</v>
      </c>
      <c r="I454" t="n">
        <v>1</v>
      </c>
      <c r="J454" t="n">
        <v>0</v>
      </c>
      <c r="K454" t="n">
        <v>0</v>
      </c>
      <c r="L454" t="n">
        <v>0</v>
      </c>
      <c r="M454" t="n">
        <v>0</v>
      </c>
      <c r="N454" t="n">
        <v>0</v>
      </c>
      <c r="O454" t="n">
        <v>0</v>
      </c>
      <c r="P454" t="n">
        <v>0</v>
      </c>
      <c r="Q454" t="n">
        <v>1</v>
      </c>
      <c r="R454" s="2" t="inlineStr">
        <is>
          <t>Fjällig taggsvamp s.str.</t>
        </is>
      </c>
      <c r="S454">
        <f>HYPERLINK("https://klasma.github.io/Logging_0380/artfynd/A 46634-2022 artfynd.xlsx", "A 46634-2022")</f>
        <v/>
      </c>
      <c r="T454">
        <f>HYPERLINK("https://klasma.github.io/Logging_0380/kartor/A 46634-2022 karta.png", "A 46634-2022")</f>
        <v/>
      </c>
      <c r="V454">
        <f>HYPERLINK("https://klasma.github.io/Logging_0380/klagomål/A 46634-2022 FSC-klagomål.docx", "A 46634-2022")</f>
        <v/>
      </c>
      <c r="W454">
        <f>HYPERLINK("https://klasma.github.io/Logging_0380/klagomålsmail/A 46634-2022 FSC-klagomål mail.docx", "A 46634-2022")</f>
        <v/>
      </c>
      <c r="X454">
        <f>HYPERLINK("https://klasma.github.io/Logging_0380/tillsyn/A 46634-2022 tillsynsbegäran.docx", "A 46634-2022")</f>
        <v/>
      </c>
      <c r="Y454">
        <f>HYPERLINK("https://klasma.github.io/Logging_0380/tillsynsmail/A 46634-2022 tillsynsbegäran mail.docx", "A 46634-2022")</f>
        <v/>
      </c>
    </row>
    <row r="455" ht="15" customHeight="1">
      <c r="A455" t="inlineStr">
        <is>
          <t>A 12753-2024</t>
        </is>
      </c>
      <c r="B455" s="1" t="n">
        <v>45384</v>
      </c>
      <c r="C455" s="1" t="n">
        <v>46098</v>
      </c>
      <c r="D455" t="inlineStr">
        <is>
          <t>UPPSALA LÄN</t>
        </is>
      </c>
      <c r="E455" t="inlineStr">
        <is>
          <t>ÖSTHAMMAR</t>
        </is>
      </c>
      <c r="G455" t="n">
        <v>1.7</v>
      </c>
      <c r="H455" t="n">
        <v>0</v>
      </c>
      <c r="I455" t="n">
        <v>0</v>
      </c>
      <c r="J455" t="n">
        <v>1</v>
      </c>
      <c r="K455" t="n">
        <v>0</v>
      </c>
      <c r="L455" t="n">
        <v>0</v>
      </c>
      <c r="M455" t="n">
        <v>0</v>
      </c>
      <c r="N455" t="n">
        <v>0</v>
      </c>
      <c r="O455" t="n">
        <v>1</v>
      </c>
      <c r="P455" t="n">
        <v>0</v>
      </c>
      <c r="Q455" t="n">
        <v>1</v>
      </c>
      <c r="R455" s="2" t="inlineStr">
        <is>
          <t>Flattoppad klubbsvamp</t>
        </is>
      </c>
      <c r="S455">
        <f>HYPERLINK("https://klasma.github.io/Logging_0382/artfynd/A 12753-2024 artfynd.xlsx", "A 12753-2024")</f>
        <v/>
      </c>
      <c r="T455">
        <f>HYPERLINK("https://klasma.github.io/Logging_0382/kartor/A 12753-2024 karta.png", "A 12753-2024")</f>
        <v/>
      </c>
      <c r="V455">
        <f>HYPERLINK("https://klasma.github.io/Logging_0382/klagomål/A 12753-2024 FSC-klagomål.docx", "A 12753-2024")</f>
        <v/>
      </c>
      <c r="W455">
        <f>HYPERLINK("https://klasma.github.io/Logging_0382/klagomålsmail/A 12753-2024 FSC-klagomål mail.docx", "A 12753-2024")</f>
        <v/>
      </c>
      <c r="X455">
        <f>HYPERLINK("https://klasma.github.io/Logging_0382/tillsyn/A 12753-2024 tillsynsbegäran.docx", "A 12753-2024")</f>
        <v/>
      </c>
      <c r="Y455">
        <f>HYPERLINK("https://klasma.github.io/Logging_0382/tillsynsmail/A 12753-2024 tillsynsbegäran mail.docx", "A 12753-2024")</f>
        <v/>
      </c>
    </row>
    <row r="456" ht="15" customHeight="1">
      <c r="A456" t="inlineStr">
        <is>
          <t>A 55663-2024</t>
        </is>
      </c>
      <c r="B456" s="1" t="n">
        <v>45622</v>
      </c>
      <c r="C456" s="1" t="n">
        <v>46098</v>
      </c>
      <c r="D456" t="inlineStr">
        <is>
          <t>UPPSALA LÄN</t>
        </is>
      </c>
      <c r="E456" t="inlineStr">
        <is>
          <t>HEBY</t>
        </is>
      </c>
      <c r="F456" t="inlineStr">
        <is>
          <t>Bergvik skog väst AB</t>
        </is>
      </c>
      <c r="G456" t="n">
        <v>4.5</v>
      </c>
      <c r="H456" t="n">
        <v>0</v>
      </c>
      <c r="I456" t="n">
        <v>0</v>
      </c>
      <c r="J456" t="n">
        <v>1</v>
      </c>
      <c r="K456" t="n">
        <v>0</v>
      </c>
      <c r="L456" t="n">
        <v>0</v>
      </c>
      <c r="M456" t="n">
        <v>0</v>
      </c>
      <c r="N456" t="n">
        <v>0</v>
      </c>
      <c r="O456" t="n">
        <v>1</v>
      </c>
      <c r="P456" t="n">
        <v>0</v>
      </c>
      <c r="Q456" t="n">
        <v>1</v>
      </c>
      <c r="R456" s="2" t="inlineStr">
        <is>
          <t>Ullticka</t>
        </is>
      </c>
      <c r="S456">
        <f>HYPERLINK("https://klasma.github.io/Logging_0331/artfynd/A 55663-2024 artfynd.xlsx", "A 55663-2024")</f>
        <v/>
      </c>
      <c r="T456">
        <f>HYPERLINK("https://klasma.github.io/Logging_0331/kartor/A 55663-2024 karta.png", "A 55663-2024")</f>
        <v/>
      </c>
      <c r="V456">
        <f>HYPERLINK("https://klasma.github.io/Logging_0331/klagomål/A 55663-2024 FSC-klagomål.docx", "A 55663-2024")</f>
        <v/>
      </c>
      <c r="W456">
        <f>HYPERLINK("https://klasma.github.io/Logging_0331/klagomålsmail/A 55663-2024 FSC-klagomål mail.docx", "A 55663-2024")</f>
        <v/>
      </c>
      <c r="X456">
        <f>HYPERLINK("https://klasma.github.io/Logging_0331/tillsyn/A 55663-2024 tillsynsbegäran.docx", "A 55663-2024")</f>
        <v/>
      </c>
      <c r="Y456">
        <f>HYPERLINK("https://klasma.github.io/Logging_0331/tillsynsmail/A 55663-2024 tillsynsbegäran mail.docx", "A 55663-2024")</f>
        <v/>
      </c>
    </row>
    <row r="457" ht="15" customHeight="1">
      <c r="A457" t="inlineStr">
        <is>
          <t>A 24797-2022</t>
        </is>
      </c>
      <c r="B457" s="1" t="n">
        <v>44728</v>
      </c>
      <c r="C457" s="1" t="n">
        <v>46098</v>
      </c>
      <c r="D457" t="inlineStr">
        <is>
          <t>UPPSALA LÄN</t>
        </is>
      </c>
      <c r="E457" t="inlineStr">
        <is>
          <t>ÖSTHAMMAR</t>
        </is>
      </c>
      <c r="F457" t="inlineStr">
        <is>
          <t>Sveaskog</t>
        </is>
      </c>
      <c r="G457" t="n">
        <v>1.7</v>
      </c>
      <c r="H457" t="n">
        <v>1</v>
      </c>
      <c r="I457" t="n">
        <v>0</v>
      </c>
      <c r="J457" t="n">
        <v>1</v>
      </c>
      <c r="K457" t="n">
        <v>0</v>
      </c>
      <c r="L457" t="n">
        <v>0</v>
      </c>
      <c r="M457" t="n">
        <v>0</v>
      </c>
      <c r="N457" t="n">
        <v>0</v>
      </c>
      <c r="O457" t="n">
        <v>1</v>
      </c>
      <c r="P457" t="n">
        <v>0</v>
      </c>
      <c r="Q457" t="n">
        <v>1</v>
      </c>
      <c r="R457" s="2" t="inlineStr">
        <is>
          <t>Gulsparv</t>
        </is>
      </c>
      <c r="S457">
        <f>HYPERLINK("https://klasma.github.io/Logging_0382/artfynd/A 24797-2022 artfynd.xlsx", "A 24797-2022")</f>
        <v/>
      </c>
      <c r="T457">
        <f>HYPERLINK("https://klasma.github.io/Logging_0382/kartor/A 24797-2022 karta.png", "A 24797-2022")</f>
        <v/>
      </c>
      <c r="V457">
        <f>HYPERLINK("https://klasma.github.io/Logging_0382/klagomål/A 24797-2022 FSC-klagomål.docx", "A 24797-2022")</f>
        <v/>
      </c>
      <c r="W457">
        <f>HYPERLINK("https://klasma.github.io/Logging_0382/klagomålsmail/A 24797-2022 FSC-klagomål mail.docx", "A 24797-2022")</f>
        <v/>
      </c>
      <c r="X457">
        <f>HYPERLINK("https://klasma.github.io/Logging_0382/tillsyn/A 24797-2022 tillsynsbegäran.docx", "A 24797-2022")</f>
        <v/>
      </c>
      <c r="Y457">
        <f>HYPERLINK("https://klasma.github.io/Logging_0382/tillsynsmail/A 24797-2022 tillsynsbegäran mail.docx", "A 24797-2022")</f>
        <v/>
      </c>
      <c r="Z457">
        <f>HYPERLINK("https://klasma.github.io/Logging_0382/fåglar/A 24797-2022 prioriterade fågelarter.docx", "A 24797-2022")</f>
        <v/>
      </c>
    </row>
    <row r="458" ht="15" customHeight="1">
      <c r="A458" t="inlineStr">
        <is>
          <t>A 13093-2024</t>
        </is>
      </c>
      <c r="B458" s="1" t="n">
        <v>45385</v>
      </c>
      <c r="C458" s="1" t="n">
        <v>46098</v>
      </c>
      <c r="D458" t="inlineStr">
        <is>
          <t>UPPSALA LÄN</t>
        </is>
      </c>
      <c r="E458" t="inlineStr">
        <is>
          <t>UPPSALA</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HYPERLINK("https://klasma.github.io/Logging_0380/artfynd/A 13093-2024 artfynd.xlsx", "A 13093-2024")</f>
        <v/>
      </c>
      <c r="T458">
        <f>HYPERLINK("https://klasma.github.io/Logging_0380/kartor/A 13093-2024 karta.png", "A 13093-2024")</f>
        <v/>
      </c>
      <c r="V458">
        <f>HYPERLINK("https://klasma.github.io/Logging_0380/klagomål/A 13093-2024 FSC-klagomål.docx", "A 13093-2024")</f>
        <v/>
      </c>
      <c r="W458">
        <f>HYPERLINK("https://klasma.github.io/Logging_0380/klagomålsmail/A 13093-2024 FSC-klagomål mail.docx", "A 13093-2024")</f>
        <v/>
      </c>
      <c r="X458">
        <f>HYPERLINK("https://klasma.github.io/Logging_0380/tillsyn/A 13093-2024 tillsynsbegäran.docx", "A 13093-2024")</f>
        <v/>
      </c>
      <c r="Y458">
        <f>HYPERLINK("https://klasma.github.io/Logging_0380/tillsynsmail/A 13093-2024 tillsynsbegäran mail.docx", "A 13093-2024")</f>
        <v/>
      </c>
    </row>
    <row r="459" ht="15" customHeight="1">
      <c r="A459" t="inlineStr">
        <is>
          <t>A 738-2022</t>
        </is>
      </c>
      <c r="B459" s="1" t="n">
        <v>44568</v>
      </c>
      <c r="C459" s="1" t="n">
        <v>46098</v>
      </c>
      <c r="D459" t="inlineStr">
        <is>
          <t>UPPSALA LÄN</t>
        </is>
      </c>
      <c r="E459" t="inlineStr">
        <is>
          <t>HEBY</t>
        </is>
      </c>
      <c r="G459" t="n">
        <v>10.6</v>
      </c>
      <c r="H459" t="n">
        <v>0</v>
      </c>
      <c r="I459" t="n">
        <v>0</v>
      </c>
      <c r="J459" t="n">
        <v>1</v>
      </c>
      <c r="K459" t="n">
        <v>0</v>
      </c>
      <c r="L459" t="n">
        <v>0</v>
      </c>
      <c r="M459" t="n">
        <v>0</v>
      </c>
      <c r="N459" t="n">
        <v>0</v>
      </c>
      <c r="O459" t="n">
        <v>1</v>
      </c>
      <c r="P459" t="n">
        <v>0</v>
      </c>
      <c r="Q459" t="n">
        <v>1</v>
      </c>
      <c r="R459" s="2" t="inlineStr">
        <is>
          <t>Mindre timmerman</t>
        </is>
      </c>
      <c r="S459">
        <f>HYPERLINK("https://klasma.github.io/Logging_0331/artfynd/A 738-2022 artfynd.xlsx", "A 738-2022")</f>
        <v/>
      </c>
      <c r="T459">
        <f>HYPERLINK("https://klasma.github.io/Logging_0331/kartor/A 738-2022 karta.png", "A 738-2022")</f>
        <v/>
      </c>
      <c r="V459">
        <f>HYPERLINK("https://klasma.github.io/Logging_0331/klagomål/A 738-2022 FSC-klagomål.docx", "A 738-2022")</f>
        <v/>
      </c>
      <c r="W459">
        <f>HYPERLINK("https://klasma.github.io/Logging_0331/klagomålsmail/A 738-2022 FSC-klagomål mail.docx", "A 738-2022")</f>
        <v/>
      </c>
      <c r="X459">
        <f>HYPERLINK("https://klasma.github.io/Logging_0331/tillsyn/A 738-2022 tillsynsbegäran.docx", "A 738-2022")</f>
        <v/>
      </c>
      <c r="Y459">
        <f>HYPERLINK("https://klasma.github.io/Logging_0331/tillsynsmail/A 738-2022 tillsynsbegäran mail.docx", "A 738-2022")</f>
        <v/>
      </c>
    </row>
    <row r="460" ht="15" customHeight="1">
      <c r="A460" t="inlineStr">
        <is>
          <t>A 28900-2024</t>
        </is>
      </c>
      <c r="B460" s="1" t="n">
        <v>45480</v>
      </c>
      <c r="C460" s="1" t="n">
        <v>46098</v>
      </c>
      <c r="D460" t="inlineStr">
        <is>
          <t>UPPSALA LÄN</t>
        </is>
      </c>
      <c r="E460" t="inlineStr">
        <is>
          <t>ENKÖPING</t>
        </is>
      </c>
      <c r="G460" t="n">
        <v>8.6</v>
      </c>
      <c r="H460" t="n">
        <v>1</v>
      </c>
      <c r="I460" t="n">
        <v>0</v>
      </c>
      <c r="J460" t="n">
        <v>0</v>
      </c>
      <c r="K460" t="n">
        <v>0</v>
      </c>
      <c r="L460" t="n">
        <v>0</v>
      </c>
      <c r="M460" t="n">
        <v>0</v>
      </c>
      <c r="N460" t="n">
        <v>0</v>
      </c>
      <c r="O460" t="n">
        <v>0</v>
      </c>
      <c r="P460" t="n">
        <v>0</v>
      </c>
      <c r="Q460" t="n">
        <v>1</v>
      </c>
      <c r="R460" s="2" t="inlineStr">
        <is>
          <t>Blåsippa</t>
        </is>
      </c>
      <c r="S460">
        <f>HYPERLINK("https://klasma.github.io/Logging_0381/artfynd/A 28900-2024 artfynd.xlsx", "A 28900-2024")</f>
        <v/>
      </c>
      <c r="T460">
        <f>HYPERLINK("https://klasma.github.io/Logging_0381/kartor/A 28900-2024 karta.png", "A 28900-2024")</f>
        <v/>
      </c>
      <c r="V460">
        <f>HYPERLINK("https://klasma.github.io/Logging_0381/klagomål/A 28900-2024 FSC-klagomål.docx", "A 28900-2024")</f>
        <v/>
      </c>
      <c r="W460">
        <f>HYPERLINK("https://klasma.github.io/Logging_0381/klagomålsmail/A 28900-2024 FSC-klagomål mail.docx", "A 28900-2024")</f>
        <v/>
      </c>
      <c r="X460">
        <f>HYPERLINK("https://klasma.github.io/Logging_0381/tillsyn/A 28900-2024 tillsynsbegäran.docx", "A 28900-2024")</f>
        <v/>
      </c>
      <c r="Y460">
        <f>HYPERLINK("https://klasma.github.io/Logging_0381/tillsynsmail/A 28900-2024 tillsynsbegäran mail.docx", "A 28900-2024")</f>
        <v/>
      </c>
    </row>
    <row r="461" ht="15" customHeight="1">
      <c r="A461" t="inlineStr">
        <is>
          <t>A 54368-2024</t>
        </is>
      </c>
      <c r="B461" s="1" t="n">
        <v>45617</v>
      </c>
      <c r="C461" s="1" t="n">
        <v>46098</v>
      </c>
      <c r="D461" t="inlineStr">
        <is>
          <t>UPPSALA LÄN</t>
        </is>
      </c>
      <c r="E461" t="inlineStr">
        <is>
          <t>HEBY</t>
        </is>
      </c>
      <c r="F461" t="inlineStr">
        <is>
          <t>Allmännings- och besparingsskogar</t>
        </is>
      </c>
      <c r="G461" t="n">
        <v>13.9</v>
      </c>
      <c r="H461" t="n">
        <v>1</v>
      </c>
      <c r="I461" t="n">
        <v>0</v>
      </c>
      <c r="J461" t="n">
        <v>1</v>
      </c>
      <c r="K461" t="n">
        <v>0</v>
      </c>
      <c r="L461" t="n">
        <v>0</v>
      </c>
      <c r="M461" t="n">
        <v>0</v>
      </c>
      <c r="N461" t="n">
        <v>0</v>
      </c>
      <c r="O461" t="n">
        <v>1</v>
      </c>
      <c r="P461" t="n">
        <v>0</v>
      </c>
      <c r="Q461" t="n">
        <v>1</v>
      </c>
      <c r="R461" s="2" t="inlineStr">
        <is>
          <t>Talltita</t>
        </is>
      </c>
      <c r="S461">
        <f>HYPERLINK("https://klasma.github.io/Logging_0331/artfynd/A 54368-2024 artfynd.xlsx", "A 54368-2024")</f>
        <v/>
      </c>
      <c r="T461">
        <f>HYPERLINK("https://klasma.github.io/Logging_0331/kartor/A 54368-2024 karta.png", "A 54368-2024")</f>
        <v/>
      </c>
      <c r="V461">
        <f>HYPERLINK("https://klasma.github.io/Logging_0331/klagomål/A 54368-2024 FSC-klagomål.docx", "A 54368-2024")</f>
        <v/>
      </c>
      <c r="W461">
        <f>HYPERLINK("https://klasma.github.io/Logging_0331/klagomålsmail/A 54368-2024 FSC-klagomål mail.docx", "A 54368-2024")</f>
        <v/>
      </c>
      <c r="X461">
        <f>HYPERLINK("https://klasma.github.io/Logging_0331/tillsyn/A 54368-2024 tillsynsbegäran.docx", "A 54368-2024")</f>
        <v/>
      </c>
      <c r="Y461">
        <f>HYPERLINK("https://klasma.github.io/Logging_0331/tillsynsmail/A 54368-2024 tillsynsbegäran mail.docx", "A 54368-2024")</f>
        <v/>
      </c>
      <c r="Z461">
        <f>HYPERLINK("https://klasma.github.io/Logging_0331/fåglar/A 54368-2024 prioriterade fågelarter.docx", "A 54368-2024")</f>
        <v/>
      </c>
    </row>
    <row r="462" ht="15" customHeight="1">
      <c r="A462" t="inlineStr">
        <is>
          <t>A 18619-2025</t>
        </is>
      </c>
      <c r="B462" s="1" t="n">
        <v>45763.51265046297</v>
      </c>
      <c r="C462" s="1" t="n">
        <v>46098</v>
      </c>
      <c r="D462" t="inlineStr">
        <is>
          <t>UPPSALA LÄN</t>
        </is>
      </c>
      <c r="E462" t="inlineStr">
        <is>
          <t>TIERP</t>
        </is>
      </c>
      <c r="G462" t="n">
        <v>4.6</v>
      </c>
      <c r="H462" t="n">
        <v>1</v>
      </c>
      <c r="I462" t="n">
        <v>1</v>
      </c>
      <c r="J462" t="n">
        <v>0</v>
      </c>
      <c r="K462" t="n">
        <v>0</v>
      </c>
      <c r="L462" t="n">
        <v>0</v>
      </c>
      <c r="M462" t="n">
        <v>0</v>
      </c>
      <c r="N462" t="n">
        <v>0</v>
      </c>
      <c r="O462" t="n">
        <v>0</v>
      </c>
      <c r="P462" t="n">
        <v>0</v>
      </c>
      <c r="Q462" t="n">
        <v>1</v>
      </c>
      <c r="R462" s="2" t="inlineStr">
        <is>
          <t>Nästrot</t>
        </is>
      </c>
      <c r="S462">
        <f>HYPERLINK("https://klasma.github.io/Logging_0360/artfynd/A 18619-2025 artfynd.xlsx", "A 18619-2025")</f>
        <v/>
      </c>
      <c r="T462">
        <f>HYPERLINK("https://klasma.github.io/Logging_0360/kartor/A 18619-2025 karta.png", "A 18619-2025")</f>
        <v/>
      </c>
      <c r="V462">
        <f>HYPERLINK("https://klasma.github.io/Logging_0360/klagomål/A 18619-2025 FSC-klagomål.docx", "A 18619-2025")</f>
        <v/>
      </c>
      <c r="W462">
        <f>HYPERLINK("https://klasma.github.io/Logging_0360/klagomålsmail/A 18619-2025 FSC-klagomål mail.docx", "A 18619-2025")</f>
        <v/>
      </c>
      <c r="X462">
        <f>HYPERLINK("https://klasma.github.io/Logging_0360/tillsyn/A 18619-2025 tillsynsbegäran.docx", "A 18619-2025")</f>
        <v/>
      </c>
      <c r="Y462">
        <f>HYPERLINK("https://klasma.github.io/Logging_0360/tillsynsmail/A 18619-2025 tillsynsbegäran mail.docx", "A 18619-2025")</f>
        <v/>
      </c>
    </row>
    <row r="463" ht="15" customHeight="1">
      <c r="A463" t="inlineStr">
        <is>
          <t>A 10848-2025</t>
        </is>
      </c>
      <c r="B463" s="1" t="n">
        <v>45722.58086805556</v>
      </c>
      <c r="C463" s="1" t="n">
        <v>46098</v>
      </c>
      <c r="D463" t="inlineStr">
        <is>
          <t>UPPSALA LÄN</t>
        </is>
      </c>
      <c r="E463" t="inlineStr">
        <is>
          <t>TIERP</t>
        </is>
      </c>
      <c r="F463" t="inlineStr">
        <is>
          <t>Bergvik skog öst AB</t>
        </is>
      </c>
      <c r="G463" t="n">
        <v>1.9</v>
      </c>
      <c r="H463" t="n">
        <v>1</v>
      </c>
      <c r="I463" t="n">
        <v>0</v>
      </c>
      <c r="J463" t="n">
        <v>1</v>
      </c>
      <c r="K463" t="n">
        <v>0</v>
      </c>
      <c r="L463" t="n">
        <v>0</v>
      </c>
      <c r="M463" t="n">
        <v>0</v>
      </c>
      <c r="N463" t="n">
        <v>0</v>
      </c>
      <c r="O463" t="n">
        <v>1</v>
      </c>
      <c r="P463" t="n">
        <v>0</v>
      </c>
      <c r="Q463" t="n">
        <v>1</v>
      </c>
      <c r="R463" s="2" t="inlineStr">
        <is>
          <t>Talltita</t>
        </is>
      </c>
      <c r="S463">
        <f>HYPERLINK("https://klasma.github.io/Logging_0360/artfynd/A 10848-2025 artfynd.xlsx", "A 10848-2025")</f>
        <v/>
      </c>
      <c r="T463">
        <f>HYPERLINK("https://klasma.github.io/Logging_0360/kartor/A 10848-2025 karta.png", "A 10848-2025")</f>
        <v/>
      </c>
      <c r="V463">
        <f>HYPERLINK("https://klasma.github.io/Logging_0360/klagomål/A 10848-2025 FSC-klagomål.docx", "A 10848-2025")</f>
        <v/>
      </c>
      <c r="W463">
        <f>HYPERLINK("https://klasma.github.io/Logging_0360/klagomålsmail/A 10848-2025 FSC-klagomål mail.docx", "A 10848-2025")</f>
        <v/>
      </c>
      <c r="X463">
        <f>HYPERLINK("https://klasma.github.io/Logging_0360/tillsyn/A 10848-2025 tillsynsbegäran.docx", "A 10848-2025")</f>
        <v/>
      </c>
      <c r="Y463">
        <f>HYPERLINK("https://klasma.github.io/Logging_0360/tillsynsmail/A 10848-2025 tillsynsbegäran mail.docx", "A 10848-2025")</f>
        <v/>
      </c>
      <c r="Z463">
        <f>HYPERLINK("https://klasma.github.io/Logging_0360/fåglar/A 10848-2025 prioriterade fågelarter.docx", "A 10848-2025")</f>
        <v/>
      </c>
    </row>
    <row r="464" ht="15" customHeight="1">
      <c r="A464" t="inlineStr">
        <is>
          <t>A 13363-2022</t>
        </is>
      </c>
      <c r="B464" s="1" t="n">
        <v>44645</v>
      </c>
      <c r="C464" s="1" t="n">
        <v>46098</v>
      </c>
      <c r="D464" t="inlineStr">
        <is>
          <t>UPPSALA LÄN</t>
        </is>
      </c>
      <c r="E464" t="inlineStr">
        <is>
          <t>UPPSALA</t>
        </is>
      </c>
      <c r="F464" t="inlineStr">
        <is>
          <t>Övriga Aktiebolag</t>
        </is>
      </c>
      <c r="G464" t="n">
        <v>9.4</v>
      </c>
      <c r="H464" t="n">
        <v>1</v>
      </c>
      <c r="I464" t="n">
        <v>0</v>
      </c>
      <c r="J464" t="n">
        <v>0</v>
      </c>
      <c r="K464" t="n">
        <v>0</v>
      </c>
      <c r="L464" t="n">
        <v>0</v>
      </c>
      <c r="M464" t="n">
        <v>0</v>
      </c>
      <c r="N464" t="n">
        <v>0</v>
      </c>
      <c r="O464" t="n">
        <v>0</v>
      </c>
      <c r="P464" t="n">
        <v>0</v>
      </c>
      <c r="Q464" t="n">
        <v>1</v>
      </c>
      <c r="R464" s="2" t="inlineStr">
        <is>
          <t>Huggorm</t>
        </is>
      </c>
      <c r="S464">
        <f>HYPERLINK("https://klasma.github.io/Logging_0380/artfynd/A 13363-2022 artfynd.xlsx", "A 13363-2022")</f>
        <v/>
      </c>
      <c r="T464">
        <f>HYPERLINK("https://klasma.github.io/Logging_0380/kartor/A 13363-2022 karta.png", "A 13363-2022")</f>
        <v/>
      </c>
      <c r="V464">
        <f>HYPERLINK("https://klasma.github.io/Logging_0380/klagomål/A 13363-2022 FSC-klagomål.docx", "A 13363-2022")</f>
        <v/>
      </c>
      <c r="W464">
        <f>HYPERLINK("https://klasma.github.io/Logging_0380/klagomålsmail/A 13363-2022 FSC-klagomål mail.docx", "A 13363-2022")</f>
        <v/>
      </c>
      <c r="X464">
        <f>HYPERLINK("https://klasma.github.io/Logging_0380/tillsyn/A 13363-2022 tillsynsbegäran.docx", "A 13363-2022")</f>
        <v/>
      </c>
      <c r="Y464">
        <f>HYPERLINK("https://klasma.github.io/Logging_0380/tillsynsmail/A 13363-2022 tillsynsbegäran mail.docx", "A 13363-2022")</f>
        <v/>
      </c>
    </row>
    <row r="465" ht="15" customHeight="1">
      <c r="A465" t="inlineStr">
        <is>
          <t>A 25179-2023</t>
        </is>
      </c>
      <c r="B465" s="1" t="n">
        <v>45078</v>
      </c>
      <c r="C465" s="1" t="n">
        <v>46098</v>
      </c>
      <c r="D465" t="inlineStr">
        <is>
          <t>UPPSALA LÄN</t>
        </is>
      </c>
      <c r="E465" t="inlineStr">
        <is>
          <t>ÖSTHAMMAR</t>
        </is>
      </c>
      <c r="G465" t="n">
        <v>3.2</v>
      </c>
      <c r="H465" t="n">
        <v>0</v>
      </c>
      <c r="I465" t="n">
        <v>0</v>
      </c>
      <c r="J465" t="n">
        <v>1</v>
      </c>
      <c r="K465" t="n">
        <v>0</v>
      </c>
      <c r="L465" t="n">
        <v>0</v>
      </c>
      <c r="M465" t="n">
        <v>0</v>
      </c>
      <c r="N465" t="n">
        <v>0</v>
      </c>
      <c r="O465" t="n">
        <v>1</v>
      </c>
      <c r="P465" t="n">
        <v>0</v>
      </c>
      <c r="Q465" t="n">
        <v>1</v>
      </c>
      <c r="R465" s="2" t="inlineStr">
        <is>
          <t>Grantaggsvamp</t>
        </is>
      </c>
      <c r="S465">
        <f>HYPERLINK("https://klasma.github.io/Logging_0382/artfynd/A 25179-2023 artfynd.xlsx", "A 25179-2023")</f>
        <v/>
      </c>
      <c r="T465">
        <f>HYPERLINK("https://klasma.github.io/Logging_0382/kartor/A 25179-2023 karta.png", "A 25179-2023")</f>
        <v/>
      </c>
      <c r="V465">
        <f>HYPERLINK("https://klasma.github.io/Logging_0382/klagomål/A 25179-2023 FSC-klagomål.docx", "A 25179-2023")</f>
        <v/>
      </c>
      <c r="W465">
        <f>HYPERLINK("https://klasma.github.io/Logging_0382/klagomålsmail/A 25179-2023 FSC-klagomål mail.docx", "A 25179-2023")</f>
        <v/>
      </c>
      <c r="X465">
        <f>HYPERLINK("https://klasma.github.io/Logging_0382/tillsyn/A 25179-2023 tillsynsbegäran.docx", "A 25179-2023")</f>
        <v/>
      </c>
      <c r="Y465">
        <f>HYPERLINK("https://klasma.github.io/Logging_0382/tillsynsmail/A 25179-2023 tillsynsbegäran mail.docx", "A 25179-2023")</f>
        <v/>
      </c>
    </row>
    <row r="466" ht="15" customHeight="1">
      <c r="A466" t="inlineStr">
        <is>
          <t>A 46749-2024</t>
        </is>
      </c>
      <c r="B466" s="1" t="n">
        <v>45583.48347222222</v>
      </c>
      <c r="C466" s="1" t="n">
        <v>46098</v>
      </c>
      <c r="D466" t="inlineStr">
        <is>
          <t>UPPSALA LÄN</t>
        </is>
      </c>
      <c r="E466" t="inlineStr">
        <is>
          <t>ENKÖPING</t>
        </is>
      </c>
      <c r="G466" t="n">
        <v>8.5</v>
      </c>
      <c r="H466" t="n">
        <v>0</v>
      </c>
      <c r="I466" t="n">
        <v>0</v>
      </c>
      <c r="J466" t="n">
        <v>1</v>
      </c>
      <c r="K466" t="n">
        <v>0</v>
      </c>
      <c r="L466" t="n">
        <v>0</v>
      </c>
      <c r="M466" t="n">
        <v>0</v>
      </c>
      <c r="N466" t="n">
        <v>0</v>
      </c>
      <c r="O466" t="n">
        <v>1</v>
      </c>
      <c r="P466" t="n">
        <v>0</v>
      </c>
      <c r="Q466" t="n">
        <v>1</v>
      </c>
      <c r="R466" s="2" t="inlineStr">
        <is>
          <t>Tallkötticka</t>
        </is>
      </c>
      <c r="S466">
        <f>HYPERLINK("https://klasma.github.io/Logging_0381/artfynd/A 46749-2024 artfynd.xlsx", "A 46749-2024")</f>
        <v/>
      </c>
      <c r="T466">
        <f>HYPERLINK("https://klasma.github.io/Logging_0381/kartor/A 46749-2024 karta.png", "A 46749-2024")</f>
        <v/>
      </c>
      <c r="V466">
        <f>HYPERLINK("https://klasma.github.io/Logging_0381/klagomål/A 46749-2024 FSC-klagomål.docx", "A 46749-2024")</f>
        <v/>
      </c>
      <c r="W466">
        <f>HYPERLINK("https://klasma.github.io/Logging_0381/klagomålsmail/A 46749-2024 FSC-klagomål mail.docx", "A 46749-2024")</f>
        <v/>
      </c>
      <c r="X466">
        <f>HYPERLINK("https://klasma.github.io/Logging_0381/tillsyn/A 46749-2024 tillsynsbegäran.docx", "A 46749-2024")</f>
        <v/>
      </c>
      <c r="Y466">
        <f>HYPERLINK("https://klasma.github.io/Logging_0381/tillsynsmail/A 46749-2024 tillsynsbegäran mail.docx", "A 46749-2024")</f>
        <v/>
      </c>
    </row>
    <row r="467" ht="15" customHeight="1">
      <c r="A467" t="inlineStr">
        <is>
          <t>A 33800-2024</t>
        </is>
      </c>
      <c r="B467" s="1" t="n">
        <v>45520</v>
      </c>
      <c r="C467" s="1" t="n">
        <v>46098</v>
      </c>
      <c r="D467" t="inlineStr">
        <is>
          <t>UPPSALA LÄN</t>
        </is>
      </c>
      <c r="E467" t="inlineStr">
        <is>
          <t>ÖSTHAMMAR</t>
        </is>
      </c>
      <c r="F467" t="inlineStr">
        <is>
          <t>Naturvårdsverket</t>
        </is>
      </c>
      <c r="G467" t="n">
        <v>1.5</v>
      </c>
      <c r="H467" t="n">
        <v>1</v>
      </c>
      <c r="I467" t="n">
        <v>0</v>
      </c>
      <c r="J467" t="n">
        <v>0</v>
      </c>
      <c r="K467" t="n">
        <v>0</v>
      </c>
      <c r="L467" t="n">
        <v>0</v>
      </c>
      <c r="M467" t="n">
        <v>0</v>
      </c>
      <c r="N467" t="n">
        <v>0</v>
      </c>
      <c r="O467" t="n">
        <v>0</v>
      </c>
      <c r="P467" t="n">
        <v>0</v>
      </c>
      <c r="Q467" t="n">
        <v>1</v>
      </c>
      <c r="R467" s="2" t="inlineStr">
        <is>
          <t>Fläcknycklar</t>
        </is>
      </c>
      <c r="S467">
        <f>HYPERLINK("https://klasma.github.io/Logging_0382/artfynd/A 33800-2024 artfynd.xlsx", "A 33800-2024")</f>
        <v/>
      </c>
      <c r="T467">
        <f>HYPERLINK("https://klasma.github.io/Logging_0382/kartor/A 33800-2024 karta.png", "A 33800-2024")</f>
        <v/>
      </c>
      <c r="V467">
        <f>HYPERLINK("https://klasma.github.io/Logging_0382/klagomål/A 33800-2024 FSC-klagomål.docx", "A 33800-2024")</f>
        <v/>
      </c>
      <c r="W467">
        <f>HYPERLINK("https://klasma.github.io/Logging_0382/klagomålsmail/A 33800-2024 FSC-klagomål mail.docx", "A 33800-2024")</f>
        <v/>
      </c>
      <c r="X467">
        <f>HYPERLINK("https://klasma.github.io/Logging_0382/tillsyn/A 33800-2024 tillsynsbegäran.docx", "A 33800-2024")</f>
        <v/>
      </c>
      <c r="Y467">
        <f>HYPERLINK("https://klasma.github.io/Logging_0382/tillsynsmail/A 33800-2024 tillsynsbegäran mail.docx", "A 33800-2024")</f>
        <v/>
      </c>
    </row>
    <row r="468" ht="15" customHeight="1">
      <c r="A468" t="inlineStr">
        <is>
          <t>A 18424-2025</t>
        </is>
      </c>
      <c r="B468" s="1" t="n">
        <v>45762</v>
      </c>
      <c r="C468" s="1" t="n">
        <v>46098</v>
      </c>
      <c r="D468" t="inlineStr">
        <is>
          <t>UPPSALA LÄN</t>
        </is>
      </c>
      <c r="E468" t="inlineStr">
        <is>
          <t>HEBY</t>
        </is>
      </c>
      <c r="G468" t="n">
        <v>7.9</v>
      </c>
      <c r="H468" t="n">
        <v>0</v>
      </c>
      <c r="I468" t="n">
        <v>0</v>
      </c>
      <c r="J468" t="n">
        <v>1</v>
      </c>
      <c r="K468" t="n">
        <v>0</v>
      </c>
      <c r="L468" t="n">
        <v>0</v>
      </c>
      <c r="M468" t="n">
        <v>0</v>
      </c>
      <c r="N468" t="n">
        <v>0</v>
      </c>
      <c r="O468" t="n">
        <v>1</v>
      </c>
      <c r="P468" t="n">
        <v>0</v>
      </c>
      <c r="Q468" t="n">
        <v>1</v>
      </c>
      <c r="R468" s="2" t="inlineStr">
        <is>
          <t>Granticka</t>
        </is>
      </c>
      <c r="S468">
        <f>HYPERLINK("https://klasma.github.io/Logging_0331/artfynd/A 18424-2025 artfynd.xlsx", "A 18424-2025")</f>
        <v/>
      </c>
      <c r="T468">
        <f>HYPERLINK("https://klasma.github.io/Logging_0331/kartor/A 18424-2025 karta.png", "A 18424-2025")</f>
        <v/>
      </c>
      <c r="V468">
        <f>HYPERLINK("https://klasma.github.io/Logging_0331/klagomål/A 18424-2025 FSC-klagomål.docx", "A 18424-2025")</f>
        <v/>
      </c>
      <c r="W468">
        <f>HYPERLINK("https://klasma.github.io/Logging_0331/klagomålsmail/A 18424-2025 FSC-klagomål mail.docx", "A 18424-2025")</f>
        <v/>
      </c>
      <c r="X468">
        <f>HYPERLINK("https://klasma.github.io/Logging_0331/tillsyn/A 18424-2025 tillsynsbegäran.docx", "A 18424-2025")</f>
        <v/>
      </c>
      <c r="Y468">
        <f>HYPERLINK("https://klasma.github.io/Logging_0331/tillsynsmail/A 18424-2025 tillsynsbegäran mail.docx", "A 18424-2025")</f>
        <v/>
      </c>
    </row>
    <row r="469" ht="15" customHeight="1">
      <c r="A469" t="inlineStr">
        <is>
          <t>A 33770-2023</t>
        </is>
      </c>
      <c r="B469" s="1" t="n">
        <v>45133</v>
      </c>
      <c r="C469" s="1" t="n">
        <v>46098</v>
      </c>
      <c r="D469" t="inlineStr">
        <is>
          <t>UPPSALA LÄN</t>
        </is>
      </c>
      <c r="E469" t="inlineStr">
        <is>
          <t>KNIVSTA</t>
        </is>
      </c>
      <c r="F469" t="inlineStr">
        <is>
          <t>Holmen skog AB</t>
        </is>
      </c>
      <c r="G469" t="n">
        <v>4</v>
      </c>
      <c r="H469" t="n">
        <v>1</v>
      </c>
      <c r="I469" t="n">
        <v>0</v>
      </c>
      <c r="J469" t="n">
        <v>1</v>
      </c>
      <c r="K469" t="n">
        <v>0</v>
      </c>
      <c r="L469" t="n">
        <v>0</v>
      </c>
      <c r="M469" t="n">
        <v>0</v>
      </c>
      <c r="N469" t="n">
        <v>0</v>
      </c>
      <c r="O469" t="n">
        <v>1</v>
      </c>
      <c r="P469" t="n">
        <v>0</v>
      </c>
      <c r="Q469" t="n">
        <v>1</v>
      </c>
      <c r="R469" s="2" t="inlineStr">
        <is>
          <t>Slaguggla</t>
        </is>
      </c>
      <c r="S469">
        <f>HYPERLINK("https://klasma.github.io/Logging_0330/artfynd/A 33770-2023 artfynd.xlsx", "A 33770-2023")</f>
        <v/>
      </c>
      <c r="T469">
        <f>HYPERLINK("https://klasma.github.io/Logging_0330/kartor/A 33770-2023 karta.png", "A 33770-2023")</f>
        <v/>
      </c>
      <c r="V469">
        <f>HYPERLINK("https://klasma.github.io/Logging_0330/klagomål/A 33770-2023 FSC-klagomål.docx", "A 33770-2023")</f>
        <v/>
      </c>
      <c r="W469">
        <f>HYPERLINK("https://klasma.github.io/Logging_0330/klagomålsmail/A 33770-2023 FSC-klagomål mail.docx", "A 33770-2023")</f>
        <v/>
      </c>
      <c r="X469">
        <f>HYPERLINK("https://klasma.github.io/Logging_0330/tillsyn/A 33770-2023 tillsynsbegäran.docx", "A 33770-2023")</f>
        <v/>
      </c>
      <c r="Y469">
        <f>HYPERLINK("https://klasma.github.io/Logging_0330/tillsynsmail/A 33770-2023 tillsynsbegäran mail.docx", "A 33770-2023")</f>
        <v/>
      </c>
      <c r="Z469">
        <f>HYPERLINK("https://klasma.github.io/Logging_0330/fåglar/A 33770-2023 prioriterade fågelarter.docx", "A 33770-2023")</f>
        <v/>
      </c>
    </row>
    <row r="470" ht="15" customHeight="1">
      <c r="A470" t="inlineStr">
        <is>
          <t>A 14706-2023</t>
        </is>
      </c>
      <c r="B470" s="1" t="n">
        <v>45013</v>
      </c>
      <c r="C470" s="1" t="n">
        <v>46098</v>
      </c>
      <c r="D470" t="inlineStr">
        <is>
          <t>UPPSALA LÄN</t>
        </is>
      </c>
      <c r="E470" t="inlineStr">
        <is>
          <t>ÖSTHAMMAR</t>
        </is>
      </c>
      <c r="G470" t="n">
        <v>0.9</v>
      </c>
      <c r="H470" t="n">
        <v>0</v>
      </c>
      <c r="I470" t="n">
        <v>1</v>
      </c>
      <c r="J470" t="n">
        <v>0</v>
      </c>
      <c r="K470" t="n">
        <v>0</v>
      </c>
      <c r="L470" t="n">
        <v>0</v>
      </c>
      <c r="M470" t="n">
        <v>0</v>
      </c>
      <c r="N470" t="n">
        <v>0</v>
      </c>
      <c r="O470" t="n">
        <v>0</v>
      </c>
      <c r="P470" t="n">
        <v>0</v>
      </c>
      <c r="Q470" t="n">
        <v>1</v>
      </c>
      <c r="R470" s="2" t="inlineStr">
        <is>
          <t>Olivspindling</t>
        </is>
      </c>
      <c r="S470">
        <f>HYPERLINK("https://klasma.github.io/Logging_0382/artfynd/A 14706-2023 artfynd.xlsx", "A 14706-2023")</f>
        <v/>
      </c>
      <c r="T470">
        <f>HYPERLINK("https://klasma.github.io/Logging_0382/kartor/A 14706-2023 karta.png", "A 14706-2023")</f>
        <v/>
      </c>
      <c r="V470">
        <f>HYPERLINK("https://klasma.github.io/Logging_0382/klagomål/A 14706-2023 FSC-klagomål.docx", "A 14706-2023")</f>
        <v/>
      </c>
      <c r="W470">
        <f>HYPERLINK("https://klasma.github.io/Logging_0382/klagomålsmail/A 14706-2023 FSC-klagomål mail.docx", "A 14706-2023")</f>
        <v/>
      </c>
      <c r="X470">
        <f>HYPERLINK("https://klasma.github.io/Logging_0382/tillsyn/A 14706-2023 tillsynsbegäran.docx", "A 14706-2023")</f>
        <v/>
      </c>
      <c r="Y470">
        <f>HYPERLINK("https://klasma.github.io/Logging_0382/tillsynsmail/A 14706-2023 tillsynsbegäran mail.docx", "A 14706-2023")</f>
        <v/>
      </c>
    </row>
    <row r="471" ht="15" customHeight="1">
      <c r="A471" t="inlineStr">
        <is>
          <t>A 37076-2021</t>
        </is>
      </c>
      <c r="B471" s="1" t="n">
        <v>44395</v>
      </c>
      <c r="C471" s="1" t="n">
        <v>46098</v>
      </c>
      <c r="D471" t="inlineStr">
        <is>
          <t>UPPSALA LÄN</t>
        </is>
      </c>
      <c r="E471" t="inlineStr">
        <is>
          <t>HEBY</t>
        </is>
      </c>
      <c r="G471" t="n">
        <v>4.5</v>
      </c>
      <c r="H471" t="n">
        <v>1</v>
      </c>
      <c r="I471" t="n">
        <v>0</v>
      </c>
      <c r="J471" t="n">
        <v>0</v>
      </c>
      <c r="K471" t="n">
        <v>1</v>
      </c>
      <c r="L471" t="n">
        <v>0</v>
      </c>
      <c r="M471" t="n">
        <v>0</v>
      </c>
      <c r="N471" t="n">
        <v>0</v>
      </c>
      <c r="O471" t="n">
        <v>1</v>
      </c>
      <c r="P471" t="n">
        <v>1</v>
      </c>
      <c r="Q471" t="n">
        <v>1</v>
      </c>
      <c r="R471" s="2" t="inlineStr">
        <is>
          <t>Knärot</t>
        </is>
      </c>
      <c r="S471">
        <f>HYPERLINK("https://klasma.github.io/Logging_0331/artfynd/A 37076-2021 artfynd.xlsx", "A 37076-2021")</f>
        <v/>
      </c>
      <c r="T471">
        <f>HYPERLINK("https://klasma.github.io/Logging_0331/kartor/A 37076-2021 karta.png", "A 37076-2021")</f>
        <v/>
      </c>
      <c r="U471">
        <f>HYPERLINK("https://klasma.github.io/Logging_0331/knärot/A 37076-2021 karta knärot.png", "A 37076-2021")</f>
        <v/>
      </c>
      <c r="V471">
        <f>HYPERLINK("https://klasma.github.io/Logging_0331/klagomål/A 37076-2021 FSC-klagomål.docx", "A 37076-2021")</f>
        <v/>
      </c>
      <c r="W471">
        <f>HYPERLINK("https://klasma.github.io/Logging_0331/klagomålsmail/A 37076-2021 FSC-klagomål mail.docx", "A 37076-2021")</f>
        <v/>
      </c>
      <c r="X471">
        <f>HYPERLINK("https://klasma.github.io/Logging_0331/tillsyn/A 37076-2021 tillsynsbegäran.docx", "A 37076-2021")</f>
        <v/>
      </c>
      <c r="Y471">
        <f>HYPERLINK("https://klasma.github.io/Logging_0331/tillsynsmail/A 37076-2021 tillsynsbegäran mail.docx", "A 37076-2021")</f>
        <v/>
      </c>
    </row>
    <row r="472" ht="15" customHeight="1">
      <c r="A472" t="inlineStr">
        <is>
          <t>A 9553-2025</t>
        </is>
      </c>
      <c r="B472" s="1" t="n">
        <v>45715</v>
      </c>
      <c r="C472" s="1" t="n">
        <v>46098</v>
      </c>
      <c r="D472" t="inlineStr">
        <is>
          <t>UPPSALA LÄN</t>
        </is>
      </c>
      <c r="E472" t="inlineStr">
        <is>
          <t>KNIVSTA</t>
        </is>
      </c>
      <c r="G472" t="n">
        <v>3.5</v>
      </c>
      <c r="H472" t="n">
        <v>1</v>
      </c>
      <c r="I472" t="n">
        <v>0</v>
      </c>
      <c r="J472" t="n">
        <v>0</v>
      </c>
      <c r="K472" t="n">
        <v>0</v>
      </c>
      <c r="L472" t="n">
        <v>0</v>
      </c>
      <c r="M472" t="n">
        <v>0</v>
      </c>
      <c r="N472" t="n">
        <v>0</v>
      </c>
      <c r="O472" t="n">
        <v>0</v>
      </c>
      <c r="P472" t="n">
        <v>0</v>
      </c>
      <c r="Q472" t="n">
        <v>1</v>
      </c>
      <c r="R472" s="2" t="inlineStr">
        <is>
          <t>Nattviol</t>
        </is>
      </c>
      <c r="S472">
        <f>HYPERLINK("https://klasma.github.io/Logging_0330/artfynd/A 9553-2025 artfynd.xlsx", "A 9553-2025")</f>
        <v/>
      </c>
      <c r="T472">
        <f>HYPERLINK("https://klasma.github.io/Logging_0330/kartor/A 9553-2025 karta.png", "A 9553-2025")</f>
        <v/>
      </c>
      <c r="V472">
        <f>HYPERLINK("https://klasma.github.io/Logging_0330/klagomål/A 9553-2025 FSC-klagomål.docx", "A 9553-2025")</f>
        <v/>
      </c>
      <c r="W472">
        <f>HYPERLINK("https://klasma.github.io/Logging_0330/klagomålsmail/A 9553-2025 FSC-klagomål mail.docx", "A 9553-2025")</f>
        <v/>
      </c>
      <c r="X472">
        <f>HYPERLINK("https://klasma.github.io/Logging_0330/tillsyn/A 9553-2025 tillsynsbegäran.docx", "A 9553-2025")</f>
        <v/>
      </c>
      <c r="Y472">
        <f>HYPERLINK("https://klasma.github.io/Logging_0330/tillsynsmail/A 9553-2025 tillsynsbegäran mail.docx", "A 9553-2025")</f>
        <v/>
      </c>
    </row>
    <row r="473" ht="15" customHeight="1">
      <c r="A473" t="inlineStr">
        <is>
          <t>A 45116-2023</t>
        </is>
      </c>
      <c r="B473" s="1" t="n">
        <v>45191</v>
      </c>
      <c r="C473" s="1" t="n">
        <v>46098</v>
      </c>
      <c r="D473" t="inlineStr">
        <is>
          <t>UPPSALA LÄN</t>
        </is>
      </c>
      <c r="E473" t="inlineStr">
        <is>
          <t>ENKÖPING</t>
        </is>
      </c>
      <c r="G473" t="n">
        <v>2</v>
      </c>
      <c r="H473" t="n">
        <v>0</v>
      </c>
      <c r="I473" t="n">
        <v>1</v>
      </c>
      <c r="J473" t="n">
        <v>0</v>
      </c>
      <c r="K473" t="n">
        <v>0</v>
      </c>
      <c r="L473" t="n">
        <v>0</v>
      </c>
      <c r="M473" t="n">
        <v>0</v>
      </c>
      <c r="N473" t="n">
        <v>0</v>
      </c>
      <c r="O473" t="n">
        <v>0</v>
      </c>
      <c r="P473" t="n">
        <v>0</v>
      </c>
      <c r="Q473" t="n">
        <v>1</v>
      </c>
      <c r="R473" s="2" t="inlineStr">
        <is>
          <t>Rävticka</t>
        </is>
      </c>
      <c r="S473">
        <f>HYPERLINK("https://klasma.github.io/Logging_0381/artfynd/A 45116-2023 artfynd.xlsx", "A 45116-2023")</f>
        <v/>
      </c>
      <c r="T473">
        <f>HYPERLINK("https://klasma.github.io/Logging_0381/kartor/A 45116-2023 karta.png", "A 45116-2023")</f>
        <v/>
      </c>
      <c r="V473">
        <f>HYPERLINK("https://klasma.github.io/Logging_0381/klagomål/A 45116-2023 FSC-klagomål.docx", "A 45116-2023")</f>
        <v/>
      </c>
      <c r="W473">
        <f>HYPERLINK("https://klasma.github.io/Logging_0381/klagomålsmail/A 45116-2023 FSC-klagomål mail.docx", "A 45116-2023")</f>
        <v/>
      </c>
      <c r="X473">
        <f>HYPERLINK("https://klasma.github.io/Logging_0381/tillsyn/A 45116-2023 tillsynsbegäran.docx", "A 45116-2023")</f>
        <v/>
      </c>
      <c r="Y473">
        <f>HYPERLINK("https://klasma.github.io/Logging_0381/tillsynsmail/A 45116-2023 tillsynsbegäran mail.docx", "A 45116-2023")</f>
        <v/>
      </c>
    </row>
    <row r="474" ht="15" customHeight="1">
      <c r="A474" t="inlineStr">
        <is>
          <t>A 1227-2022</t>
        </is>
      </c>
      <c r="B474" s="1" t="n">
        <v>44572.57641203704</v>
      </c>
      <c r="C474" s="1" t="n">
        <v>46098</v>
      </c>
      <c r="D474" t="inlineStr">
        <is>
          <t>UPPSALA LÄN</t>
        </is>
      </c>
      <c r="E474" t="inlineStr">
        <is>
          <t>ÖSTHAMMAR</t>
        </is>
      </c>
      <c r="G474" t="n">
        <v>1.7</v>
      </c>
      <c r="H474" t="n">
        <v>0</v>
      </c>
      <c r="I474" t="n">
        <v>1</v>
      </c>
      <c r="J474" t="n">
        <v>0</v>
      </c>
      <c r="K474" t="n">
        <v>0</v>
      </c>
      <c r="L474" t="n">
        <v>0</v>
      </c>
      <c r="M474" t="n">
        <v>0</v>
      </c>
      <c r="N474" t="n">
        <v>0</v>
      </c>
      <c r="O474" t="n">
        <v>0</v>
      </c>
      <c r="P474" t="n">
        <v>0</v>
      </c>
      <c r="Q474" t="n">
        <v>1</v>
      </c>
      <c r="R474" s="2" t="inlineStr">
        <is>
          <t>Guldkremla</t>
        </is>
      </c>
      <c r="S474">
        <f>HYPERLINK("https://klasma.github.io/Logging_0382/artfynd/A 1227-2022 artfynd.xlsx", "A 1227-2022")</f>
        <v/>
      </c>
      <c r="T474">
        <f>HYPERLINK("https://klasma.github.io/Logging_0382/kartor/A 1227-2022 karta.png", "A 1227-2022")</f>
        <v/>
      </c>
      <c r="V474">
        <f>HYPERLINK("https://klasma.github.io/Logging_0382/klagomål/A 1227-2022 FSC-klagomål.docx", "A 1227-2022")</f>
        <v/>
      </c>
      <c r="W474">
        <f>HYPERLINK("https://klasma.github.io/Logging_0382/klagomålsmail/A 1227-2022 FSC-klagomål mail.docx", "A 1227-2022")</f>
        <v/>
      </c>
      <c r="X474">
        <f>HYPERLINK("https://klasma.github.io/Logging_0382/tillsyn/A 1227-2022 tillsynsbegäran.docx", "A 1227-2022")</f>
        <v/>
      </c>
      <c r="Y474">
        <f>HYPERLINK("https://klasma.github.io/Logging_0382/tillsynsmail/A 1227-2022 tillsynsbegäran mail.docx", "A 1227-2022")</f>
        <v/>
      </c>
    </row>
    <row r="475" ht="15" customHeight="1">
      <c r="A475" t="inlineStr">
        <is>
          <t>A 34090-2023</t>
        </is>
      </c>
      <c r="B475" s="1" t="n">
        <v>45135</v>
      </c>
      <c r="C475" s="1" t="n">
        <v>46098</v>
      </c>
      <c r="D475" t="inlineStr">
        <is>
          <t>UPPSALA LÄN</t>
        </is>
      </c>
      <c r="E475" t="inlineStr">
        <is>
          <t>ÖSTHAMMAR</t>
        </is>
      </c>
      <c r="F475" t="inlineStr">
        <is>
          <t>Bergvik skog öst AB</t>
        </is>
      </c>
      <c r="G475" t="n">
        <v>5.7</v>
      </c>
      <c r="H475" t="n">
        <v>1</v>
      </c>
      <c r="I475" t="n">
        <v>0</v>
      </c>
      <c r="J475" t="n">
        <v>1</v>
      </c>
      <c r="K475" t="n">
        <v>0</v>
      </c>
      <c r="L475" t="n">
        <v>0</v>
      </c>
      <c r="M475" t="n">
        <v>0</v>
      </c>
      <c r="N475" t="n">
        <v>0</v>
      </c>
      <c r="O475" t="n">
        <v>1</v>
      </c>
      <c r="P475" t="n">
        <v>0</v>
      </c>
      <c r="Q475" t="n">
        <v>1</v>
      </c>
      <c r="R475" s="2" t="inlineStr">
        <is>
          <t>Spillkråka</t>
        </is>
      </c>
      <c r="S475">
        <f>HYPERLINK("https://klasma.github.io/Logging_0382/artfynd/A 34090-2023 artfynd.xlsx", "A 34090-2023")</f>
        <v/>
      </c>
      <c r="T475">
        <f>HYPERLINK("https://klasma.github.io/Logging_0382/kartor/A 34090-2023 karta.png", "A 34090-2023")</f>
        <v/>
      </c>
      <c r="V475">
        <f>HYPERLINK("https://klasma.github.io/Logging_0382/klagomål/A 34090-2023 FSC-klagomål.docx", "A 34090-2023")</f>
        <v/>
      </c>
      <c r="W475">
        <f>HYPERLINK("https://klasma.github.io/Logging_0382/klagomålsmail/A 34090-2023 FSC-klagomål mail.docx", "A 34090-2023")</f>
        <v/>
      </c>
      <c r="X475">
        <f>HYPERLINK("https://klasma.github.io/Logging_0382/tillsyn/A 34090-2023 tillsynsbegäran.docx", "A 34090-2023")</f>
        <v/>
      </c>
      <c r="Y475">
        <f>HYPERLINK("https://klasma.github.io/Logging_0382/tillsynsmail/A 34090-2023 tillsynsbegäran mail.docx", "A 34090-2023")</f>
        <v/>
      </c>
      <c r="Z475">
        <f>HYPERLINK("https://klasma.github.io/Logging_0382/fåglar/A 34090-2023 prioriterade fågelarter.docx", "A 34090-2023")</f>
        <v/>
      </c>
    </row>
    <row r="476" ht="15" customHeight="1">
      <c r="A476" t="inlineStr">
        <is>
          <t>A 11017-2023</t>
        </is>
      </c>
      <c r="B476" s="1" t="n">
        <v>44991</v>
      </c>
      <c r="C476" s="1" t="n">
        <v>46098</v>
      </c>
      <c r="D476" t="inlineStr">
        <is>
          <t>UPPSALA LÄN</t>
        </is>
      </c>
      <c r="E476" t="inlineStr">
        <is>
          <t>ÖSTHAMMAR</t>
        </is>
      </c>
      <c r="G476" t="n">
        <v>1.9</v>
      </c>
      <c r="H476" t="n">
        <v>1</v>
      </c>
      <c r="I476" t="n">
        <v>0</v>
      </c>
      <c r="J476" t="n">
        <v>1</v>
      </c>
      <c r="K476" t="n">
        <v>0</v>
      </c>
      <c r="L476" t="n">
        <v>0</v>
      </c>
      <c r="M476" t="n">
        <v>0</v>
      </c>
      <c r="N476" t="n">
        <v>0</v>
      </c>
      <c r="O476" t="n">
        <v>1</v>
      </c>
      <c r="P476" t="n">
        <v>0</v>
      </c>
      <c r="Q476" t="n">
        <v>1</v>
      </c>
      <c r="R476" s="2" t="inlineStr">
        <is>
          <t>Kornknarr</t>
        </is>
      </c>
      <c r="S476">
        <f>HYPERLINK("https://klasma.github.io/Logging_0382/artfynd/A 11017-2023 artfynd.xlsx", "A 11017-2023")</f>
        <v/>
      </c>
      <c r="T476">
        <f>HYPERLINK("https://klasma.github.io/Logging_0382/kartor/A 11017-2023 karta.png", "A 11017-2023")</f>
        <v/>
      </c>
      <c r="V476">
        <f>HYPERLINK("https://klasma.github.io/Logging_0382/klagomål/A 11017-2023 FSC-klagomål.docx", "A 11017-2023")</f>
        <v/>
      </c>
      <c r="W476">
        <f>HYPERLINK("https://klasma.github.io/Logging_0382/klagomålsmail/A 11017-2023 FSC-klagomål mail.docx", "A 11017-2023")</f>
        <v/>
      </c>
      <c r="X476">
        <f>HYPERLINK("https://klasma.github.io/Logging_0382/tillsyn/A 11017-2023 tillsynsbegäran.docx", "A 11017-2023")</f>
        <v/>
      </c>
      <c r="Y476">
        <f>HYPERLINK("https://klasma.github.io/Logging_0382/tillsynsmail/A 11017-2023 tillsynsbegäran mail.docx", "A 11017-2023")</f>
        <v/>
      </c>
    </row>
    <row r="477" ht="15" customHeight="1">
      <c r="A477" t="inlineStr">
        <is>
          <t>A 52818-2022</t>
        </is>
      </c>
      <c r="B477" s="1" t="n">
        <v>44875</v>
      </c>
      <c r="C477" s="1" t="n">
        <v>46098</v>
      </c>
      <c r="D477" t="inlineStr">
        <is>
          <t>UPPSALA LÄN</t>
        </is>
      </c>
      <c r="E477" t="inlineStr">
        <is>
          <t>ÖSTHAMMAR</t>
        </is>
      </c>
      <c r="G477" t="n">
        <v>0.9</v>
      </c>
      <c r="H477" t="n">
        <v>1</v>
      </c>
      <c r="I477" t="n">
        <v>1</v>
      </c>
      <c r="J477" t="n">
        <v>0</v>
      </c>
      <c r="K477" t="n">
        <v>0</v>
      </c>
      <c r="L477" t="n">
        <v>0</v>
      </c>
      <c r="M477" t="n">
        <v>0</v>
      </c>
      <c r="N477" t="n">
        <v>0</v>
      </c>
      <c r="O477" t="n">
        <v>0</v>
      </c>
      <c r="P477" t="n">
        <v>0</v>
      </c>
      <c r="Q477" t="n">
        <v>1</v>
      </c>
      <c r="R477" s="2" t="inlineStr">
        <is>
          <t>Guckusko</t>
        </is>
      </c>
      <c r="S477">
        <f>HYPERLINK("https://klasma.github.io/Logging_0382/artfynd/A 52818-2022 artfynd.xlsx", "A 52818-2022")</f>
        <v/>
      </c>
      <c r="T477">
        <f>HYPERLINK("https://klasma.github.io/Logging_0382/kartor/A 52818-2022 karta.png", "A 52818-2022")</f>
        <v/>
      </c>
      <c r="V477">
        <f>HYPERLINK("https://klasma.github.io/Logging_0382/klagomål/A 52818-2022 FSC-klagomål.docx", "A 52818-2022")</f>
        <v/>
      </c>
      <c r="W477">
        <f>HYPERLINK("https://klasma.github.io/Logging_0382/klagomålsmail/A 52818-2022 FSC-klagomål mail.docx", "A 52818-2022")</f>
        <v/>
      </c>
      <c r="X477">
        <f>HYPERLINK("https://klasma.github.io/Logging_0382/tillsyn/A 52818-2022 tillsynsbegäran.docx", "A 52818-2022")</f>
        <v/>
      </c>
      <c r="Y477">
        <f>HYPERLINK("https://klasma.github.io/Logging_0382/tillsynsmail/A 52818-2022 tillsynsbegäran mail.docx", "A 52818-2022")</f>
        <v/>
      </c>
    </row>
    <row r="478" ht="15" customHeight="1">
      <c r="A478" t="inlineStr">
        <is>
          <t>A 37296-2023</t>
        </is>
      </c>
      <c r="B478" s="1" t="n">
        <v>45156</v>
      </c>
      <c r="C478" s="1" t="n">
        <v>46098</v>
      </c>
      <c r="D478" t="inlineStr">
        <is>
          <t>UPPSALA LÄN</t>
        </is>
      </c>
      <c r="E478" t="inlineStr">
        <is>
          <t>ÖSTHAMMAR</t>
        </is>
      </c>
      <c r="G478" t="n">
        <v>4.7</v>
      </c>
      <c r="H478" t="n">
        <v>1</v>
      </c>
      <c r="I478" t="n">
        <v>0</v>
      </c>
      <c r="J478" t="n">
        <v>0</v>
      </c>
      <c r="K478" t="n">
        <v>1</v>
      </c>
      <c r="L478" t="n">
        <v>0</v>
      </c>
      <c r="M478" t="n">
        <v>0</v>
      </c>
      <c r="N478" t="n">
        <v>0</v>
      </c>
      <c r="O478" t="n">
        <v>1</v>
      </c>
      <c r="P478" t="n">
        <v>1</v>
      </c>
      <c r="Q478" t="n">
        <v>1</v>
      </c>
      <c r="R478" s="2" t="inlineStr">
        <is>
          <t>Backsippa</t>
        </is>
      </c>
      <c r="S478">
        <f>HYPERLINK("https://klasma.github.io/Logging_0382/artfynd/A 37296-2023 artfynd.xlsx", "A 37296-2023")</f>
        <v/>
      </c>
      <c r="T478">
        <f>HYPERLINK("https://klasma.github.io/Logging_0382/kartor/A 37296-2023 karta.png", "A 37296-2023")</f>
        <v/>
      </c>
      <c r="V478">
        <f>HYPERLINK("https://klasma.github.io/Logging_0382/klagomål/A 37296-2023 FSC-klagomål.docx", "A 37296-2023")</f>
        <v/>
      </c>
      <c r="W478">
        <f>HYPERLINK("https://klasma.github.io/Logging_0382/klagomålsmail/A 37296-2023 FSC-klagomål mail.docx", "A 37296-2023")</f>
        <v/>
      </c>
      <c r="X478">
        <f>HYPERLINK("https://klasma.github.io/Logging_0382/tillsyn/A 37296-2023 tillsynsbegäran.docx", "A 37296-2023")</f>
        <v/>
      </c>
      <c r="Y478">
        <f>HYPERLINK("https://klasma.github.io/Logging_0382/tillsynsmail/A 37296-2023 tillsynsbegäran mail.docx", "A 37296-2023")</f>
        <v/>
      </c>
    </row>
    <row r="479" ht="15" customHeight="1">
      <c r="A479" t="inlineStr">
        <is>
          <t>A 61598-2021</t>
        </is>
      </c>
      <c r="B479" s="1" t="n">
        <v>44501.46684027778</v>
      </c>
      <c r="C479" s="1" t="n">
        <v>46098</v>
      </c>
      <c r="D479" t="inlineStr">
        <is>
          <t>UPPSALA LÄN</t>
        </is>
      </c>
      <c r="E479" t="inlineStr">
        <is>
          <t>HEBY</t>
        </is>
      </c>
      <c r="G479" t="n">
        <v>1.5</v>
      </c>
      <c r="H479" t="n">
        <v>1</v>
      </c>
      <c r="I479" t="n">
        <v>0</v>
      </c>
      <c r="J479" t="n">
        <v>0</v>
      </c>
      <c r="K479" t="n">
        <v>0</v>
      </c>
      <c r="L479" t="n">
        <v>0</v>
      </c>
      <c r="M479" t="n">
        <v>0</v>
      </c>
      <c r="N479" t="n">
        <v>0</v>
      </c>
      <c r="O479" t="n">
        <v>0</v>
      </c>
      <c r="P479" t="n">
        <v>0</v>
      </c>
      <c r="Q479" t="n">
        <v>1</v>
      </c>
      <c r="R479" s="2" t="inlineStr">
        <is>
          <t>Trana</t>
        </is>
      </c>
      <c r="S479">
        <f>HYPERLINK("https://klasma.github.io/Logging_0331/artfynd/A 61598-2021 artfynd.xlsx", "A 61598-2021")</f>
        <v/>
      </c>
      <c r="T479">
        <f>HYPERLINK("https://klasma.github.io/Logging_0331/kartor/A 61598-2021 karta.png", "A 61598-2021")</f>
        <v/>
      </c>
      <c r="V479">
        <f>HYPERLINK("https://klasma.github.io/Logging_0331/klagomål/A 61598-2021 FSC-klagomål.docx", "A 61598-2021")</f>
        <v/>
      </c>
      <c r="W479">
        <f>HYPERLINK("https://klasma.github.io/Logging_0331/klagomålsmail/A 61598-2021 FSC-klagomål mail.docx", "A 61598-2021")</f>
        <v/>
      </c>
      <c r="X479">
        <f>HYPERLINK("https://klasma.github.io/Logging_0331/tillsyn/A 61598-2021 tillsynsbegäran.docx", "A 61598-2021")</f>
        <v/>
      </c>
      <c r="Y479">
        <f>HYPERLINK("https://klasma.github.io/Logging_0331/tillsynsmail/A 61598-2021 tillsynsbegäran mail.docx", "A 61598-2021")</f>
        <v/>
      </c>
      <c r="Z479">
        <f>HYPERLINK("https://klasma.github.io/Logging_0331/fåglar/A 61598-2021 prioriterade fågelarter.docx", "A 61598-2021")</f>
        <v/>
      </c>
    </row>
    <row r="480" ht="15" customHeight="1">
      <c r="A480" t="inlineStr">
        <is>
          <t>A 27871-2023</t>
        </is>
      </c>
      <c r="B480" s="1" t="n">
        <v>45098</v>
      </c>
      <c r="C480" s="1" t="n">
        <v>46098</v>
      </c>
      <c r="D480" t="inlineStr">
        <is>
          <t>UPPSALA LÄN</t>
        </is>
      </c>
      <c r="E480" t="inlineStr">
        <is>
          <t>HEBY</t>
        </is>
      </c>
      <c r="G480" t="n">
        <v>1</v>
      </c>
      <c r="H480" t="n">
        <v>0</v>
      </c>
      <c r="I480" t="n">
        <v>0</v>
      </c>
      <c r="J480" t="n">
        <v>1</v>
      </c>
      <c r="K480" t="n">
        <v>0</v>
      </c>
      <c r="L480" t="n">
        <v>0</v>
      </c>
      <c r="M480" t="n">
        <v>0</v>
      </c>
      <c r="N480" t="n">
        <v>0</v>
      </c>
      <c r="O480" t="n">
        <v>1</v>
      </c>
      <c r="P480" t="n">
        <v>0</v>
      </c>
      <c r="Q480" t="n">
        <v>1</v>
      </c>
      <c r="R480" s="2" t="inlineStr">
        <is>
          <t>Tallticka</t>
        </is>
      </c>
      <c r="S480">
        <f>HYPERLINK("https://klasma.github.io/Logging_0331/artfynd/A 27871-2023 artfynd.xlsx", "A 27871-2023")</f>
        <v/>
      </c>
      <c r="T480">
        <f>HYPERLINK("https://klasma.github.io/Logging_0331/kartor/A 27871-2023 karta.png", "A 27871-2023")</f>
        <v/>
      </c>
      <c r="V480">
        <f>HYPERLINK("https://klasma.github.io/Logging_0331/klagomål/A 27871-2023 FSC-klagomål.docx", "A 27871-2023")</f>
        <v/>
      </c>
      <c r="W480">
        <f>HYPERLINK("https://klasma.github.io/Logging_0331/klagomålsmail/A 27871-2023 FSC-klagomål mail.docx", "A 27871-2023")</f>
        <v/>
      </c>
      <c r="X480">
        <f>HYPERLINK("https://klasma.github.io/Logging_0331/tillsyn/A 27871-2023 tillsynsbegäran.docx", "A 27871-2023")</f>
        <v/>
      </c>
      <c r="Y480">
        <f>HYPERLINK("https://klasma.github.io/Logging_0331/tillsynsmail/A 27871-2023 tillsynsbegäran mail.docx", "A 27871-2023")</f>
        <v/>
      </c>
    </row>
    <row r="481" ht="15" customHeight="1">
      <c r="A481" t="inlineStr">
        <is>
          <t>A 21700-2024</t>
        </is>
      </c>
      <c r="B481" s="1" t="n">
        <v>45442</v>
      </c>
      <c r="C481" s="1" t="n">
        <v>46098</v>
      </c>
      <c r="D481" t="inlineStr">
        <is>
          <t>UPPSALA LÄN</t>
        </is>
      </c>
      <c r="E481" t="inlineStr">
        <is>
          <t>ÄLVKARLEBY</t>
        </is>
      </c>
      <c r="F481" t="inlineStr">
        <is>
          <t>Bergvik skog väst AB</t>
        </is>
      </c>
      <c r="G481" t="n">
        <v>1.1</v>
      </c>
      <c r="H481" t="n">
        <v>0</v>
      </c>
      <c r="I481" t="n">
        <v>0</v>
      </c>
      <c r="J481" t="n">
        <v>0</v>
      </c>
      <c r="K481" t="n">
        <v>1</v>
      </c>
      <c r="L481" t="n">
        <v>0</v>
      </c>
      <c r="M481" t="n">
        <v>0</v>
      </c>
      <c r="N481" t="n">
        <v>0</v>
      </c>
      <c r="O481" t="n">
        <v>1</v>
      </c>
      <c r="P481" t="n">
        <v>1</v>
      </c>
      <c r="Q481" t="n">
        <v>1</v>
      </c>
      <c r="R481" s="2" t="inlineStr">
        <is>
          <t>Töcknig trymal</t>
        </is>
      </c>
      <c r="S481">
        <f>HYPERLINK("https://klasma.github.io/Logging_0319/artfynd/A 21700-2024 artfynd.xlsx", "A 21700-2024")</f>
        <v/>
      </c>
      <c r="T481">
        <f>HYPERLINK("https://klasma.github.io/Logging_0319/kartor/A 21700-2024 karta.png", "A 21700-2024")</f>
        <v/>
      </c>
      <c r="V481">
        <f>HYPERLINK("https://klasma.github.io/Logging_0319/klagomål/A 21700-2024 FSC-klagomål.docx", "A 21700-2024")</f>
        <v/>
      </c>
      <c r="W481">
        <f>HYPERLINK("https://klasma.github.io/Logging_0319/klagomålsmail/A 21700-2024 FSC-klagomål mail.docx", "A 21700-2024")</f>
        <v/>
      </c>
      <c r="X481">
        <f>HYPERLINK("https://klasma.github.io/Logging_0319/tillsyn/A 21700-2024 tillsynsbegäran.docx", "A 21700-2024")</f>
        <v/>
      </c>
      <c r="Y481">
        <f>HYPERLINK("https://klasma.github.io/Logging_0319/tillsynsmail/A 21700-2024 tillsynsbegäran mail.docx", "A 21700-2024")</f>
        <v/>
      </c>
    </row>
    <row r="482" ht="15" customHeight="1">
      <c r="A482" t="inlineStr">
        <is>
          <t>A 8624-2024</t>
        </is>
      </c>
      <c r="B482" s="1" t="n">
        <v>45355</v>
      </c>
      <c r="C482" s="1" t="n">
        <v>46098</v>
      </c>
      <c r="D482" t="inlineStr">
        <is>
          <t>UPPSALA LÄN</t>
        </is>
      </c>
      <c r="E482" t="inlineStr">
        <is>
          <t>HEBY</t>
        </is>
      </c>
      <c r="G482" t="n">
        <v>3.9</v>
      </c>
      <c r="H482" t="n">
        <v>0</v>
      </c>
      <c r="I482" t="n">
        <v>0</v>
      </c>
      <c r="J482" t="n">
        <v>1</v>
      </c>
      <c r="K482" t="n">
        <v>0</v>
      </c>
      <c r="L482" t="n">
        <v>0</v>
      </c>
      <c r="M482" t="n">
        <v>0</v>
      </c>
      <c r="N482" t="n">
        <v>0</v>
      </c>
      <c r="O482" t="n">
        <v>1</v>
      </c>
      <c r="P482" t="n">
        <v>0</v>
      </c>
      <c r="Q482" t="n">
        <v>1</v>
      </c>
      <c r="R482" s="2" t="inlineStr">
        <is>
          <t>Motaggsvamp</t>
        </is>
      </c>
      <c r="S482">
        <f>HYPERLINK("https://klasma.github.io/Logging_0331/artfynd/A 8624-2024 artfynd.xlsx", "A 8624-2024")</f>
        <v/>
      </c>
      <c r="T482">
        <f>HYPERLINK("https://klasma.github.io/Logging_0331/kartor/A 8624-2024 karta.png", "A 8624-2024")</f>
        <v/>
      </c>
      <c r="V482">
        <f>HYPERLINK("https://klasma.github.io/Logging_0331/klagomål/A 8624-2024 FSC-klagomål.docx", "A 8624-2024")</f>
        <v/>
      </c>
      <c r="W482">
        <f>HYPERLINK("https://klasma.github.io/Logging_0331/klagomålsmail/A 8624-2024 FSC-klagomål mail.docx", "A 8624-2024")</f>
        <v/>
      </c>
      <c r="X482">
        <f>HYPERLINK("https://klasma.github.io/Logging_0331/tillsyn/A 8624-2024 tillsynsbegäran.docx", "A 8624-2024")</f>
        <v/>
      </c>
      <c r="Y482">
        <f>HYPERLINK("https://klasma.github.io/Logging_0331/tillsynsmail/A 8624-2024 tillsynsbegäran mail.docx", "A 8624-2024")</f>
        <v/>
      </c>
    </row>
    <row r="483" ht="15" customHeight="1">
      <c r="A483" t="inlineStr">
        <is>
          <t>A 2729-2024</t>
        </is>
      </c>
      <c r="B483" s="1" t="n">
        <v>45314.55579861111</v>
      </c>
      <c r="C483" s="1" t="n">
        <v>46098</v>
      </c>
      <c r="D483" t="inlineStr">
        <is>
          <t>UPPSALA LÄN</t>
        </is>
      </c>
      <c r="E483" t="inlineStr">
        <is>
          <t>UPPSALA</t>
        </is>
      </c>
      <c r="G483" t="n">
        <v>3.3</v>
      </c>
      <c r="H483" t="n">
        <v>1</v>
      </c>
      <c r="I483" t="n">
        <v>0</v>
      </c>
      <c r="J483" t="n">
        <v>0</v>
      </c>
      <c r="K483" t="n">
        <v>0</v>
      </c>
      <c r="L483" t="n">
        <v>0</v>
      </c>
      <c r="M483" t="n">
        <v>0</v>
      </c>
      <c r="N483" t="n">
        <v>0</v>
      </c>
      <c r="O483" t="n">
        <v>0</v>
      </c>
      <c r="P483" t="n">
        <v>0</v>
      </c>
      <c r="Q483" t="n">
        <v>1</v>
      </c>
      <c r="R483" s="2" t="inlineStr">
        <is>
          <t>Revlummer</t>
        </is>
      </c>
      <c r="S483">
        <f>HYPERLINK("https://klasma.github.io/Logging_0380/artfynd/A 2729-2024 artfynd.xlsx", "A 2729-2024")</f>
        <v/>
      </c>
      <c r="T483">
        <f>HYPERLINK("https://klasma.github.io/Logging_0380/kartor/A 2729-2024 karta.png", "A 2729-2024")</f>
        <v/>
      </c>
      <c r="V483">
        <f>HYPERLINK("https://klasma.github.io/Logging_0380/klagomål/A 2729-2024 FSC-klagomål.docx", "A 2729-2024")</f>
        <v/>
      </c>
      <c r="W483">
        <f>HYPERLINK("https://klasma.github.io/Logging_0380/klagomålsmail/A 2729-2024 FSC-klagomål mail.docx", "A 2729-2024")</f>
        <v/>
      </c>
      <c r="X483">
        <f>HYPERLINK("https://klasma.github.io/Logging_0380/tillsyn/A 2729-2024 tillsynsbegäran.docx", "A 2729-2024")</f>
        <v/>
      </c>
      <c r="Y483">
        <f>HYPERLINK("https://klasma.github.io/Logging_0380/tillsynsmail/A 2729-2024 tillsynsbegäran mail.docx", "A 2729-2024")</f>
        <v/>
      </c>
    </row>
    <row r="484" ht="15" customHeight="1">
      <c r="A484" t="inlineStr">
        <is>
          <t>A 38151-2023</t>
        </is>
      </c>
      <c r="B484" s="1" t="n">
        <v>45160</v>
      </c>
      <c r="C484" s="1" t="n">
        <v>46098</v>
      </c>
      <c r="D484" t="inlineStr">
        <is>
          <t>UPPSALA LÄN</t>
        </is>
      </c>
      <c r="E484" t="inlineStr">
        <is>
          <t>TIERP</t>
        </is>
      </c>
      <c r="G484" t="n">
        <v>1.4</v>
      </c>
      <c r="H484" t="n">
        <v>1</v>
      </c>
      <c r="I484" t="n">
        <v>0</v>
      </c>
      <c r="J484" t="n">
        <v>0</v>
      </c>
      <c r="K484" t="n">
        <v>0</v>
      </c>
      <c r="L484" t="n">
        <v>1</v>
      </c>
      <c r="M484" t="n">
        <v>0</v>
      </c>
      <c r="N484" t="n">
        <v>0</v>
      </c>
      <c r="O484" t="n">
        <v>1</v>
      </c>
      <c r="P484" t="n">
        <v>1</v>
      </c>
      <c r="Q484" t="n">
        <v>1</v>
      </c>
      <c r="R484" s="2" t="inlineStr">
        <is>
          <t>Tornseglare</t>
        </is>
      </c>
      <c r="S484">
        <f>HYPERLINK("https://klasma.github.io/Logging_0360/artfynd/A 38151-2023 artfynd.xlsx", "A 38151-2023")</f>
        <v/>
      </c>
      <c r="T484">
        <f>HYPERLINK("https://klasma.github.io/Logging_0360/kartor/A 38151-2023 karta.png", "A 38151-2023")</f>
        <v/>
      </c>
      <c r="V484">
        <f>HYPERLINK("https://klasma.github.io/Logging_0360/klagomål/A 38151-2023 FSC-klagomål.docx", "A 38151-2023")</f>
        <v/>
      </c>
      <c r="W484">
        <f>HYPERLINK("https://klasma.github.io/Logging_0360/klagomålsmail/A 38151-2023 FSC-klagomål mail.docx", "A 38151-2023")</f>
        <v/>
      </c>
      <c r="X484">
        <f>HYPERLINK("https://klasma.github.io/Logging_0360/tillsyn/A 38151-2023 tillsynsbegäran.docx", "A 38151-2023")</f>
        <v/>
      </c>
      <c r="Y484">
        <f>HYPERLINK("https://klasma.github.io/Logging_0360/tillsynsmail/A 38151-2023 tillsynsbegäran mail.docx", "A 38151-2023")</f>
        <v/>
      </c>
      <c r="Z484">
        <f>HYPERLINK("https://klasma.github.io/Logging_0360/fåglar/A 38151-2023 prioriterade fågelarter.docx", "A 38151-2023")</f>
        <v/>
      </c>
    </row>
    <row r="485" ht="15" customHeight="1">
      <c r="A485" t="inlineStr">
        <is>
          <t>A 14515-2025</t>
        </is>
      </c>
      <c r="B485" s="1" t="n">
        <v>45741.63833333334</v>
      </c>
      <c r="C485" s="1" t="n">
        <v>46098</v>
      </c>
      <c r="D485" t="inlineStr">
        <is>
          <t>UPPSALA LÄN</t>
        </is>
      </c>
      <c r="E485" t="inlineStr">
        <is>
          <t>TIERP</t>
        </is>
      </c>
      <c r="F485" t="inlineStr">
        <is>
          <t>Bergvik skog väst AB</t>
        </is>
      </c>
      <c r="G485" t="n">
        <v>7.7</v>
      </c>
      <c r="H485" t="n">
        <v>1</v>
      </c>
      <c r="I485" t="n">
        <v>0</v>
      </c>
      <c r="J485" t="n">
        <v>1</v>
      </c>
      <c r="K485" t="n">
        <v>0</v>
      </c>
      <c r="L485" t="n">
        <v>0</v>
      </c>
      <c r="M485" t="n">
        <v>0</v>
      </c>
      <c r="N485" t="n">
        <v>0</v>
      </c>
      <c r="O485" t="n">
        <v>1</v>
      </c>
      <c r="P485" t="n">
        <v>0</v>
      </c>
      <c r="Q485" t="n">
        <v>1</v>
      </c>
      <c r="R485" s="2" t="inlineStr">
        <is>
          <t>Talltita</t>
        </is>
      </c>
      <c r="S485">
        <f>HYPERLINK("https://klasma.github.io/Logging_0360/artfynd/A 14515-2025 artfynd.xlsx", "A 14515-2025")</f>
        <v/>
      </c>
      <c r="T485">
        <f>HYPERLINK("https://klasma.github.io/Logging_0360/kartor/A 14515-2025 karta.png", "A 14515-2025")</f>
        <v/>
      </c>
      <c r="V485">
        <f>HYPERLINK("https://klasma.github.io/Logging_0360/klagomål/A 14515-2025 FSC-klagomål.docx", "A 14515-2025")</f>
        <v/>
      </c>
      <c r="W485">
        <f>HYPERLINK("https://klasma.github.io/Logging_0360/klagomålsmail/A 14515-2025 FSC-klagomål mail.docx", "A 14515-2025")</f>
        <v/>
      </c>
      <c r="X485">
        <f>HYPERLINK("https://klasma.github.io/Logging_0360/tillsyn/A 14515-2025 tillsynsbegäran.docx", "A 14515-2025")</f>
        <v/>
      </c>
      <c r="Y485">
        <f>HYPERLINK("https://klasma.github.io/Logging_0360/tillsynsmail/A 14515-2025 tillsynsbegäran mail.docx", "A 14515-2025")</f>
        <v/>
      </c>
      <c r="Z485">
        <f>HYPERLINK("https://klasma.github.io/Logging_0360/fåglar/A 14515-2025 prioriterade fågelarter.docx", "A 14515-2025")</f>
        <v/>
      </c>
    </row>
    <row r="486" ht="15" customHeight="1">
      <c r="A486" t="inlineStr">
        <is>
          <t>A 10844-2025</t>
        </is>
      </c>
      <c r="B486" s="1" t="n">
        <v>45722.57790509259</v>
      </c>
      <c r="C486" s="1" t="n">
        <v>46098</v>
      </c>
      <c r="D486" t="inlineStr">
        <is>
          <t>UPPSALA LÄN</t>
        </is>
      </c>
      <c r="E486" t="inlineStr">
        <is>
          <t>TIERP</t>
        </is>
      </c>
      <c r="F486" t="inlineStr">
        <is>
          <t>Bergvik skog öst AB</t>
        </is>
      </c>
      <c r="G486" t="n">
        <v>4.3</v>
      </c>
      <c r="H486" t="n">
        <v>1</v>
      </c>
      <c r="I486" t="n">
        <v>0</v>
      </c>
      <c r="J486" t="n">
        <v>0</v>
      </c>
      <c r="K486" t="n">
        <v>0</v>
      </c>
      <c r="L486" t="n">
        <v>0</v>
      </c>
      <c r="M486" t="n">
        <v>0</v>
      </c>
      <c r="N486" t="n">
        <v>0</v>
      </c>
      <c r="O486" t="n">
        <v>0</v>
      </c>
      <c r="P486" t="n">
        <v>0</v>
      </c>
      <c r="Q486" t="n">
        <v>1</v>
      </c>
      <c r="R486" s="2" t="inlineStr">
        <is>
          <t>Blåsippa</t>
        </is>
      </c>
      <c r="S486">
        <f>HYPERLINK("https://klasma.github.io/Logging_0360/artfynd/A 10844-2025 artfynd.xlsx", "A 10844-2025")</f>
        <v/>
      </c>
      <c r="T486">
        <f>HYPERLINK("https://klasma.github.io/Logging_0360/kartor/A 10844-2025 karta.png", "A 10844-2025")</f>
        <v/>
      </c>
      <c r="V486">
        <f>HYPERLINK("https://klasma.github.io/Logging_0360/klagomål/A 10844-2025 FSC-klagomål.docx", "A 10844-2025")</f>
        <v/>
      </c>
      <c r="W486">
        <f>HYPERLINK("https://klasma.github.io/Logging_0360/klagomålsmail/A 10844-2025 FSC-klagomål mail.docx", "A 10844-2025")</f>
        <v/>
      </c>
      <c r="X486">
        <f>HYPERLINK("https://klasma.github.io/Logging_0360/tillsyn/A 10844-2025 tillsynsbegäran.docx", "A 10844-2025")</f>
        <v/>
      </c>
      <c r="Y486">
        <f>HYPERLINK("https://klasma.github.io/Logging_0360/tillsynsmail/A 10844-2025 tillsynsbegäran mail.docx", "A 10844-2025")</f>
        <v/>
      </c>
    </row>
    <row r="487" ht="15" customHeight="1">
      <c r="A487" t="inlineStr">
        <is>
          <t>A 11405-2025</t>
        </is>
      </c>
      <c r="B487" s="1" t="n">
        <v>45726</v>
      </c>
      <c r="C487" s="1" t="n">
        <v>46098</v>
      </c>
      <c r="D487" t="inlineStr">
        <is>
          <t>UPPSALA LÄN</t>
        </is>
      </c>
      <c r="E487" t="inlineStr">
        <is>
          <t>KNIVSTA</t>
        </is>
      </c>
      <c r="G487" t="n">
        <v>1.6</v>
      </c>
      <c r="H487" t="n">
        <v>0</v>
      </c>
      <c r="I487" t="n">
        <v>0</v>
      </c>
      <c r="J487" t="n">
        <v>0</v>
      </c>
      <c r="K487" t="n">
        <v>0</v>
      </c>
      <c r="L487" t="n">
        <v>1</v>
      </c>
      <c r="M487" t="n">
        <v>0</v>
      </c>
      <c r="N487" t="n">
        <v>0</v>
      </c>
      <c r="O487" t="n">
        <v>1</v>
      </c>
      <c r="P487" t="n">
        <v>1</v>
      </c>
      <c r="Q487" t="n">
        <v>1</v>
      </c>
      <c r="R487" s="2" t="inlineStr">
        <is>
          <t>Fältgentiana</t>
        </is>
      </c>
      <c r="S487">
        <f>HYPERLINK("https://klasma.github.io/Logging_0330/artfynd/A 11405-2025 artfynd.xlsx", "A 11405-2025")</f>
        <v/>
      </c>
      <c r="T487">
        <f>HYPERLINK("https://klasma.github.io/Logging_0330/kartor/A 11405-2025 karta.png", "A 11405-2025")</f>
        <v/>
      </c>
      <c r="V487">
        <f>HYPERLINK("https://klasma.github.io/Logging_0330/klagomål/A 11405-2025 FSC-klagomål.docx", "A 11405-2025")</f>
        <v/>
      </c>
      <c r="W487">
        <f>HYPERLINK("https://klasma.github.io/Logging_0330/klagomålsmail/A 11405-2025 FSC-klagomål mail.docx", "A 11405-2025")</f>
        <v/>
      </c>
      <c r="X487">
        <f>HYPERLINK("https://klasma.github.io/Logging_0330/tillsyn/A 11405-2025 tillsynsbegäran.docx", "A 11405-2025")</f>
        <v/>
      </c>
      <c r="Y487">
        <f>HYPERLINK("https://klasma.github.io/Logging_0330/tillsynsmail/A 11405-2025 tillsynsbegäran mail.docx", "A 11405-2025")</f>
        <v/>
      </c>
    </row>
    <row r="488" ht="15" customHeight="1">
      <c r="A488" t="inlineStr">
        <is>
          <t>A 42622-2022</t>
        </is>
      </c>
      <c r="B488" s="1" t="n">
        <v>44831</v>
      </c>
      <c r="C488" s="1" t="n">
        <v>46098</v>
      </c>
      <c r="D488" t="inlineStr">
        <is>
          <t>UPPSALA LÄN</t>
        </is>
      </c>
      <c r="E488" t="inlineStr">
        <is>
          <t>UPPSALA</t>
        </is>
      </c>
      <c r="G488" t="n">
        <v>2.4</v>
      </c>
      <c r="H488" t="n">
        <v>0</v>
      </c>
      <c r="I488" t="n">
        <v>0</v>
      </c>
      <c r="J488" t="n">
        <v>1</v>
      </c>
      <c r="K488" t="n">
        <v>0</v>
      </c>
      <c r="L488" t="n">
        <v>0</v>
      </c>
      <c r="M488" t="n">
        <v>0</v>
      </c>
      <c r="N488" t="n">
        <v>0</v>
      </c>
      <c r="O488" t="n">
        <v>1</v>
      </c>
      <c r="P488" t="n">
        <v>0</v>
      </c>
      <c r="Q488" t="n">
        <v>1</v>
      </c>
      <c r="R488" s="2" t="inlineStr">
        <is>
          <t>Motaggsvamp</t>
        </is>
      </c>
      <c r="S488">
        <f>HYPERLINK("https://klasma.github.io/Logging_0380/artfynd/A 42622-2022 artfynd.xlsx", "A 42622-2022")</f>
        <v/>
      </c>
      <c r="T488">
        <f>HYPERLINK("https://klasma.github.io/Logging_0380/kartor/A 42622-2022 karta.png", "A 42622-2022")</f>
        <v/>
      </c>
      <c r="V488">
        <f>HYPERLINK("https://klasma.github.io/Logging_0380/klagomål/A 42622-2022 FSC-klagomål.docx", "A 42622-2022")</f>
        <v/>
      </c>
      <c r="W488">
        <f>HYPERLINK("https://klasma.github.io/Logging_0380/klagomålsmail/A 42622-2022 FSC-klagomål mail.docx", "A 42622-2022")</f>
        <v/>
      </c>
      <c r="X488">
        <f>HYPERLINK("https://klasma.github.io/Logging_0380/tillsyn/A 42622-2022 tillsynsbegäran.docx", "A 42622-2022")</f>
        <v/>
      </c>
      <c r="Y488">
        <f>HYPERLINK("https://klasma.github.io/Logging_0380/tillsynsmail/A 42622-2022 tillsynsbegäran mail.docx", "A 42622-2022")</f>
        <v/>
      </c>
    </row>
    <row r="489" ht="15" customHeight="1">
      <c r="A489" t="inlineStr">
        <is>
          <t>A 19300-2024</t>
        </is>
      </c>
      <c r="B489" s="1" t="n">
        <v>45428.70128472222</v>
      </c>
      <c r="C489" s="1" t="n">
        <v>46098</v>
      </c>
      <c r="D489" t="inlineStr">
        <is>
          <t>UPPSALA LÄN</t>
        </is>
      </c>
      <c r="E489" t="inlineStr">
        <is>
          <t>ÄLVKARLEBY</t>
        </is>
      </c>
      <c r="G489" t="n">
        <v>0.9</v>
      </c>
      <c r="H489" t="n">
        <v>1</v>
      </c>
      <c r="I489" t="n">
        <v>0</v>
      </c>
      <c r="J489" t="n">
        <v>0</v>
      </c>
      <c r="K489" t="n">
        <v>1</v>
      </c>
      <c r="L489" t="n">
        <v>0</v>
      </c>
      <c r="M489" t="n">
        <v>0</v>
      </c>
      <c r="N489" t="n">
        <v>0</v>
      </c>
      <c r="O489" t="n">
        <v>1</v>
      </c>
      <c r="P489" t="n">
        <v>1</v>
      </c>
      <c r="Q489" t="n">
        <v>1</v>
      </c>
      <c r="R489" s="2" t="inlineStr">
        <is>
          <t>Kricka</t>
        </is>
      </c>
      <c r="S489">
        <f>HYPERLINK("https://klasma.github.io/Logging_0319/artfynd/A 19300-2024 artfynd.xlsx", "A 19300-2024")</f>
        <v/>
      </c>
      <c r="T489">
        <f>HYPERLINK("https://klasma.github.io/Logging_0319/kartor/A 19300-2024 karta.png", "A 19300-2024")</f>
        <v/>
      </c>
      <c r="V489">
        <f>HYPERLINK("https://klasma.github.io/Logging_0319/klagomål/A 19300-2024 FSC-klagomål.docx", "A 19300-2024")</f>
        <v/>
      </c>
      <c r="W489">
        <f>HYPERLINK("https://klasma.github.io/Logging_0319/klagomålsmail/A 19300-2024 FSC-klagomål mail.docx", "A 19300-2024")</f>
        <v/>
      </c>
      <c r="X489">
        <f>HYPERLINK("https://klasma.github.io/Logging_0319/tillsyn/A 19300-2024 tillsynsbegäran.docx", "A 19300-2024")</f>
        <v/>
      </c>
      <c r="Y489">
        <f>HYPERLINK("https://klasma.github.io/Logging_0319/tillsynsmail/A 19300-2024 tillsynsbegäran mail.docx", "A 19300-2024")</f>
        <v/>
      </c>
      <c r="Z489">
        <f>HYPERLINK("https://klasma.github.io/Logging_0319/fåglar/A 19300-2024 prioriterade fågelarter.docx", "A 19300-2024")</f>
        <v/>
      </c>
    </row>
    <row r="490" ht="15" customHeight="1">
      <c r="A490" t="inlineStr">
        <is>
          <t>A 16761-2022</t>
        </is>
      </c>
      <c r="B490" s="1" t="n">
        <v>44673.47858796296</v>
      </c>
      <c r="C490" s="1" t="n">
        <v>46098</v>
      </c>
      <c r="D490" t="inlineStr">
        <is>
          <t>UPPSALA LÄN</t>
        </is>
      </c>
      <c r="E490" t="inlineStr">
        <is>
          <t>UPPSALA</t>
        </is>
      </c>
      <c r="G490" t="n">
        <v>0.6</v>
      </c>
      <c r="H490" t="n">
        <v>1</v>
      </c>
      <c r="I490" t="n">
        <v>0</v>
      </c>
      <c r="J490" t="n">
        <v>0</v>
      </c>
      <c r="K490" t="n">
        <v>0</v>
      </c>
      <c r="L490" t="n">
        <v>0</v>
      </c>
      <c r="M490" t="n">
        <v>0</v>
      </c>
      <c r="N490" t="n">
        <v>0</v>
      </c>
      <c r="O490" t="n">
        <v>0</v>
      </c>
      <c r="P490" t="n">
        <v>0</v>
      </c>
      <c r="Q490" t="n">
        <v>1</v>
      </c>
      <c r="R490" s="2" t="inlineStr">
        <is>
          <t>Trädlärka</t>
        </is>
      </c>
      <c r="S490">
        <f>HYPERLINK("https://klasma.github.io/Logging_0380/artfynd/A 16761-2022 artfynd.xlsx", "A 16761-2022")</f>
        <v/>
      </c>
      <c r="T490">
        <f>HYPERLINK("https://klasma.github.io/Logging_0380/kartor/A 16761-2022 karta.png", "A 16761-2022")</f>
        <v/>
      </c>
      <c r="V490">
        <f>HYPERLINK("https://klasma.github.io/Logging_0380/klagomål/A 16761-2022 FSC-klagomål.docx", "A 16761-2022")</f>
        <v/>
      </c>
      <c r="W490">
        <f>HYPERLINK("https://klasma.github.io/Logging_0380/klagomålsmail/A 16761-2022 FSC-klagomål mail.docx", "A 16761-2022")</f>
        <v/>
      </c>
      <c r="X490">
        <f>HYPERLINK("https://klasma.github.io/Logging_0380/tillsyn/A 16761-2022 tillsynsbegäran.docx", "A 16761-2022")</f>
        <v/>
      </c>
      <c r="Y490">
        <f>HYPERLINK("https://klasma.github.io/Logging_0380/tillsynsmail/A 16761-2022 tillsynsbegäran mail.docx", "A 16761-2022")</f>
        <v/>
      </c>
      <c r="Z490">
        <f>HYPERLINK("https://klasma.github.io/Logging_0380/fåglar/A 16761-2022 prioriterade fågelarter.docx", "A 16761-2022")</f>
        <v/>
      </c>
    </row>
    <row r="491" ht="15" customHeight="1">
      <c r="A491" t="inlineStr">
        <is>
          <t>A 26596-2024</t>
        </is>
      </c>
      <c r="B491" s="1" t="n">
        <v>45469</v>
      </c>
      <c r="C491" s="1" t="n">
        <v>46098</v>
      </c>
      <c r="D491" t="inlineStr">
        <is>
          <t>UPPSALA LÄN</t>
        </is>
      </c>
      <c r="E491" t="inlineStr">
        <is>
          <t>HEBY</t>
        </is>
      </c>
      <c r="G491" t="n">
        <v>5.1</v>
      </c>
      <c r="H491" t="n">
        <v>0</v>
      </c>
      <c r="I491" t="n">
        <v>0</v>
      </c>
      <c r="J491" t="n">
        <v>0</v>
      </c>
      <c r="K491" t="n">
        <v>0</v>
      </c>
      <c r="L491" t="n">
        <v>0</v>
      </c>
      <c r="M491" t="n">
        <v>0</v>
      </c>
      <c r="N491" t="n">
        <v>0</v>
      </c>
      <c r="O491" t="n">
        <v>1</v>
      </c>
      <c r="P491" t="n">
        <v>0</v>
      </c>
      <c r="Q491" t="n">
        <v>1</v>
      </c>
      <c r="R491" s="2" t="inlineStr">
        <is>
          <t>Stenichnus poweri</t>
        </is>
      </c>
      <c r="S491">
        <f>HYPERLINK("https://klasma.github.io/Logging_0331/artfynd/A 26596-2024 artfynd.xlsx", "A 26596-2024")</f>
        <v/>
      </c>
      <c r="T491">
        <f>HYPERLINK("https://klasma.github.io/Logging_0331/kartor/A 26596-2024 karta.png", "A 26596-2024")</f>
        <v/>
      </c>
      <c r="V491">
        <f>HYPERLINK("https://klasma.github.io/Logging_0331/klagomål/A 26596-2024 FSC-klagomål.docx", "A 26596-2024")</f>
        <v/>
      </c>
      <c r="W491">
        <f>HYPERLINK("https://klasma.github.io/Logging_0331/klagomålsmail/A 26596-2024 FSC-klagomål mail.docx", "A 26596-2024")</f>
        <v/>
      </c>
      <c r="X491">
        <f>HYPERLINK("https://klasma.github.io/Logging_0331/tillsyn/A 26596-2024 tillsynsbegäran.docx", "A 26596-2024")</f>
        <v/>
      </c>
      <c r="Y491">
        <f>HYPERLINK("https://klasma.github.io/Logging_0331/tillsynsmail/A 26596-2024 tillsynsbegäran mail.docx", "A 26596-2024")</f>
        <v/>
      </c>
    </row>
    <row r="492" ht="15" customHeight="1">
      <c r="A492" t="inlineStr">
        <is>
          <t>A 65989-2021</t>
        </is>
      </c>
      <c r="B492" s="1" t="n">
        <v>44517</v>
      </c>
      <c r="C492" s="1" t="n">
        <v>46098</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5700-2024</t>
        </is>
      </c>
      <c r="B493" s="1" t="n">
        <v>45335</v>
      </c>
      <c r="C493" s="1" t="n">
        <v>46098</v>
      </c>
      <c r="D493" t="inlineStr">
        <is>
          <t>UPPSALA LÄN</t>
        </is>
      </c>
      <c r="E493" t="inlineStr">
        <is>
          <t>TIERP</t>
        </is>
      </c>
      <c r="G493" t="n">
        <v>1.6</v>
      </c>
      <c r="H493" t="n">
        <v>0</v>
      </c>
      <c r="I493" t="n">
        <v>1</v>
      </c>
      <c r="J493" t="n">
        <v>0</v>
      </c>
      <c r="K493" t="n">
        <v>0</v>
      </c>
      <c r="L493" t="n">
        <v>0</v>
      </c>
      <c r="M493" t="n">
        <v>0</v>
      </c>
      <c r="N493" t="n">
        <v>0</v>
      </c>
      <c r="O493" t="n">
        <v>0</v>
      </c>
      <c r="P493" t="n">
        <v>0</v>
      </c>
      <c r="Q493" t="n">
        <v>1</v>
      </c>
      <c r="R493" s="2" t="inlineStr">
        <is>
          <t>Vårärt</t>
        </is>
      </c>
      <c r="S493">
        <f>HYPERLINK("https://klasma.github.io/Logging_0360/artfynd/A 5700-2024 artfynd.xlsx", "A 5700-2024")</f>
        <v/>
      </c>
      <c r="T493">
        <f>HYPERLINK("https://klasma.github.io/Logging_0360/kartor/A 5700-2024 karta.png", "A 5700-2024")</f>
        <v/>
      </c>
      <c r="V493">
        <f>HYPERLINK("https://klasma.github.io/Logging_0360/klagomål/A 5700-2024 FSC-klagomål.docx", "A 5700-2024")</f>
        <v/>
      </c>
      <c r="W493">
        <f>HYPERLINK("https://klasma.github.io/Logging_0360/klagomålsmail/A 5700-2024 FSC-klagomål mail.docx", "A 5700-2024")</f>
        <v/>
      </c>
      <c r="X493">
        <f>HYPERLINK("https://klasma.github.io/Logging_0360/tillsyn/A 5700-2024 tillsynsbegäran.docx", "A 5700-2024")</f>
        <v/>
      </c>
      <c r="Y493">
        <f>HYPERLINK("https://klasma.github.io/Logging_0360/tillsynsmail/A 5700-2024 tillsynsbegäran mail.docx", "A 5700-2024")</f>
        <v/>
      </c>
    </row>
    <row r="494" ht="15" customHeight="1">
      <c r="A494" t="inlineStr">
        <is>
          <t>A 53992-2023</t>
        </is>
      </c>
      <c r="B494" s="1" t="n">
        <v>45231.66261574074</v>
      </c>
      <c r="C494" s="1" t="n">
        <v>46098</v>
      </c>
      <c r="D494" t="inlineStr">
        <is>
          <t>UPPSALA LÄN</t>
        </is>
      </c>
      <c r="E494" t="inlineStr">
        <is>
          <t>HEBY</t>
        </is>
      </c>
      <c r="G494" t="n">
        <v>1.2</v>
      </c>
      <c r="H494" t="n">
        <v>0</v>
      </c>
      <c r="I494" t="n">
        <v>0</v>
      </c>
      <c r="J494" t="n">
        <v>1</v>
      </c>
      <c r="K494" t="n">
        <v>0</v>
      </c>
      <c r="L494" t="n">
        <v>0</v>
      </c>
      <c r="M494" t="n">
        <v>0</v>
      </c>
      <c r="N494" t="n">
        <v>0</v>
      </c>
      <c r="O494" t="n">
        <v>1</v>
      </c>
      <c r="P494" t="n">
        <v>0</v>
      </c>
      <c r="Q494" t="n">
        <v>1</v>
      </c>
      <c r="R494" s="2" t="inlineStr">
        <is>
          <t>Igelkott</t>
        </is>
      </c>
      <c r="S494">
        <f>HYPERLINK("https://klasma.github.io/Logging_0331/artfynd/A 53992-2023 artfynd.xlsx", "A 53992-2023")</f>
        <v/>
      </c>
      <c r="T494">
        <f>HYPERLINK("https://klasma.github.io/Logging_0331/kartor/A 53992-2023 karta.png", "A 53992-2023")</f>
        <v/>
      </c>
      <c r="V494">
        <f>HYPERLINK("https://klasma.github.io/Logging_0331/klagomål/A 53992-2023 FSC-klagomål.docx", "A 53992-2023")</f>
        <v/>
      </c>
      <c r="W494">
        <f>HYPERLINK("https://klasma.github.io/Logging_0331/klagomålsmail/A 53992-2023 FSC-klagomål mail.docx", "A 53992-2023")</f>
        <v/>
      </c>
      <c r="X494">
        <f>HYPERLINK("https://klasma.github.io/Logging_0331/tillsyn/A 53992-2023 tillsynsbegäran.docx", "A 53992-2023")</f>
        <v/>
      </c>
      <c r="Y494">
        <f>HYPERLINK("https://klasma.github.io/Logging_0331/tillsynsmail/A 53992-2023 tillsynsbegäran mail.docx", "A 53992-2023")</f>
        <v/>
      </c>
    </row>
    <row r="495" ht="15" customHeight="1">
      <c r="A495" t="inlineStr">
        <is>
          <t>A 21657-2024</t>
        </is>
      </c>
      <c r="B495" s="1" t="n">
        <v>45442</v>
      </c>
      <c r="C495" s="1" t="n">
        <v>46098</v>
      </c>
      <c r="D495" t="inlineStr">
        <is>
          <t>UPPSALA LÄN</t>
        </is>
      </c>
      <c r="E495" t="inlineStr">
        <is>
          <t>UPPSALA</t>
        </is>
      </c>
      <c r="G495" t="n">
        <v>5.7</v>
      </c>
      <c r="H495" t="n">
        <v>1</v>
      </c>
      <c r="I495" t="n">
        <v>0</v>
      </c>
      <c r="J495" t="n">
        <v>0</v>
      </c>
      <c r="K495" t="n">
        <v>0</v>
      </c>
      <c r="L495" t="n">
        <v>0</v>
      </c>
      <c r="M495" t="n">
        <v>0</v>
      </c>
      <c r="N495" t="n">
        <v>0</v>
      </c>
      <c r="O495" t="n">
        <v>0</v>
      </c>
      <c r="P495" t="n">
        <v>0</v>
      </c>
      <c r="Q495" t="n">
        <v>1</v>
      </c>
      <c r="R495" s="2" t="inlineStr">
        <is>
          <t>Kungsfågel</t>
        </is>
      </c>
      <c r="S495">
        <f>HYPERLINK("https://klasma.github.io/Logging_0380/artfynd/A 21657-2024 artfynd.xlsx", "A 21657-2024")</f>
        <v/>
      </c>
      <c r="T495">
        <f>HYPERLINK("https://klasma.github.io/Logging_0380/kartor/A 21657-2024 karta.png", "A 21657-2024")</f>
        <v/>
      </c>
      <c r="V495">
        <f>HYPERLINK("https://klasma.github.io/Logging_0380/klagomål/A 21657-2024 FSC-klagomål.docx", "A 21657-2024")</f>
        <v/>
      </c>
      <c r="W495">
        <f>HYPERLINK("https://klasma.github.io/Logging_0380/klagomålsmail/A 21657-2024 FSC-klagomål mail.docx", "A 21657-2024")</f>
        <v/>
      </c>
      <c r="X495">
        <f>HYPERLINK("https://klasma.github.io/Logging_0380/tillsyn/A 21657-2024 tillsynsbegäran.docx", "A 21657-2024")</f>
        <v/>
      </c>
      <c r="Y495">
        <f>HYPERLINK("https://klasma.github.io/Logging_0380/tillsynsmail/A 21657-2024 tillsynsbegäran mail.docx", "A 21657-2024")</f>
        <v/>
      </c>
      <c r="Z495">
        <f>HYPERLINK("https://klasma.github.io/Logging_0380/fåglar/A 21657-2024 prioriterade fågelarter.docx", "A 21657-2024")</f>
        <v/>
      </c>
    </row>
    <row r="496" ht="15" customHeight="1">
      <c r="A496" t="inlineStr">
        <is>
          <t>A 18373-2025</t>
        </is>
      </c>
      <c r="B496" s="1" t="n">
        <v>45762.57244212963</v>
      </c>
      <c r="C496" s="1" t="n">
        <v>46098</v>
      </c>
      <c r="D496" t="inlineStr">
        <is>
          <t>UPPSALA LÄN</t>
        </is>
      </c>
      <c r="E496" t="inlineStr">
        <is>
          <t>UPPSALA</t>
        </is>
      </c>
      <c r="G496" t="n">
        <v>9.5</v>
      </c>
      <c r="H496" t="n">
        <v>0</v>
      </c>
      <c r="I496" t="n">
        <v>0</v>
      </c>
      <c r="J496" t="n">
        <v>1</v>
      </c>
      <c r="K496" t="n">
        <v>0</v>
      </c>
      <c r="L496" t="n">
        <v>0</v>
      </c>
      <c r="M496" t="n">
        <v>0</v>
      </c>
      <c r="N496" t="n">
        <v>0</v>
      </c>
      <c r="O496" t="n">
        <v>1</v>
      </c>
      <c r="P496" t="n">
        <v>0</v>
      </c>
      <c r="Q496" t="n">
        <v>1</v>
      </c>
      <c r="R496" s="2" t="inlineStr">
        <is>
          <t>Ullticka</t>
        </is>
      </c>
      <c r="S496">
        <f>HYPERLINK("https://klasma.github.io/Logging_0380/artfynd/A 18373-2025 artfynd.xlsx", "A 18373-2025")</f>
        <v/>
      </c>
      <c r="T496">
        <f>HYPERLINK("https://klasma.github.io/Logging_0380/kartor/A 18373-2025 karta.png", "A 18373-2025")</f>
        <v/>
      </c>
      <c r="V496">
        <f>HYPERLINK("https://klasma.github.io/Logging_0380/klagomål/A 18373-2025 FSC-klagomål.docx", "A 18373-2025")</f>
        <v/>
      </c>
      <c r="W496">
        <f>HYPERLINK("https://klasma.github.io/Logging_0380/klagomålsmail/A 18373-2025 FSC-klagomål mail.docx", "A 18373-2025")</f>
        <v/>
      </c>
      <c r="X496">
        <f>HYPERLINK("https://klasma.github.io/Logging_0380/tillsyn/A 18373-2025 tillsynsbegäran.docx", "A 18373-2025")</f>
        <v/>
      </c>
      <c r="Y496">
        <f>HYPERLINK("https://klasma.github.io/Logging_0380/tillsynsmail/A 18373-2025 tillsynsbegäran mail.docx", "A 18373-2025")</f>
        <v/>
      </c>
    </row>
    <row r="497" ht="15" customHeight="1">
      <c r="A497" t="inlineStr">
        <is>
          <t>A 29902-2023</t>
        </is>
      </c>
      <c r="B497" s="1" t="n">
        <v>45107</v>
      </c>
      <c r="C497" s="1" t="n">
        <v>46098</v>
      </c>
      <c r="D497" t="inlineStr">
        <is>
          <t>UPPSALA LÄN</t>
        </is>
      </c>
      <c r="E497" t="inlineStr">
        <is>
          <t>UPPSALA</t>
        </is>
      </c>
      <c r="F497" t="inlineStr">
        <is>
          <t>Kyrkan</t>
        </is>
      </c>
      <c r="G497" t="n">
        <v>10.6</v>
      </c>
      <c r="H497" t="n">
        <v>1</v>
      </c>
      <c r="I497" t="n">
        <v>0</v>
      </c>
      <c r="J497" t="n">
        <v>1</v>
      </c>
      <c r="K497" t="n">
        <v>0</v>
      </c>
      <c r="L497" t="n">
        <v>0</v>
      </c>
      <c r="M497" t="n">
        <v>0</v>
      </c>
      <c r="N497" t="n">
        <v>0</v>
      </c>
      <c r="O497" t="n">
        <v>1</v>
      </c>
      <c r="P497" t="n">
        <v>0</v>
      </c>
      <c r="Q497" t="n">
        <v>1</v>
      </c>
      <c r="R497" s="2" t="inlineStr">
        <is>
          <t>Järpe</t>
        </is>
      </c>
      <c r="S497">
        <f>HYPERLINK("https://klasma.github.io/Logging_0380/artfynd/A 29902-2023 artfynd.xlsx", "A 29902-2023")</f>
        <v/>
      </c>
      <c r="T497">
        <f>HYPERLINK("https://klasma.github.io/Logging_0380/kartor/A 29902-2023 karta.png", "A 29902-2023")</f>
        <v/>
      </c>
      <c r="V497">
        <f>HYPERLINK("https://klasma.github.io/Logging_0380/klagomål/A 29902-2023 FSC-klagomål.docx", "A 29902-2023")</f>
        <v/>
      </c>
      <c r="W497">
        <f>HYPERLINK("https://klasma.github.io/Logging_0380/klagomålsmail/A 29902-2023 FSC-klagomål mail.docx", "A 29902-2023")</f>
        <v/>
      </c>
      <c r="X497">
        <f>HYPERLINK("https://klasma.github.io/Logging_0380/tillsyn/A 29902-2023 tillsynsbegäran.docx", "A 29902-2023")</f>
        <v/>
      </c>
      <c r="Y497">
        <f>HYPERLINK("https://klasma.github.io/Logging_0380/tillsynsmail/A 29902-2023 tillsynsbegäran mail.docx", "A 29902-2023")</f>
        <v/>
      </c>
      <c r="Z497">
        <f>HYPERLINK("https://klasma.github.io/Logging_0380/fåglar/A 29902-2023 prioriterade fågelarter.docx", "A 29902-2023")</f>
        <v/>
      </c>
    </row>
    <row r="498" ht="15" customHeight="1">
      <c r="A498" t="inlineStr">
        <is>
          <t>A 22375-2024</t>
        </is>
      </c>
      <c r="B498" s="1" t="n">
        <v>45446</v>
      </c>
      <c r="C498" s="1" t="n">
        <v>46098</v>
      </c>
      <c r="D498" t="inlineStr">
        <is>
          <t>UPPSALA LÄN</t>
        </is>
      </c>
      <c r="E498" t="inlineStr">
        <is>
          <t>ÖSTHAMMAR</t>
        </is>
      </c>
      <c r="F498" t="inlineStr">
        <is>
          <t>Bergvik skog öst AB</t>
        </is>
      </c>
      <c r="G498" t="n">
        <v>2.2</v>
      </c>
      <c r="H498" t="n">
        <v>0</v>
      </c>
      <c r="I498" t="n">
        <v>0</v>
      </c>
      <c r="J498" t="n">
        <v>1</v>
      </c>
      <c r="K498" t="n">
        <v>0</v>
      </c>
      <c r="L498" t="n">
        <v>0</v>
      </c>
      <c r="M498" t="n">
        <v>0</v>
      </c>
      <c r="N498" t="n">
        <v>0</v>
      </c>
      <c r="O498" t="n">
        <v>1</v>
      </c>
      <c r="P498" t="n">
        <v>0</v>
      </c>
      <c r="Q498" t="n">
        <v>1</v>
      </c>
      <c r="R498" s="2" t="inlineStr">
        <is>
          <t>Slåtterfibbla</t>
        </is>
      </c>
      <c r="S498">
        <f>HYPERLINK("https://klasma.github.io/Logging_0382/artfynd/A 22375-2024 artfynd.xlsx", "A 22375-2024")</f>
        <v/>
      </c>
      <c r="T498">
        <f>HYPERLINK("https://klasma.github.io/Logging_0382/kartor/A 22375-2024 karta.png", "A 22375-2024")</f>
        <v/>
      </c>
      <c r="V498">
        <f>HYPERLINK("https://klasma.github.io/Logging_0382/klagomål/A 22375-2024 FSC-klagomål.docx", "A 22375-2024")</f>
        <v/>
      </c>
      <c r="W498">
        <f>HYPERLINK("https://klasma.github.io/Logging_0382/klagomålsmail/A 22375-2024 FSC-klagomål mail.docx", "A 22375-2024")</f>
        <v/>
      </c>
      <c r="X498">
        <f>HYPERLINK("https://klasma.github.io/Logging_0382/tillsyn/A 22375-2024 tillsynsbegäran.docx", "A 22375-2024")</f>
        <v/>
      </c>
      <c r="Y498">
        <f>HYPERLINK("https://klasma.github.io/Logging_0382/tillsynsmail/A 22375-2024 tillsynsbegäran mail.docx", "A 22375-2024")</f>
        <v/>
      </c>
    </row>
    <row r="499" ht="15" customHeight="1">
      <c r="A499" t="inlineStr">
        <is>
          <t>A 23961-2022</t>
        </is>
      </c>
      <c r="B499" s="1" t="n">
        <v>44722</v>
      </c>
      <c r="C499" s="1" t="n">
        <v>46098</v>
      </c>
      <c r="D499" t="inlineStr">
        <is>
          <t>UPPSALA LÄN</t>
        </is>
      </c>
      <c r="E499" t="inlineStr">
        <is>
          <t>ENKÖPING</t>
        </is>
      </c>
      <c r="G499" t="n">
        <v>1.4</v>
      </c>
      <c r="H499" t="n">
        <v>1</v>
      </c>
      <c r="I499" t="n">
        <v>0</v>
      </c>
      <c r="J499" t="n">
        <v>0</v>
      </c>
      <c r="K499" t="n">
        <v>0</v>
      </c>
      <c r="L499" t="n">
        <v>0</v>
      </c>
      <c r="M499" t="n">
        <v>0</v>
      </c>
      <c r="N499" t="n">
        <v>0</v>
      </c>
      <c r="O499" t="n">
        <v>0</v>
      </c>
      <c r="P499" t="n">
        <v>0</v>
      </c>
      <c r="Q499" t="n">
        <v>1</v>
      </c>
      <c r="R499" s="2" t="inlineStr">
        <is>
          <t>Blåsippa</t>
        </is>
      </c>
      <c r="S499">
        <f>HYPERLINK("https://klasma.github.io/Logging_0381/artfynd/A 23961-2022 artfynd.xlsx", "A 23961-2022")</f>
        <v/>
      </c>
      <c r="T499">
        <f>HYPERLINK("https://klasma.github.io/Logging_0381/kartor/A 23961-2022 karta.png", "A 23961-2022")</f>
        <v/>
      </c>
      <c r="V499">
        <f>HYPERLINK("https://klasma.github.io/Logging_0381/klagomål/A 23961-2022 FSC-klagomål.docx", "A 23961-2022")</f>
        <v/>
      </c>
      <c r="W499">
        <f>HYPERLINK("https://klasma.github.io/Logging_0381/klagomålsmail/A 23961-2022 FSC-klagomål mail.docx", "A 23961-2022")</f>
        <v/>
      </c>
      <c r="X499">
        <f>HYPERLINK("https://klasma.github.io/Logging_0381/tillsyn/A 23961-2022 tillsynsbegäran.docx", "A 23961-2022")</f>
        <v/>
      </c>
      <c r="Y499">
        <f>HYPERLINK("https://klasma.github.io/Logging_0381/tillsynsmail/A 23961-2022 tillsynsbegäran mail.docx", "A 23961-2022")</f>
        <v/>
      </c>
    </row>
    <row r="500" ht="15" customHeight="1">
      <c r="A500" t="inlineStr">
        <is>
          <t>A 32141-2021</t>
        </is>
      </c>
      <c r="B500" s="1" t="n">
        <v>44370</v>
      </c>
      <c r="C500" s="1" t="n">
        <v>46098</v>
      </c>
      <c r="D500" t="inlineStr">
        <is>
          <t>UPPSALA LÄN</t>
        </is>
      </c>
      <c r="E500" t="inlineStr">
        <is>
          <t>HEBY</t>
        </is>
      </c>
      <c r="F500" t="inlineStr">
        <is>
          <t>Bergvik skog väst AB</t>
        </is>
      </c>
      <c r="G500" t="n">
        <v>10.8</v>
      </c>
      <c r="H500" t="n">
        <v>1</v>
      </c>
      <c r="I500" t="n">
        <v>0</v>
      </c>
      <c r="J500" t="n">
        <v>1</v>
      </c>
      <c r="K500" t="n">
        <v>0</v>
      </c>
      <c r="L500" t="n">
        <v>0</v>
      </c>
      <c r="M500" t="n">
        <v>0</v>
      </c>
      <c r="N500" t="n">
        <v>0</v>
      </c>
      <c r="O500" t="n">
        <v>1</v>
      </c>
      <c r="P500" t="n">
        <v>0</v>
      </c>
      <c r="Q500" t="n">
        <v>1</v>
      </c>
      <c r="R500" s="2" t="inlineStr">
        <is>
          <t>Talltita</t>
        </is>
      </c>
      <c r="S500">
        <f>HYPERLINK("https://klasma.github.io/Logging_0331/artfynd/A 32141-2021 artfynd.xlsx", "A 32141-2021")</f>
        <v/>
      </c>
      <c r="T500">
        <f>HYPERLINK("https://klasma.github.io/Logging_0331/kartor/A 32141-2021 karta.png", "A 32141-2021")</f>
        <v/>
      </c>
      <c r="V500">
        <f>HYPERLINK("https://klasma.github.io/Logging_0331/klagomål/A 32141-2021 FSC-klagomål.docx", "A 32141-2021")</f>
        <v/>
      </c>
      <c r="W500">
        <f>HYPERLINK("https://klasma.github.io/Logging_0331/klagomålsmail/A 32141-2021 FSC-klagomål mail.docx", "A 32141-2021")</f>
        <v/>
      </c>
      <c r="X500">
        <f>HYPERLINK("https://klasma.github.io/Logging_0331/tillsyn/A 32141-2021 tillsynsbegäran.docx", "A 32141-2021")</f>
        <v/>
      </c>
      <c r="Y500">
        <f>HYPERLINK("https://klasma.github.io/Logging_0331/tillsynsmail/A 32141-2021 tillsynsbegäran mail.docx", "A 32141-2021")</f>
        <v/>
      </c>
      <c r="Z500">
        <f>HYPERLINK("https://klasma.github.io/Logging_0331/fåglar/A 32141-2021 prioriterade fågelarter.docx", "A 32141-2021")</f>
        <v/>
      </c>
    </row>
    <row r="501" ht="15" customHeight="1">
      <c r="A501" t="inlineStr">
        <is>
          <t>A 70495-2021</t>
        </is>
      </c>
      <c r="B501" s="1" t="n">
        <v>44536</v>
      </c>
      <c r="C501" s="1" t="n">
        <v>46098</v>
      </c>
      <c r="D501" t="inlineStr">
        <is>
          <t>UPPSALA LÄN</t>
        </is>
      </c>
      <c r="E501" t="inlineStr">
        <is>
          <t>ÖSTHAMMAR</t>
        </is>
      </c>
      <c r="G501" t="n">
        <v>1</v>
      </c>
      <c r="H501" t="n">
        <v>1</v>
      </c>
      <c r="I501" t="n">
        <v>0</v>
      </c>
      <c r="J501" t="n">
        <v>1</v>
      </c>
      <c r="K501" t="n">
        <v>0</v>
      </c>
      <c r="L501" t="n">
        <v>0</v>
      </c>
      <c r="M501" t="n">
        <v>0</v>
      </c>
      <c r="N501" t="n">
        <v>0</v>
      </c>
      <c r="O501" t="n">
        <v>1</v>
      </c>
      <c r="P501" t="n">
        <v>0</v>
      </c>
      <c r="Q501" t="n">
        <v>1</v>
      </c>
      <c r="R501" s="2" t="inlineStr">
        <is>
          <t>Slaguggla</t>
        </is>
      </c>
      <c r="S501">
        <f>HYPERLINK("https://klasma.github.io/Logging_0382/artfynd/A 70495-2021 artfynd.xlsx", "A 70495-2021")</f>
        <v/>
      </c>
      <c r="T501">
        <f>HYPERLINK("https://klasma.github.io/Logging_0382/kartor/A 70495-2021 karta.png", "A 70495-2021")</f>
        <v/>
      </c>
      <c r="V501">
        <f>HYPERLINK("https://klasma.github.io/Logging_0382/klagomål/A 70495-2021 FSC-klagomål.docx", "A 70495-2021")</f>
        <v/>
      </c>
      <c r="W501">
        <f>HYPERLINK("https://klasma.github.io/Logging_0382/klagomålsmail/A 70495-2021 FSC-klagomål mail.docx", "A 70495-2021")</f>
        <v/>
      </c>
      <c r="X501">
        <f>HYPERLINK("https://klasma.github.io/Logging_0382/tillsyn/A 70495-2021 tillsynsbegäran.docx", "A 70495-2021")</f>
        <v/>
      </c>
      <c r="Y501">
        <f>HYPERLINK("https://klasma.github.io/Logging_0382/tillsynsmail/A 70495-2021 tillsynsbegäran mail.docx", "A 70495-2021")</f>
        <v/>
      </c>
      <c r="Z501">
        <f>HYPERLINK("https://klasma.github.io/Logging_0382/fåglar/A 70495-2021 prioriterade fågelarter.docx", "A 70495-2021")</f>
        <v/>
      </c>
    </row>
    <row r="502" ht="15" customHeight="1">
      <c r="A502" t="inlineStr">
        <is>
          <t>A 16407-2025</t>
        </is>
      </c>
      <c r="B502" s="1" t="n">
        <v>45751.45120370371</v>
      </c>
      <c r="C502" s="1" t="n">
        <v>46098</v>
      </c>
      <c r="D502" t="inlineStr">
        <is>
          <t>UPPSALA LÄN</t>
        </is>
      </c>
      <c r="E502" t="inlineStr">
        <is>
          <t>KNIVSTA</t>
        </is>
      </c>
      <c r="G502" t="n">
        <v>1.1</v>
      </c>
      <c r="H502" t="n">
        <v>1</v>
      </c>
      <c r="I502" t="n">
        <v>0</v>
      </c>
      <c r="J502" t="n">
        <v>0</v>
      </c>
      <c r="K502" t="n">
        <v>0</v>
      </c>
      <c r="L502" t="n">
        <v>0</v>
      </c>
      <c r="M502" t="n">
        <v>0</v>
      </c>
      <c r="N502" t="n">
        <v>0</v>
      </c>
      <c r="O502" t="n">
        <v>0</v>
      </c>
      <c r="P502" t="n">
        <v>0</v>
      </c>
      <c r="Q502" t="n">
        <v>1</v>
      </c>
      <c r="R502" s="2" t="inlineStr">
        <is>
          <t>Blåsippa</t>
        </is>
      </c>
      <c r="S502">
        <f>HYPERLINK("https://klasma.github.io/Logging_0330/artfynd/A 16407-2025 artfynd.xlsx", "A 16407-2025")</f>
        <v/>
      </c>
      <c r="T502">
        <f>HYPERLINK("https://klasma.github.io/Logging_0330/kartor/A 16407-2025 karta.png", "A 16407-2025")</f>
        <v/>
      </c>
      <c r="V502">
        <f>HYPERLINK("https://klasma.github.io/Logging_0330/klagomål/A 16407-2025 FSC-klagomål.docx", "A 16407-2025")</f>
        <v/>
      </c>
      <c r="W502">
        <f>HYPERLINK("https://klasma.github.io/Logging_0330/klagomålsmail/A 16407-2025 FSC-klagomål mail.docx", "A 16407-2025")</f>
        <v/>
      </c>
      <c r="X502">
        <f>HYPERLINK("https://klasma.github.io/Logging_0330/tillsyn/A 16407-2025 tillsynsbegäran.docx", "A 16407-2025")</f>
        <v/>
      </c>
      <c r="Y502">
        <f>HYPERLINK("https://klasma.github.io/Logging_0330/tillsynsmail/A 16407-2025 tillsynsbegäran mail.docx", "A 16407-2025")</f>
        <v/>
      </c>
    </row>
    <row r="503" ht="15" customHeight="1">
      <c r="A503" t="inlineStr">
        <is>
          <t>A 2298-2024</t>
        </is>
      </c>
      <c r="B503" s="1" t="n">
        <v>45310.44064814815</v>
      </c>
      <c r="C503" s="1" t="n">
        <v>46098</v>
      </c>
      <c r="D503" t="inlineStr">
        <is>
          <t>UPPSALA LÄN</t>
        </is>
      </c>
      <c r="E503" t="inlineStr">
        <is>
          <t>TIERP</t>
        </is>
      </c>
      <c r="G503" t="n">
        <v>0.7</v>
      </c>
      <c r="H503" t="n">
        <v>0</v>
      </c>
      <c r="I503" t="n">
        <v>0</v>
      </c>
      <c r="J503" t="n">
        <v>1</v>
      </c>
      <c r="K503" t="n">
        <v>0</v>
      </c>
      <c r="L503" t="n">
        <v>0</v>
      </c>
      <c r="M503" t="n">
        <v>0</v>
      </c>
      <c r="N503" t="n">
        <v>0</v>
      </c>
      <c r="O503" t="n">
        <v>1</v>
      </c>
      <c r="P503" t="n">
        <v>0</v>
      </c>
      <c r="Q503" t="n">
        <v>1</v>
      </c>
      <c r="R503" s="2" t="inlineStr">
        <is>
          <t>Fyrflikig jordstjärna</t>
        </is>
      </c>
      <c r="S503">
        <f>HYPERLINK("https://klasma.github.io/Logging_0360/artfynd/A 2298-2024 artfynd.xlsx", "A 2298-2024")</f>
        <v/>
      </c>
      <c r="T503">
        <f>HYPERLINK("https://klasma.github.io/Logging_0360/kartor/A 2298-2024 karta.png", "A 2298-2024")</f>
        <v/>
      </c>
      <c r="V503">
        <f>HYPERLINK("https://klasma.github.io/Logging_0360/klagomål/A 2298-2024 FSC-klagomål.docx", "A 2298-2024")</f>
        <v/>
      </c>
      <c r="W503">
        <f>HYPERLINK("https://klasma.github.io/Logging_0360/klagomålsmail/A 2298-2024 FSC-klagomål mail.docx", "A 2298-2024")</f>
        <v/>
      </c>
      <c r="X503">
        <f>HYPERLINK("https://klasma.github.io/Logging_0360/tillsyn/A 2298-2024 tillsynsbegäran.docx", "A 2298-2024")</f>
        <v/>
      </c>
      <c r="Y503">
        <f>HYPERLINK("https://klasma.github.io/Logging_0360/tillsynsmail/A 2298-2024 tillsynsbegäran mail.docx", "A 2298-2024")</f>
        <v/>
      </c>
    </row>
    <row r="504" ht="15" customHeight="1">
      <c r="A504" t="inlineStr">
        <is>
          <t>A 21831-2024</t>
        </is>
      </c>
      <c r="B504" s="1" t="n">
        <v>45442</v>
      </c>
      <c r="C504" s="1" t="n">
        <v>46098</v>
      </c>
      <c r="D504" t="inlineStr">
        <is>
          <t>UPPSALA LÄN</t>
        </is>
      </c>
      <c r="E504" t="inlineStr">
        <is>
          <t>KNIVSTA</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HYPERLINK("https://klasma.github.io/Logging_0330/artfynd/A 21831-2024 artfynd.xlsx", "A 21831-2024")</f>
        <v/>
      </c>
      <c r="T504">
        <f>HYPERLINK("https://klasma.github.io/Logging_0330/kartor/A 21831-2024 karta.png", "A 21831-2024")</f>
        <v/>
      </c>
      <c r="V504">
        <f>HYPERLINK("https://klasma.github.io/Logging_0330/klagomål/A 21831-2024 FSC-klagomål.docx", "A 21831-2024")</f>
        <v/>
      </c>
      <c r="W504">
        <f>HYPERLINK("https://klasma.github.io/Logging_0330/klagomålsmail/A 21831-2024 FSC-klagomål mail.docx", "A 21831-2024")</f>
        <v/>
      </c>
      <c r="X504">
        <f>HYPERLINK("https://klasma.github.io/Logging_0330/tillsyn/A 21831-2024 tillsynsbegäran.docx", "A 21831-2024")</f>
        <v/>
      </c>
      <c r="Y504">
        <f>HYPERLINK("https://klasma.github.io/Logging_0330/tillsynsmail/A 21831-2024 tillsynsbegäran mail.docx", "A 21831-2024")</f>
        <v/>
      </c>
    </row>
    <row r="505" ht="15" customHeight="1">
      <c r="A505" t="inlineStr">
        <is>
          <t>A 63172-2023</t>
        </is>
      </c>
      <c r="B505" s="1" t="n">
        <v>45273</v>
      </c>
      <c r="C505" s="1" t="n">
        <v>46098</v>
      </c>
      <c r="D505" t="inlineStr">
        <is>
          <t>UPPSALA LÄN</t>
        </is>
      </c>
      <c r="E505" t="inlineStr">
        <is>
          <t>UPPSALA</t>
        </is>
      </c>
      <c r="G505" t="n">
        <v>1.8</v>
      </c>
      <c r="H505" t="n">
        <v>0</v>
      </c>
      <c r="I505" t="n">
        <v>1</v>
      </c>
      <c r="J505" t="n">
        <v>0</v>
      </c>
      <c r="K505" t="n">
        <v>0</v>
      </c>
      <c r="L505" t="n">
        <v>0</v>
      </c>
      <c r="M505" t="n">
        <v>0</v>
      </c>
      <c r="N505" t="n">
        <v>0</v>
      </c>
      <c r="O505" t="n">
        <v>0</v>
      </c>
      <c r="P505" t="n">
        <v>0</v>
      </c>
      <c r="Q505" t="n">
        <v>1</v>
      </c>
      <c r="R505" s="2" t="inlineStr">
        <is>
          <t>Ögonpyrola</t>
        </is>
      </c>
      <c r="S505">
        <f>HYPERLINK("https://klasma.github.io/Logging_0380/artfynd/A 63172-2023 artfynd.xlsx", "A 63172-2023")</f>
        <v/>
      </c>
      <c r="T505">
        <f>HYPERLINK("https://klasma.github.io/Logging_0380/kartor/A 63172-2023 karta.png", "A 63172-2023")</f>
        <v/>
      </c>
      <c r="V505">
        <f>HYPERLINK("https://klasma.github.io/Logging_0380/klagomål/A 63172-2023 FSC-klagomål.docx", "A 63172-2023")</f>
        <v/>
      </c>
      <c r="W505">
        <f>HYPERLINK("https://klasma.github.io/Logging_0380/klagomålsmail/A 63172-2023 FSC-klagomål mail.docx", "A 63172-2023")</f>
        <v/>
      </c>
      <c r="X505">
        <f>HYPERLINK("https://klasma.github.io/Logging_0380/tillsyn/A 63172-2023 tillsynsbegäran.docx", "A 63172-2023")</f>
        <v/>
      </c>
      <c r="Y505">
        <f>HYPERLINK("https://klasma.github.io/Logging_0380/tillsynsmail/A 63172-2023 tillsynsbegäran mail.docx", "A 63172-2023")</f>
        <v/>
      </c>
    </row>
    <row r="506" ht="15" customHeight="1">
      <c r="A506" t="inlineStr">
        <is>
          <t>A 33339-2024</t>
        </is>
      </c>
      <c r="B506" s="1" t="n">
        <v>45519</v>
      </c>
      <c r="C506" s="1" t="n">
        <v>46098</v>
      </c>
      <c r="D506" t="inlineStr">
        <is>
          <t>UPPSALA LÄN</t>
        </is>
      </c>
      <c r="E506" t="inlineStr">
        <is>
          <t>ENKÖPING</t>
        </is>
      </c>
      <c r="G506" t="n">
        <v>2.3</v>
      </c>
      <c r="H506" t="n">
        <v>0</v>
      </c>
      <c r="I506" t="n">
        <v>0</v>
      </c>
      <c r="J506" t="n">
        <v>1</v>
      </c>
      <c r="K506" t="n">
        <v>0</v>
      </c>
      <c r="L506" t="n">
        <v>0</v>
      </c>
      <c r="M506" t="n">
        <v>0</v>
      </c>
      <c r="N506" t="n">
        <v>0</v>
      </c>
      <c r="O506" t="n">
        <v>1</v>
      </c>
      <c r="P506" t="n">
        <v>0</v>
      </c>
      <c r="Q506" t="n">
        <v>1</v>
      </c>
      <c r="R506" s="2" t="inlineStr">
        <is>
          <t>Ullticka</t>
        </is>
      </c>
      <c r="S506">
        <f>HYPERLINK("https://klasma.github.io/Logging_0381/artfynd/A 33339-2024 artfynd.xlsx", "A 33339-2024")</f>
        <v/>
      </c>
      <c r="T506">
        <f>HYPERLINK("https://klasma.github.io/Logging_0381/kartor/A 33339-2024 karta.png", "A 33339-2024")</f>
        <v/>
      </c>
      <c r="V506">
        <f>HYPERLINK("https://klasma.github.io/Logging_0381/klagomål/A 33339-2024 FSC-klagomål.docx", "A 33339-2024")</f>
        <v/>
      </c>
      <c r="W506">
        <f>HYPERLINK("https://klasma.github.io/Logging_0381/klagomålsmail/A 33339-2024 FSC-klagomål mail.docx", "A 33339-2024")</f>
        <v/>
      </c>
      <c r="X506">
        <f>HYPERLINK("https://klasma.github.io/Logging_0381/tillsyn/A 33339-2024 tillsynsbegäran.docx", "A 33339-2024")</f>
        <v/>
      </c>
      <c r="Y506">
        <f>HYPERLINK("https://klasma.github.io/Logging_0381/tillsynsmail/A 33339-2024 tillsynsbegäran mail.docx", "A 33339-2024")</f>
        <v/>
      </c>
    </row>
    <row r="507" ht="15" customHeight="1">
      <c r="A507" t="inlineStr">
        <is>
          <t>A 17484-2025</t>
        </is>
      </c>
      <c r="B507" s="1" t="n">
        <v>45757.49934027778</v>
      </c>
      <c r="C507" s="1" t="n">
        <v>46098</v>
      </c>
      <c r="D507" t="inlineStr">
        <is>
          <t>UPPSALA LÄN</t>
        </is>
      </c>
      <c r="E507" t="inlineStr">
        <is>
          <t>UPPSALA</t>
        </is>
      </c>
      <c r="G507" t="n">
        <v>13.1</v>
      </c>
      <c r="H507" t="n">
        <v>1</v>
      </c>
      <c r="I507" t="n">
        <v>0</v>
      </c>
      <c r="J507" t="n">
        <v>0</v>
      </c>
      <c r="K507" t="n">
        <v>0</v>
      </c>
      <c r="L507" t="n">
        <v>0</v>
      </c>
      <c r="M507" t="n">
        <v>0</v>
      </c>
      <c r="N507" t="n">
        <v>0</v>
      </c>
      <c r="O507" t="n">
        <v>0</v>
      </c>
      <c r="P507" t="n">
        <v>0</v>
      </c>
      <c r="Q507" t="n">
        <v>1</v>
      </c>
      <c r="R507" s="2" t="inlineStr">
        <is>
          <t>Fläcknycklar</t>
        </is>
      </c>
      <c r="S507">
        <f>HYPERLINK("https://klasma.github.io/Logging_0380/artfynd/A 17484-2025 artfynd.xlsx", "A 17484-2025")</f>
        <v/>
      </c>
      <c r="T507">
        <f>HYPERLINK("https://klasma.github.io/Logging_0380/kartor/A 17484-2025 karta.png", "A 17484-2025")</f>
        <v/>
      </c>
      <c r="V507">
        <f>HYPERLINK("https://klasma.github.io/Logging_0380/klagomål/A 17484-2025 FSC-klagomål.docx", "A 17484-2025")</f>
        <v/>
      </c>
      <c r="W507">
        <f>HYPERLINK("https://klasma.github.io/Logging_0380/klagomålsmail/A 17484-2025 FSC-klagomål mail.docx", "A 17484-2025")</f>
        <v/>
      </c>
      <c r="X507">
        <f>HYPERLINK("https://klasma.github.io/Logging_0380/tillsyn/A 17484-2025 tillsynsbegäran.docx", "A 17484-2025")</f>
        <v/>
      </c>
      <c r="Y507">
        <f>HYPERLINK("https://klasma.github.io/Logging_0380/tillsynsmail/A 17484-2025 tillsynsbegäran mail.docx", "A 17484-2025")</f>
        <v/>
      </c>
    </row>
    <row r="508" ht="15" customHeight="1">
      <c r="A508" t="inlineStr">
        <is>
          <t>A 33150-2021</t>
        </is>
      </c>
      <c r="B508" s="1" t="n">
        <v>44376</v>
      </c>
      <c r="C508" s="1" t="n">
        <v>46098</v>
      </c>
      <c r="D508" t="inlineStr">
        <is>
          <t>UPPSALA LÄN</t>
        </is>
      </c>
      <c r="E508" t="inlineStr">
        <is>
          <t>HEBY</t>
        </is>
      </c>
      <c r="G508" t="n">
        <v>8.6</v>
      </c>
      <c r="H508" t="n">
        <v>0</v>
      </c>
      <c r="I508" t="n">
        <v>1</v>
      </c>
      <c r="J508" t="n">
        <v>0</v>
      </c>
      <c r="K508" t="n">
        <v>0</v>
      </c>
      <c r="L508" t="n">
        <v>0</v>
      </c>
      <c r="M508" t="n">
        <v>0</v>
      </c>
      <c r="N508" t="n">
        <v>0</v>
      </c>
      <c r="O508" t="n">
        <v>0</v>
      </c>
      <c r="P508" t="n">
        <v>0</v>
      </c>
      <c r="Q508" t="n">
        <v>1</v>
      </c>
      <c r="R508" s="2" t="inlineStr">
        <is>
          <t>Rostfläck</t>
        </is>
      </c>
      <c r="S508">
        <f>HYPERLINK("https://klasma.github.io/Logging_0331/artfynd/A 33150-2021 artfynd.xlsx", "A 33150-2021")</f>
        <v/>
      </c>
      <c r="T508">
        <f>HYPERLINK("https://klasma.github.io/Logging_0331/kartor/A 33150-2021 karta.png", "A 33150-2021")</f>
        <v/>
      </c>
      <c r="V508">
        <f>HYPERLINK("https://klasma.github.io/Logging_0331/klagomål/A 33150-2021 FSC-klagomål.docx", "A 33150-2021")</f>
        <v/>
      </c>
      <c r="W508">
        <f>HYPERLINK("https://klasma.github.io/Logging_0331/klagomålsmail/A 33150-2021 FSC-klagomål mail.docx", "A 33150-2021")</f>
        <v/>
      </c>
      <c r="X508">
        <f>HYPERLINK("https://klasma.github.io/Logging_0331/tillsyn/A 33150-2021 tillsynsbegäran.docx", "A 33150-2021")</f>
        <v/>
      </c>
      <c r="Y508">
        <f>HYPERLINK("https://klasma.github.io/Logging_0331/tillsynsmail/A 33150-2021 tillsynsbegäran mail.docx", "A 33150-2021")</f>
        <v/>
      </c>
    </row>
    <row r="509" ht="15" customHeight="1">
      <c r="A509" t="inlineStr">
        <is>
          <t>A 2332-2024</t>
        </is>
      </c>
      <c r="B509" s="1" t="n">
        <v>45310</v>
      </c>
      <c r="C509" s="1" t="n">
        <v>46098</v>
      </c>
      <c r="D509" t="inlineStr">
        <is>
          <t>UPPSALA LÄN</t>
        </is>
      </c>
      <c r="E509" t="inlineStr">
        <is>
          <t>TIERP</t>
        </is>
      </c>
      <c r="G509" t="n">
        <v>3.7</v>
      </c>
      <c r="H509" t="n">
        <v>1</v>
      </c>
      <c r="I509" t="n">
        <v>0</v>
      </c>
      <c r="J509" t="n">
        <v>1</v>
      </c>
      <c r="K509" t="n">
        <v>0</v>
      </c>
      <c r="L509" t="n">
        <v>0</v>
      </c>
      <c r="M509" t="n">
        <v>0</v>
      </c>
      <c r="N509" t="n">
        <v>0</v>
      </c>
      <c r="O509" t="n">
        <v>1</v>
      </c>
      <c r="P509" t="n">
        <v>0</v>
      </c>
      <c r="Q509" t="n">
        <v>1</v>
      </c>
      <c r="R509" s="2" t="inlineStr">
        <is>
          <t>Talltita</t>
        </is>
      </c>
      <c r="S509">
        <f>HYPERLINK("https://klasma.github.io/Logging_0360/artfynd/A 2332-2024 artfynd.xlsx", "A 2332-2024")</f>
        <v/>
      </c>
      <c r="T509">
        <f>HYPERLINK("https://klasma.github.io/Logging_0360/kartor/A 2332-2024 karta.png", "A 2332-2024")</f>
        <v/>
      </c>
      <c r="V509">
        <f>HYPERLINK("https://klasma.github.io/Logging_0360/klagomål/A 2332-2024 FSC-klagomål.docx", "A 2332-2024")</f>
        <v/>
      </c>
      <c r="W509">
        <f>HYPERLINK("https://klasma.github.io/Logging_0360/klagomålsmail/A 2332-2024 FSC-klagomål mail.docx", "A 2332-2024")</f>
        <v/>
      </c>
      <c r="X509">
        <f>HYPERLINK("https://klasma.github.io/Logging_0360/tillsyn/A 2332-2024 tillsynsbegäran.docx", "A 2332-2024")</f>
        <v/>
      </c>
      <c r="Y509">
        <f>HYPERLINK("https://klasma.github.io/Logging_0360/tillsynsmail/A 2332-2024 tillsynsbegäran mail.docx", "A 2332-2024")</f>
        <v/>
      </c>
      <c r="Z509">
        <f>HYPERLINK("https://klasma.github.io/Logging_0360/fåglar/A 2332-2024 prioriterade fågelarter.docx", "A 2332-2024")</f>
        <v/>
      </c>
    </row>
    <row r="510" ht="15" customHeight="1">
      <c r="A510" t="inlineStr">
        <is>
          <t>A 9521-2025</t>
        </is>
      </c>
      <c r="B510" s="1" t="n">
        <v>45715.56259259259</v>
      </c>
      <c r="C510" s="1" t="n">
        <v>46098</v>
      </c>
      <c r="D510" t="inlineStr">
        <is>
          <t>UPPSALA LÄN</t>
        </is>
      </c>
      <c r="E510" t="inlineStr">
        <is>
          <t>ÄLVKARLEBY</t>
        </is>
      </c>
      <c r="G510" t="n">
        <v>6.3</v>
      </c>
      <c r="H510" t="n">
        <v>0</v>
      </c>
      <c r="I510" t="n">
        <v>1</v>
      </c>
      <c r="J510" t="n">
        <v>0</v>
      </c>
      <c r="K510" t="n">
        <v>0</v>
      </c>
      <c r="L510" t="n">
        <v>0</v>
      </c>
      <c r="M510" t="n">
        <v>0</v>
      </c>
      <c r="N510" t="n">
        <v>0</v>
      </c>
      <c r="O510" t="n">
        <v>0</v>
      </c>
      <c r="P510" t="n">
        <v>0</v>
      </c>
      <c r="Q510" t="n">
        <v>1</v>
      </c>
      <c r="R510" s="2" t="inlineStr">
        <is>
          <t>Rödgul trumpetsvamp</t>
        </is>
      </c>
      <c r="S510">
        <f>HYPERLINK("https://klasma.github.io/Logging_0319/artfynd/A 9521-2025 artfynd.xlsx", "A 9521-2025")</f>
        <v/>
      </c>
      <c r="T510">
        <f>HYPERLINK("https://klasma.github.io/Logging_0319/kartor/A 9521-2025 karta.png", "A 9521-2025")</f>
        <v/>
      </c>
      <c r="V510">
        <f>HYPERLINK("https://klasma.github.io/Logging_0319/klagomål/A 9521-2025 FSC-klagomål.docx", "A 9521-2025")</f>
        <v/>
      </c>
      <c r="W510">
        <f>HYPERLINK("https://klasma.github.io/Logging_0319/klagomålsmail/A 9521-2025 FSC-klagomål mail.docx", "A 9521-2025")</f>
        <v/>
      </c>
      <c r="X510">
        <f>HYPERLINK("https://klasma.github.io/Logging_0319/tillsyn/A 9521-2025 tillsynsbegäran.docx", "A 9521-2025")</f>
        <v/>
      </c>
      <c r="Y510">
        <f>HYPERLINK("https://klasma.github.io/Logging_0319/tillsynsmail/A 9521-2025 tillsynsbegäran mail.docx", "A 9521-2025")</f>
        <v/>
      </c>
    </row>
    <row r="511" ht="15" customHeight="1">
      <c r="A511" t="inlineStr">
        <is>
          <t>A 29679-2023</t>
        </is>
      </c>
      <c r="B511" s="1" t="n">
        <v>45107</v>
      </c>
      <c r="C511" s="1" t="n">
        <v>46098</v>
      </c>
      <c r="D511" t="inlineStr">
        <is>
          <t>UPPSALA LÄN</t>
        </is>
      </c>
      <c r="E511" t="inlineStr">
        <is>
          <t>ÖSTHAMMAR</t>
        </is>
      </c>
      <c r="F511" t="inlineStr">
        <is>
          <t>Övriga Aktiebolag</t>
        </is>
      </c>
      <c r="G511" t="n">
        <v>7.3</v>
      </c>
      <c r="H511" t="n">
        <v>0</v>
      </c>
      <c r="I511" t="n">
        <v>0</v>
      </c>
      <c r="J511" t="n">
        <v>1</v>
      </c>
      <c r="K511" t="n">
        <v>0</v>
      </c>
      <c r="L511" t="n">
        <v>0</v>
      </c>
      <c r="M511" t="n">
        <v>0</v>
      </c>
      <c r="N511" t="n">
        <v>0</v>
      </c>
      <c r="O511" t="n">
        <v>1</v>
      </c>
      <c r="P511" t="n">
        <v>0</v>
      </c>
      <c r="Q511" t="n">
        <v>1</v>
      </c>
      <c r="R511" s="2" t="inlineStr">
        <is>
          <t>Vintertagging</t>
        </is>
      </c>
      <c r="S511">
        <f>HYPERLINK("https://klasma.github.io/Logging_0382/artfynd/A 29679-2023 artfynd.xlsx", "A 29679-2023")</f>
        <v/>
      </c>
      <c r="T511">
        <f>HYPERLINK("https://klasma.github.io/Logging_0382/kartor/A 29679-2023 karta.png", "A 29679-2023")</f>
        <v/>
      </c>
      <c r="V511">
        <f>HYPERLINK("https://klasma.github.io/Logging_0382/klagomål/A 29679-2023 FSC-klagomål.docx", "A 29679-2023")</f>
        <v/>
      </c>
      <c r="W511">
        <f>HYPERLINK("https://klasma.github.io/Logging_0382/klagomålsmail/A 29679-2023 FSC-klagomål mail.docx", "A 29679-2023")</f>
        <v/>
      </c>
      <c r="X511">
        <f>HYPERLINK("https://klasma.github.io/Logging_0382/tillsyn/A 29679-2023 tillsynsbegäran.docx", "A 29679-2023")</f>
        <v/>
      </c>
      <c r="Y511">
        <f>HYPERLINK("https://klasma.github.io/Logging_0382/tillsynsmail/A 29679-2023 tillsynsbegäran mail.docx", "A 29679-2023")</f>
        <v/>
      </c>
    </row>
    <row r="512" ht="15" customHeight="1">
      <c r="A512" t="inlineStr">
        <is>
          <t>A 61830-2022</t>
        </is>
      </c>
      <c r="B512" s="1" t="n">
        <v>44917.59298611111</v>
      </c>
      <c r="C512" s="1" t="n">
        <v>46098</v>
      </c>
      <c r="D512" t="inlineStr">
        <is>
          <t>UPPSALA LÄN</t>
        </is>
      </c>
      <c r="E512" t="inlineStr">
        <is>
          <t>UPPSALA</t>
        </is>
      </c>
      <c r="F512" t="inlineStr">
        <is>
          <t>Holmen skog AB</t>
        </is>
      </c>
      <c r="G512" t="n">
        <v>1.1</v>
      </c>
      <c r="H512" t="n">
        <v>0</v>
      </c>
      <c r="I512" t="n">
        <v>0</v>
      </c>
      <c r="J512" t="n">
        <v>1</v>
      </c>
      <c r="K512" t="n">
        <v>0</v>
      </c>
      <c r="L512" t="n">
        <v>0</v>
      </c>
      <c r="M512" t="n">
        <v>0</v>
      </c>
      <c r="N512" t="n">
        <v>0</v>
      </c>
      <c r="O512" t="n">
        <v>1</v>
      </c>
      <c r="P512" t="n">
        <v>0</v>
      </c>
      <c r="Q512" t="n">
        <v>1</v>
      </c>
      <c r="R512" s="2" t="inlineStr">
        <is>
          <t>Rödbrun blekspik</t>
        </is>
      </c>
      <c r="S512">
        <f>HYPERLINK("https://klasma.github.io/Logging_0380/artfynd/A 61830-2022 artfynd.xlsx", "A 61830-2022")</f>
        <v/>
      </c>
      <c r="T512">
        <f>HYPERLINK("https://klasma.github.io/Logging_0380/kartor/A 61830-2022 karta.png", "A 61830-2022")</f>
        <v/>
      </c>
      <c r="V512">
        <f>HYPERLINK("https://klasma.github.io/Logging_0380/klagomål/A 61830-2022 FSC-klagomål.docx", "A 61830-2022")</f>
        <v/>
      </c>
      <c r="W512">
        <f>HYPERLINK("https://klasma.github.io/Logging_0380/klagomålsmail/A 61830-2022 FSC-klagomål mail.docx", "A 61830-2022")</f>
        <v/>
      </c>
      <c r="X512">
        <f>HYPERLINK("https://klasma.github.io/Logging_0380/tillsyn/A 61830-2022 tillsynsbegäran.docx", "A 61830-2022")</f>
        <v/>
      </c>
      <c r="Y512">
        <f>HYPERLINK("https://klasma.github.io/Logging_0380/tillsynsmail/A 61830-2022 tillsynsbegäran mail.docx", "A 61830-2022")</f>
        <v/>
      </c>
    </row>
    <row r="513" ht="15" customHeight="1">
      <c r="A513" t="inlineStr">
        <is>
          <t>A 29841-2022</t>
        </is>
      </c>
      <c r="B513" s="1" t="n">
        <v>44756</v>
      </c>
      <c r="C513" s="1" t="n">
        <v>46098</v>
      </c>
      <c r="D513" t="inlineStr">
        <is>
          <t>UPPSALA LÄN</t>
        </is>
      </c>
      <c r="E513" t="inlineStr">
        <is>
          <t>HEBY</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55191-2022</t>
        </is>
      </c>
      <c r="B514" s="1" t="n">
        <v>44886</v>
      </c>
      <c r="C514" s="1" t="n">
        <v>46098</v>
      </c>
      <c r="D514" t="inlineStr">
        <is>
          <t>UPPSALA LÄN</t>
        </is>
      </c>
      <c r="E514" t="inlineStr">
        <is>
          <t>HEBY</t>
        </is>
      </c>
      <c r="G514" t="n">
        <v>0.3</v>
      </c>
      <c r="H514" t="n">
        <v>0</v>
      </c>
      <c r="I514" t="n">
        <v>0</v>
      </c>
      <c r="J514" t="n">
        <v>0</v>
      </c>
      <c r="K514" t="n">
        <v>0</v>
      </c>
      <c r="L514" t="n">
        <v>0</v>
      </c>
      <c r="M514" t="n">
        <v>0</v>
      </c>
      <c r="N514" t="n">
        <v>0</v>
      </c>
      <c r="O514" t="n">
        <v>0</v>
      </c>
      <c r="P514" t="n">
        <v>0</v>
      </c>
      <c r="Q514" t="n">
        <v>0</v>
      </c>
      <c r="R514" s="2" t="inlineStr"/>
    </row>
    <row r="515" ht="15" customHeight="1">
      <c r="A515" t="inlineStr">
        <is>
          <t>A 16683-2021</t>
        </is>
      </c>
      <c r="B515" s="1" t="n">
        <v>44294.58495370371</v>
      </c>
      <c r="C515" s="1" t="n">
        <v>46098</v>
      </c>
      <c r="D515" t="inlineStr">
        <is>
          <t>UPPSALA LÄN</t>
        </is>
      </c>
      <c r="E515" t="inlineStr">
        <is>
          <t>ENKÖPING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43680-2022</t>
        </is>
      </c>
      <c r="B516" s="1" t="n">
        <v>44837</v>
      </c>
      <c r="C516" s="1" t="n">
        <v>46098</v>
      </c>
      <c r="D516" t="inlineStr">
        <is>
          <t>UPPSALA LÄN</t>
        </is>
      </c>
      <c r="E516" t="inlineStr">
        <is>
          <t>TIERP</t>
        </is>
      </c>
      <c r="G516" t="n">
        <v>4.2</v>
      </c>
      <c r="H516" t="n">
        <v>0</v>
      </c>
      <c r="I516" t="n">
        <v>0</v>
      </c>
      <c r="J516" t="n">
        <v>0</v>
      </c>
      <c r="K516" t="n">
        <v>0</v>
      </c>
      <c r="L516" t="n">
        <v>0</v>
      </c>
      <c r="M516" t="n">
        <v>0</v>
      </c>
      <c r="N516" t="n">
        <v>0</v>
      </c>
      <c r="O516" t="n">
        <v>0</v>
      </c>
      <c r="P516" t="n">
        <v>0</v>
      </c>
      <c r="Q516" t="n">
        <v>0</v>
      </c>
      <c r="R516" s="2" t="inlineStr"/>
    </row>
    <row r="517" ht="15" customHeight="1">
      <c r="A517" t="inlineStr">
        <is>
          <t>A 14306-2021</t>
        </is>
      </c>
      <c r="B517" s="1" t="n">
        <v>44278</v>
      </c>
      <c r="C517" s="1" t="n">
        <v>46098</v>
      </c>
      <c r="D517" t="inlineStr">
        <is>
          <t>UPPSALA LÄN</t>
        </is>
      </c>
      <c r="E517" t="inlineStr">
        <is>
          <t>HEBY</t>
        </is>
      </c>
      <c r="G517" t="n">
        <v>1.1</v>
      </c>
      <c r="H517" t="n">
        <v>0</v>
      </c>
      <c r="I517" t="n">
        <v>0</v>
      </c>
      <c r="J517" t="n">
        <v>0</v>
      </c>
      <c r="K517" t="n">
        <v>0</v>
      </c>
      <c r="L517" t="n">
        <v>0</v>
      </c>
      <c r="M517" t="n">
        <v>0</v>
      </c>
      <c r="N517" t="n">
        <v>0</v>
      </c>
      <c r="O517" t="n">
        <v>0</v>
      </c>
      <c r="P517" t="n">
        <v>0</v>
      </c>
      <c r="Q517" t="n">
        <v>0</v>
      </c>
      <c r="R517" s="2" t="inlineStr"/>
    </row>
    <row r="518" ht="15" customHeight="1">
      <c r="A518" t="inlineStr">
        <is>
          <t>A 23637-2021</t>
        </is>
      </c>
      <c r="B518" s="1" t="n">
        <v>44334</v>
      </c>
      <c r="C518" s="1" t="n">
        <v>46098</v>
      </c>
      <c r="D518" t="inlineStr">
        <is>
          <t>UPPSALA LÄN</t>
        </is>
      </c>
      <c r="E518" t="inlineStr">
        <is>
          <t>HEBY</t>
        </is>
      </c>
      <c r="G518" t="n">
        <v>2.2</v>
      </c>
      <c r="H518" t="n">
        <v>0</v>
      </c>
      <c r="I518" t="n">
        <v>0</v>
      </c>
      <c r="J518" t="n">
        <v>0</v>
      </c>
      <c r="K518" t="n">
        <v>0</v>
      </c>
      <c r="L518" t="n">
        <v>0</v>
      </c>
      <c r="M518" t="n">
        <v>0</v>
      </c>
      <c r="N518" t="n">
        <v>0</v>
      </c>
      <c r="O518" t="n">
        <v>0</v>
      </c>
      <c r="P518" t="n">
        <v>0</v>
      </c>
      <c r="Q518" t="n">
        <v>0</v>
      </c>
      <c r="R518" s="2" t="inlineStr"/>
    </row>
    <row r="519" ht="15" customHeight="1">
      <c r="A519" t="inlineStr">
        <is>
          <t>A 19796-2021</t>
        </is>
      </c>
      <c r="B519" s="1" t="n">
        <v>44313</v>
      </c>
      <c r="C519" s="1" t="n">
        <v>46098</v>
      </c>
      <c r="D519" t="inlineStr">
        <is>
          <t>UPPSALA LÄN</t>
        </is>
      </c>
      <c r="E519" t="inlineStr">
        <is>
          <t>KNIVSTA</t>
        </is>
      </c>
      <c r="G519" t="n">
        <v>14.6</v>
      </c>
      <c r="H519" t="n">
        <v>0</v>
      </c>
      <c r="I519" t="n">
        <v>0</v>
      </c>
      <c r="J519" t="n">
        <v>0</v>
      </c>
      <c r="K519" t="n">
        <v>0</v>
      </c>
      <c r="L519" t="n">
        <v>0</v>
      </c>
      <c r="M519" t="n">
        <v>0</v>
      </c>
      <c r="N519" t="n">
        <v>0</v>
      </c>
      <c r="O519" t="n">
        <v>0</v>
      </c>
      <c r="P519" t="n">
        <v>0</v>
      </c>
      <c r="Q519" t="n">
        <v>0</v>
      </c>
      <c r="R519" s="2" t="inlineStr"/>
    </row>
    <row r="520" ht="15" customHeight="1">
      <c r="A520" t="inlineStr">
        <is>
          <t>A 18996-2021</t>
        </is>
      </c>
      <c r="B520" s="1" t="n">
        <v>44308</v>
      </c>
      <c r="C520" s="1" t="n">
        <v>46098</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19268-2021</t>
        </is>
      </c>
      <c r="B521" s="1" t="n">
        <v>44309</v>
      </c>
      <c r="C521" s="1" t="n">
        <v>46098</v>
      </c>
      <c r="D521" t="inlineStr">
        <is>
          <t>UPPSALA LÄN</t>
        </is>
      </c>
      <c r="E521" t="inlineStr">
        <is>
          <t>HEBY</t>
        </is>
      </c>
      <c r="G521" t="n">
        <v>0.6</v>
      </c>
      <c r="H521" t="n">
        <v>0</v>
      </c>
      <c r="I521" t="n">
        <v>0</v>
      </c>
      <c r="J521" t="n">
        <v>0</v>
      </c>
      <c r="K521" t="n">
        <v>0</v>
      </c>
      <c r="L521" t="n">
        <v>0</v>
      </c>
      <c r="M521" t="n">
        <v>0</v>
      </c>
      <c r="N521" t="n">
        <v>0</v>
      </c>
      <c r="O521" t="n">
        <v>0</v>
      </c>
      <c r="P521" t="n">
        <v>0</v>
      </c>
      <c r="Q521" t="n">
        <v>0</v>
      </c>
      <c r="R521" s="2" t="inlineStr"/>
    </row>
    <row r="522" ht="15" customHeight="1">
      <c r="A522" t="inlineStr">
        <is>
          <t>A 3260-2022</t>
        </is>
      </c>
      <c r="B522" s="1" t="n">
        <v>44583.61803240741</v>
      </c>
      <c r="C522" s="1" t="n">
        <v>46098</v>
      </c>
      <c r="D522" t="inlineStr">
        <is>
          <t>UPPSALA LÄN</t>
        </is>
      </c>
      <c r="E522" t="inlineStr">
        <is>
          <t>UPPSALA</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55582-2021</t>
        </is>
      </c>
      <c r="B523" s="1" t="n">
        <v>44475</v>
      </c>
      <c r="C523" s="1" t="n">
        <v>46098</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56176-2021</t>
        </is>
      </c>
      <c r="B524" s="1" t="n">
        <v>44477</v>
      </c>
      <c r="C524" s="1" t="n">
        <v>46098</v>
      </c>
      <c r="D524" t="inlineStr">
        <is>
          <t>UPPSALA LÄN</t>
        </is>
      </c>
      <c r="E524" t="inlineStr">
        <is>
          <t>ENKÖPING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37980-2021</t>
        </is>
      </c>
      <c r="B525" s="1" t="n">
        <v>44404</v>
      </c>
      <c r="C525" s="1" t="n">
        <v>46098</v>
      </c>
      <c r="D525" t="inlineStr">
        <is>
          <t>UPPSALA LÄN</t>
        </is>
      </c>
      <c r="E525" t="inlineStr">
        <is>
          <t>HEBY</t>
        </is>
      </c>
      <c r="G525" t="n">
        <v>3.1</v>
      </c>
      <c r="H525" t="n">
        <v>0</v>
      </c>
      <c r="I525" t="n">
        <v>0</v>
      </c>
      <c r="J525" t="n">
        <v>0</v>
      </c>
      <c r="K525" t="n">
        <v>0</v>
      </c>
      <c r="L525" t="n">
        <v>0</v>
      </c>
      <c r="M525" t="n">
        <v>0</v>
      </c>
      <c r="N525" t="n">
        <v>0</v>
      </c>
      <c r="O525" t="n">
        <v>0</v>
      </c>
      <c r="P525" t="n">
        <v>0</v>
      </c>
      <c r="Q525" t="n">
        <v>0</v>
      </c>
      <c r="R525" s="2" t="inlineStr"/>
    </row>
    <row r="526" ht="15" customHeight="1">
      <c r="A526" t="inlineStr">
        <is>
          <t>A 73983-2021</t>
        </is>
      </c>
      <c r="B526" s="1" t="n">
        <v>44555.80506944445</v>
      </c>
      <c r="C526" s="1" t="n">
        <v>46098</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61553-2021</t>
        </is>
      </c>
      <c r="B527" s="1" t="n">
        <v>44501</v>
      </c>
      <c r="C527" s="1" t="n">
        <v>46098</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6853-2022</t>
        </is>
      </c>
      <c r="B528" s="1" t="n">
        <v>44602</v>
      </c>
      <c r="C528" s="1" t="n">
        <v>46098</v>
      </c>
      <c r="D528" t="inlineStr">
        <is>
          <t>UPPSALA LÄN</t>
        </is>
      </c>
      <c r="E528" t="inlineStr">
        <is>
          <t>UPPSALA</t>
        </is>
      </c>
      <c r="G528" t="n">
        <v>12</v>
      </c>
      <c r="H528" t="n">
        <v>0</v>
      </c>
      <c r="I528" t="n">
        <v>0</v>
      </c>
      <c r="J528" t="n">
        <v>0</v>
      </c>
      <c r="K528" t="n">
        <v>0</v>
      </c>
      <c r="L528" t="n">
        <v>0</v>
      </c>
      <c r="M528" t="n">
        <v>0</v>
      </c>
      <c r="N528" t="n">
        <v>0</v>
      </c>
      <c r="O528" t="n">
        <v>0</v>
      </c>
      <c r="P528" t="n">
        <v>0</v>
      </c>
      <c r="Q528" t="n">
        <v>0</v>
      </c>
      <c r="R528" s="2" t="inlineStr"/>
    </row>
    <row r="529" ht="15" customHeight="1">
      <c r="A529" t="inlineStr">
        <is>
          <t>A 6863-2022</t>
        </is>
      </c>
      <c r="B529" s="1" t="n">
        <v>44602</v>
      </c>
      <c r="C529" s="1" t="n">
        <v>46098</v>
      </c>
      <c r="D529" t="inlineStr">
        <is>
          <t>UPPSALA LÄN</t>
        </is>
      </c>
      <c r="E529" t="inlineStr">
        <is>
          <t>UPPSALA</t>
        </is>
      </c>
      <c r="G529" t="n">
        <v>1.5</v>
      </c>
      <c r="H529" t="n">
        <v>0</v>
      </c>
      <c r="I529" t="n">
        <v>0</v>
      </c>
      <c r="J529" t="n">
        <v>0</v>
      </c>
      <c r="K529" t="n">
        <v>0</v>
      </c>
      <c r="L529" t="n">
        <v>0</v>
      </c>
      <c r="M529" t="n">
        <v>0</v>
      </c>
      <c r="N529" t="n">
        <v>0</v>
      </c>
      <c r="O529" t="n">
        <v>0</v>
      </c>
      <c r="P529" t="n">
        <v>0</v>
      </c>
      <c r="Q529" t="n">
        <v>0</v>
      </c>
      <c r="R529" s="2" t="inlineStr"/>
    </row>
    <row r="530" ht="15" customHeight="1">
      <c r="A530" t="inlineStr">
        <is>
          <t>A 70408-2021</t>
        </is>
      </c>
      <c r="B530" s="1" t="n">
        <v>44536</v>
      </c>
      <c r="C530" s="1" t="n">
        <v>46098</v>
      </c>
      <c r="D530" t="inlineStr">
        <is>
          <t>UPPSALA LÄN</t>
        </is>
      </c>
      <c r="E530" t="inlineStr">
        <is>
          <t>ÖSTHAMMAR</t>
        </is>
      </c>
      <c r="G530" t="n">
        <v>1</v>
      </c>
      <c r="H530" t="n">
        <v>0</v>
      </c>
      <c r="I530" t="n">
        <v>0</v>
      </c>
      <c r="J530" t="n">
        <v>0</v>
      </c>
      <c r="K530" t="n">
        <v>0</v>
      </c>
      <c r="L530" t="n">
        <v>0</v>
      </c>
      <c r="M530" t="n">
        <v>0</v>
      </c>
      <c r="N530" t="n">
        <v>0</v>
      </c>
      <c r="O530" t="n">
        <v>0</v>
      </c>
      <c r="P530" t="n">
        <v>0</v>
      </c>
      <c r="Q530" t="n">
        <v>0</v>
      </c>
      <c r="R530" s="2" t="inlineStr"/>
    </row>
    <row r="531" ht="15" customHeight="1">
      <c r="A531" t="inlineStr">
        <is>
          <t>A 65811-2021</t>
        </is>
      </c>
      <c r="B531" s="1" t="n">
        <v>44517</v>
      </c>
      <c r="C531" s="1" t="n">
        <v>46098</v>
      </c>
      <c r="D531" t="inlineStr">
        <is>
          <t>UPPSALA LÄN</t>
        </is>
      </c>
      <c r="E531" t="inlineStr">
        <is>
          <t>UPPSALA</t>
        </is>
      </c>
      <c r="G531" t="n">
        <v>0.3</v>
      </c>
      <c r="H531" t="n">
        <v>0</v>
      </c>
      <c r="I531" t="n">
        <v>0</v>
      </c>
      <c r="J531" t="n">
        <v>0</v>
      </c>
      <c r="K531" t="n">
        <v>0</v>
      </c>
      <c r="L531" t="n">
        <v>0</v>
      </c>
      <c r="M531" t="n">
        <v>0</v>
      </c>
      <c r="N531" t="n">
        <v>0</v>
      </c>
      <c r="O531" t="n">
        <v>0</v>
      </c>
      <c r="P531" t="n">
        <v>0</v>
      </c>
      <c r="Q531" t="n">
        <v>0</v>
      </c>
      <c r="R531" s="2" t="inlineStr"/>
    </row>
    <row r="532" ht="15" customHeight="1">
      <c r="A532" t="inlineStr">
        <is>
          <t>A 38050-2021</t>
        </is>
      </c>
      <c r="B532" s="1" t="n">
        <v>44404</v>
      </c>
      <c r="C532" s="1" t="n">
        <v>46098</v>
      </c>
      <c r="D532" t="inlineStr">
        <is>
          <t>UPPSALA LÄN</t>
        </is>
      </c>
      <c r="E532" t="inlineStr">
        <is>
          <t>HEBY</t>
        </is>
      </c>
      <c r="G532" t="n">
        <v>0.9</v>
      </c>
      <c r="H532" t="n">
        <v>0</v>
      </c>
      <c r="I532" t="n">
        <v>0</v>
      </c>
      <c r="J532" t="n">
        <v>0</v>
      </c>
      <c r="K532" t="n">
        <v>0</v>
      </c>
      <c r="L532" t="n">
        <v>0</v>
      </c>
      <c r="M532" t="n">
        <v>0</v>
      </c>
      <c r="N532" t="n">
        <v>0</v>
      </c>
      <c r="O532" t="n">
        <v>0</v>
      </c>
      <c r="P532" t="n">
        <v>0</v>
      </c>
      <c r="Q532" t="n">
        <v>0</v>
      </c>
      <c r="R532" s="2" t="inlineStr"/>
    </row>
    <row r="533" ht="15" customHeight="1">
      <c r="A533" t="inlineStr">
        <is>
          <t>A 38051-2021</t>
        </is>
      </c>
      <c r="B533" s="1" t="n">
        <v>44404</v>
      </c>
      <c r="C533" s="1" t="n">
        <v>46098</v>
      </c>
      <c r="D533" t="inlineStr">
        <is>
          <t>UPPSALA LÄN</t>
        </is>
      </c>
      <c r="E533" t="inlineStr">
        <is>
          <t>HEBY</t>
        </is>
      </c>
      <c r="G533" t="n">
        <v>7.6</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44732.48165509259</v>
      </c>
      <c r="C534" s="1" t="n">
        <v>46098</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8775-2022</t>
        </is>
      </c>
      <c r="B535" s="1" t="n">
        <v>44614</v>
      </c>
      <c r="C535" s="1" t="n">
        <v>46098</v>
      </c>
      <c r="D535" t="inlineStr">
        <is>
          <t>UPPSALA LÄN</t>
        </is>
      </c>
      <c r="E535" t="inlineStr">
        <is>
          <t>ÖSTHAMMAR</t>
        </is>
      </c>
      <c r="G535" t="n">
        <v>0.3</v>
      </c>
      <c r="H535" t="n">
        <v>0</v>
      </c>
      <c r="I535" t="n">
        <v>0</v>
      </c>
      <c r="J535" t="n">
        <v>0</v>
      </c>
      <c r="K535" t="n">
        <v>0</v>
      </c>
      <c r="L535" t="n">
        <v>0</v>
      </c>
      <c r="M535" t="n">
        <v>0</v>
      </c>
      <c r="N535" t="n">
        <v>0</v>
      </c>
      <c r="O535" t="n">
        <v>0</v>
      </c>
      <c r="P535" t="n">
        <v>0</v>
      </c>
      <c r="Q535" t="n">
        <v>0</v>
      </c>
      <c r="R535" s="2" t="inlineStr"/>
    </row>
    <row r="536" ht="15" customHeight="1">
      <c r="A536" t="inlineStr">
        <is>
          <t>A 24431-2021</t>
        </is>
      </c>
      <c r="B536" s="1" t="n">
        <v>44337</v>
      </c>
      <c r="C536" s="1" t="n">
        <v>46098</v>
      </c>
      <c r="D536" t="inlineStr">
        <is>
          <t>UPPSALA LÄN</t>
        </is>
      </c>
      <c r="E536" t="inlineStr">
        <is>
          <t>TIERP</t>
        </is>
      </c>
      <c r="G536" t="n">
        <v>5.2</v>
      </c>
      <c r="H536" t="n">
        <v>0</v>
      </c>
      <c r="I536" t="n">
        <v>0</v>
      </c>
      <c r="J536" t="n">
        <v>0</v>
      </c>
      <c r="K536" t="n">
        <v>0</v>
      </c>
      <c r="L536" t="n">
        <v>0</v>
      </c>
      <c r="M536" t="n">
        <v>0</v>
      </c>
      <c r="N536" t="n">
        <v>0</v>
      </c>
      <c r="O536" t="n">
        <v>0</v>
      </c>
      <c r="P536" t="n">
        <v>0</v>
      </c>
      <c r="Q536" t="n">
        <v>0</v>
      </c>
      <c r="R536" s="2" t="inlineStr"/>
    </row>
    <row r="537" ht="15" customHeight="1">
      <c r="A537" t="inlineStr">
        <is>
          <t>A 9824-2022</t>
        </is>
      </c>
      <c r="B537" s="1" t="n">
        <v>44620</v>
      </c>
      <c r="C537" s="1" t="n">
        <v>46098</v>
      </c>
      <c r="D537" t="inlineStr">
        <is>
          <t>UPPSALA LÄN</t>
        </is>
      </c>
      <c r="E537" t="inlineStr">
        <is>
          <t>HEBY</t>
        </is>
      </c>
      <c r="G537" t="n">
        <v>2.4</v>
      </c>
      <c r="H537" t="n">
        <v>0</v>
      </c>
      <c r="I537" t="n">
        <v>0</v>
      </c>
      <c r="J537" t="n">
        <v>0</v>
      </c>
      <c r="K537" t="n">
        <v>0</v>
      </c>
      <c r="L537" t="n">
        <v>0</v>
      </c>
      <c r="M537" t="n">
        <v>0</v>
      </c>
      <c r="N537" t="n">
        <v>0</v>
      </c>
      <c r="O537" t="n">
        <v>0</v>
      </c>
      <c r="P537" t="n">
        <v>0</v>
      </c>
      <c r="Q537" t="n">
        <v>0</v>
      </c>
      <c r="R537" s="2" t="inlineStr"/>
    </row>
    <row r="538" ht="15" customHeight="1">
      <c r="A538" t="inlineStr">
        <is>
          <t>A 612-2022</t>
        </is>
      </c>
      <c r="B538" s="1" t="n">
        <v>44567.81241898148</v>
      </c>
      <c r="C538" s="1" t="n">
        <v>46098</v>
      </c>
      <c r="D538" t="inlineStr">
        <is>
          <t>UPPSALA LÄN</t>
        </is>
      </c>
      <c r="E538" t="inlineStr">
        <is>
          <t>UPPSALA</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38469-2021</t>
        </is>
      </c>
      <c r="B539" s="1" t="n">
        <v>44407</v>
      </c>
      <c r="C539" s="1" t="n">
        <v>46098</v>
      </c>
      <c r="D539" t="inlineStr">
        <is>
          <t>UPPSALA LÄN</t>
        </is>
      </c>
      <c r="E539" t="inlineStr">
        <is>
          <t>UPPSALA</t>
        </is>
      </c>
      <c r="F539" t="inlineStr">
        <is>
          <t>Bergvik skog öst AB</t>
        </is>
      </c>
      <c r="G539" t="n">
        <v>1.5</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46098</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48880-2021</t>
        </is>
      </c>
      <c r="B541" s="1" t="n">
        <v>44452</v>
      </c>
      <c r="C541" s="1" t="n">
        <v>46098</v>
      </c>
      <c r="D541" t="inlineStr">
        <is>
          <t>UPPSALA LÄN</t>
        </is>
      </c>
      <c r="E541" t="inlineStr">
        <is>
          <t>TIERP</t>
        </is>
      </c>
      <c r="G541" t="n">
        <v>2</v>
      </c>
      <c r="H541" t="n">
        <v>0</v>
      </c>
      <c r="I541" t="n">
        <v>0</v>
      </c>
      <c r="J541" t="n">
        <v>0</v>
      </c>
      <c r="K541" t="n">
        <v>0</v>
      </c>
      <c r="L541" t="n">
        <v>0</v>
      </c>
      <c r="M541" t="n">
        <v>0</v>
      </c>
      <c r="N541" t="n">
        <v>0</v>
      </c>
      <c r="O541" t="n">
        <v>0</v>
      </c>
      <c r="P541" t="n">
        <v>0</v>
      </c>
      <c r="Q541" t="n">
        <v>0</v>
      </c>
      <c r="R541" s="2" t="inlineStr"/>
    </row>
    <row r="542" ht="15" customHeight="1">
      <c r="A542" t="inlineStr">
        <is>
          <t>A 56138-2021</t>
        </is>
      </c>
      <c r="B542" s="1" t="n">
        <v>44477</v>
      </c>
      <c r="C542" s="1" t="n">
        <v>46098</v>
      </c>
      <c r="D542" t="inlineStr">
        <is>
          <t>UPPSALA LÄN</t>
        </is>
      </c>
      <c r="E542" t="inlineStr">
        <is>
          <t>HEBY</t>
        </is>
      </c>
      <c r="G542" t="n">
        <v>9.1</v>
      </c>
      <c r="H542" t="n">
        <v>0</v>
      </c>
      <c r="I542" t="n">
        <v>0</v>
      </c>
      <c r="J542" t="n">
        <v>0</v>
      </c>
      <c r="K542" t="n">
        <v>0</v>
      </c>
      <c r="L542" t="n">
        <v>0</v>
      </c>
      <c r="M542" t="n">
        <v>0</v>
      </c>
      <c r="N542" t="n">
        <v>0</v>
      </c>
      <c r="O542" t="n">
        <v>0</v>
      </c>
      <c r="P542" t="n">
        <v>0</v>
      </c>
      <c r="Q542" t="n">
        <v>0</v>
      </c>
      <c r="R542" s="2" t="inlineStr"/>
    </row>
    <row r="543" ht="15" customHeight="1">
      <c r="A543" t="inlineStr">
        <is>
          <t>A 52025-2021</t>
        </is>
      </c>
      <c r="B543" s="1" t="n">
        <v>44463</v>
      </c>
      <c r="C543" s="1" t="n">
        <v>46098</v>
      </c>
      <c r="D543" t="inlineStr">
        <is>
          <t>UPPSALA LÄN</t>
        </is>
      </c>
      <c r="E543" t="inlineStr">
        <is>
          <t>TIERP</t>
        </is>
      </c>
      <c r="F543" t="inlineStr">
        <is>
          <t>Bergvik skog öst AB</t>
        </is>
      </c>
      <c r="G543" t="n">
        <v>4.8</v>
      </c>
      <c r="H543" t="n">
        <v>0</v>
      </c>
      <c r="I543" t="n">
        <v>0</v>
      </c>
      <c r="J543" t="n">
        <v>0</v>
      </c>
      <c r="K543" t="n">
        <v>0</v>
      </c>
      <c r="L543" t="n">
        <v>0</v>
      </c>
      <c r="M543" t="n">
        <v>0</v>
      </c>
      <c r="N543" t="n">
        <v>0</v>
      </c>
      <c r="O543" t="n">
        <v>0</v>
      </c>
      <c r="P543" t="n">
        <v>0</v>
      </c>
      <c r="Q543" t="n">
        <v>0</v>
      </c>
      <c r="R543" s="2" t="inlineStr"/>
    </row>
    <row r="544" ht="15" customHeight="1">
      <c r="A544" t="inlineStr">
        <is>
          <t>A 10287-2022</t>
        </is>
      </c>
      <c r="B544" s="1" t="n">
        <v>44622</v>
      </c>
      <c r="C544" s="1" t="n">
        <v>46098</v>
      </c>
      <c r="D544" t="inlineStr">
        <is>
          <t>UPPSALA LÄN</t>
        </is>
      </c>
      <c r="E544" t="inlineStr">
        <is>
          <t>ÖSTHAMMAR</t>
        </is>
      </c>
      <c r="F544" t="inlineStr">
        <is>
          <t>Bergvik skog öst AB</t>
        </is>
      </c>
      <c r="G544" t="n">
        <v>0.2</v>
      </c>
      <c r="H544" t="n">
        <v>0</v>
      </c>
      <c r="I544" t="n">
        <v>0</v>
      </c>
      <c r="J544" t="n">
        <v>0</v>
      </c>
      <c r="K544" t="n">
        <v>0</v>
      </c>
      <c r="L544" t="n">
        <v>0</v>
      </c>
      <c r="M544" t="n">
        <v>0</v>
      </c>
      <c r="N544" t="n">
        <v>0</v>
      </c>
      <c r="O544" t="n">
        <v>0</v>
      </c>
      <c r="P544" t="n">
        <v>0</v>
      </c>
      <c r="Q544" t="n">
        <v>0</v>
      </c>
      <c r="R544" s="2" t="inlineStr"/>
    </row>
    <row r="545" ht="15" customHeight="1">
      <c r="A545" t="inlineStr">
        <is>
          <t>A 49352-2021</t>
        </is>
      </c>
      <c r="B545" s="1" t="n">
        <v>44454.586875</v>
      </c>
      <c r="C545" s="1" t="n">
        <v>46098</v>
      </c>
      <c r="D545" t="inlineStr">
        <is>
          <t>UPPSALA LÄN</t>
        </is>
      </c>
      <c r="E545" t="inlineStr">
        <is>
          <t>HEBY</t>
        </is>
      </c>
      <c r="G545" t="n">
        <v>0.8</v>
      </c>
      <c r="H545" t="n">
        <v>0</v>
      </c>
      <c r="I545" t="n">
        <v>0</v>
      </c>
      <c r="J545" t="n">
        <v>0</v>
      </c>
      <c r="K545" t="n">
        <v>0</v>
      </c>
      <c r="L545" t="n">
        <v>0</v>
      </c>
      <c r="M545" t="n">
        <v>0</v>
      </c>
      <c r="N545" t="n">
        <v>0</v>
      </c>
      <c r="O545" t="n">
        <v>0</v>
      </c>
      <c r="P545" t="n">
        <v>0</v>
      </c>
      <c r="Q545" t="n">
        <v>0</v>
      </c>
      <c r="R545" s="2" t="inlineStr"/>
    </row>
    <row r="546" ht="15" customHeight="1">
      <c r="A546" t="inlineStr">
        <is>
          <t>A 61555-2021</t>
        </is>
      </c>
      <c r="B546" s="1" t="n">
        <v>44501.4250462963</v>
      </c>
      <c r="C546" s="1" t="n">
        <v>46098</v>
      </c>
      <c r="D546" t="inlineStr">
        <is>
          <t>UPPSALA LÄN</t>
        </is>
      </c>
      <c r="E546" t="inlineStr">
        <is>
          <t>ÖSTHAMMAR</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61076-2021</t>
        </is>
      </c>
      <c r="B547" s="1" t="n">
        <v>44497.84542824074</v>
      </c>
      <c r="C547" s="1" t="n">
        <v>46098</v>
      </c>
      <c r="D547" t="inlineStr">
        <is>
          <t>UPPSALA LÄN</t>
        </is>
      </c>
      <c r="E547" t="inlineStr">
        <is>
          <t>ENKÖPING</t>
        </is>
      </c>
      <c r="G547" t="n">
        <v>0.2</v>
      </c>
      <c r="H547" t="n">
        <v>0</v>
      </c>
      <c r="I547" t="n">
        <v>0</v>
      </c>
      <c r="J547" t="n">
        <v>0</v>
      </c>
      <c r="K547" t="n">
        <v>0</v>
      </c>
      <c r="L547" t="n">
        <v>0</v>
      </c>
      <c r="M547" t="n">
        <v>0</v>
      </c>
      <c r="N547" t="n">
        <v>0</v>
      </c>
      <c r="O547" t="n">
        <v>0</v>
      </c>
      <c r="P547" t="n">
        <v>0</v>
      </c>
      <c r="Q547" t="n">
        <v>0</v>
      </c>
      <c r="R547" s="2" t="inlineStr"/>
    </row>
    <row r="548" ht="15" customHeight="1">
      <c r="A548" t="inlineStr">
        <is>
          <t>A 15298-2021</t>
        </is>
      </c>
      <c r="B548" s="1" t="n">
        <v>44284</v>
      </c>
      <c r="C548" s="1" t="n">
        <v>46098</v>
      </c>
      <c r="D548" t="inlineStr">
        <is>
          <t>UPPSALA LÄN</t>
        </is>
      </c>
      <c r="E548" t="inlineStr">
        <is>
          <t>ENKÖPING</t>
        </is>
      </c>
      <c r="G548" t="n">
        <v>6</v>
      </c>
      <c r="H548" t="n">
        <v>0</v>
      </c>
      <c r="I548" t="n">
        <v>0</v>
      </c>
      <c r="J548" t="n">
        <v>0</v>
      </c>
      <c r="K548" t="n">
        <v>0</v>
      </c>
      <c r="L548" t="n">
        <v>0</v>
      </c>
      <c r="M548" t="n">
        <v>0</v>
      </c>
      <c r="N548" t="n">
        <v>0</v>
      </c>
      <c r="O548" t="n">
        <v>0</v>
      </c>
      <c r="P548" t="n">
        <v>0</v>
      </c>
      <c r="Q548" t="n">
        <v>0</v>
      </c>
      <c r="R548" s="2" t="inlineStr"/>
    </row>
    <row r="549" ht="15" customHeight="1">
      <c r="A549" t="inlineStr">
        <is>
          <t>A 18897-2021</t>
        </is>
      </c>
      <c r="B549" s="1" t="n">
        <v>44308.34364583333</v>
      </c>
      <c r="C549" s="1" t="n">
        <v>46098</v>
      </c>
      <c r="D549" t="inlineStr">
        <is>
          <t>UPPSALA LÄN</t>
        </is>
      </c>
      <c r="E549" t="inlineStr">
        <is>
          <t>KNIVSTA</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68139-2021</t>
        </is>
      </c>
      <c r="B550" s="1" t="n">
        <v>44526</v>
      </c>
      <c r="C550" s="1" t="n">
        <v>46098</v>
      </c>
      <c r="D550" t="inlineStr">
        <is>
          <t>UPPSALA LÄN</t>
        </is>
      </c>
      <c r="E550" t="inlineStr">
        <is>
          <t>UPPSALA</t>
        </is>
      </c>
      <c r="F550" t="inlineStr">
        <is>
          <t>Bergvik skog öst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5204-2022</t>
        </is>
      </c>
      <c r="B551" s="1" t="n">
        <v>44594.46940972222</v>
      </c>
      <c r="C551" s="1" t="n">
        <v>46098</v>
      </c>
      <c r="D551" t="inlineStr">
        <is>
          <t>UPPSALA LÄN</t>
        </is>
      </c>
      <c r="E551" t="inlineStr">
        <is>
          <t>TIERP</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20827-2021</t>
        </is>
      </c>
      <c r="B552" s="1" t="n">
        <v>44318</v>
      </c>
      <c r="C552" s="1" t="n">
        <v>46098</v>
      </c>
      <c r="D552" t="inlineStr">
        <is>
          <t>UPPSALA LÄN</t>
        </is>
      </c>
      <c r="E552" t="inlineStr">
        <is>
          <t>KNIVSTA</t>
        </is>
      </c>
      <c r="G552" t="n">
        <v>3</v>
      </c>
      <c r="H552" t="n">
        <v>0</v>
      </c>
      <c r="I552" t="n">
        <v>0</v>
      </c>
      <c r="J552" t="n">
        <v>0</v>
      </c>
      <c r="K552" t="n">
        <v>0</v>
      </c>
      <c r="L552" t="n">
        <v>0</v>
      </c>
      <c r="M552" t="n">
        <v>0</v>
      </c>
      <c r="N552" t="n">
        <v>0</v>
      </c>
      <c r="O552" t="n">
        <v>0</v>
      </c>
      <c r="P552" t="n">
        <v>0</v>
      </c>
      <c r="Q552" t="n">
        <v>0</v>
      </c>
      <c r="R552" s="2" t="inlineStr"/>
    </row>
    <row r="553" ht="15" customHeight="1">
      <c r="A553" t="inlineStr">
        <is>
          <t>A 22058-2021</t>
        </is>
      </c>
      <c r="B553" s="1" t="n">
        <v>44323</v>
      </c>
      <c r="C553" s="1" t="n">
        <v>46098</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37570-2021</t>
        </is>
      </c>
      <c r="B554" s="1" t="n">
        <v>44399</v>
      </c>
      <c r="C554" s="1" t="n">
        <v>46098</v>
      </c>
      <c r="D554" t="inlineStr">
        <is>
          <t>UPPSALA LÄN</t>
        </is>
      </c>
      <c r="E554" t="inlineStr">
        <is>
          <t>ENKÖPING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37571-2021</t>
        </is>
      </c>
      <c r="B555" s="1" t="n">
        <v>44399.58929398148</v>
      </c>
      <c r="C555" s="1" t="n">
        <v>46098</v>
      </c>
      <c r="D555" t="inlineStr">
        <is>
          <t>UPPSALA LÄN</t>
        </is>
      </c>
      <c r="E555" t="inlineStr">
        <is>
          <t>ENKÖPING</t>
        </is>
      </c>
      <c r="G555" t="n">
        <v>4.6</v>
      </c>
      <c r="H555" t="n">
        <v>0</v>
      </c>
      <c r="I555" t="n">
        <v>0</v>
      </c>
      <c r="J555" t="n">
        <v>0</v>
      </c>
      <c r="K555" t="n">
        <v>0</v>
      </c>
      <c r="L555" t="n">
        <v>0</v>
      </c>
      <c r="M555" t="n">
        <v>0</v>
      </c>
      <c r="N555" t="n">
        <v>0</v>
      </c>
      <c r="O555" t="n">
        <v>0</v>
      </c>
      <c r="P555" t="n">
        <v>0</v>
      </c>
      <c r="Q555" t="n">
        <v>0</v>
      </c>
      <c r="R555" s="2" t="inlineStr"/>
    </row>
    <row r="556" ht="15" customHeight="1">
      <c r="A556" t="inlineStr">
        <is>
          <t>A 66298-2021</t>
        </is>
      </c>
      <c r="B556" s="1" t="n">
        <v>44518</v>
      </c>
      <c r="C556" s="1" t="n">
        <v>46098</v>
      </c>
      <c r="D556" t="inlineStr">
        <is>
          <t>UPPSALA LÄN</t>
        </is>
      </c>
      <c r="E556" t="inlineStr">
        <is>
          <t>KNIVSTA</t>
        </is>
      </c>
      <c r="G556" t="n">
        <v>0.9</v>
      </c>
      <c r="H556" t="n">
        <v>0</v>
      </c>
      <c r="I556" t="n">
        <v>0</v>
      </c>
      <c r="J556" t="n">
        <v>0</v>
      </c>
      <c r="K556" t="n">
        <v>0</v>
      </c>
      <c r="L556" t="n">
        <v>0</v>
      </c>
      <c r="M556" t="n">
        <v>0</v>
      </c>
      <c r="N556" t="n">
        <v>0</v>
      </c>
      <c r="O556" t="n">
        <v>0</v>
      </c>
      <c r="P556" t="n">
        <v>0</v>
      </c>
      <c r="Q556" t="n">
        <v>0</v>
      </c>
      <c r="R556" s="2" t="inlineStr"/>
    </row>
    <row r="557" ht="15" customHeight="1">
      <c r="A557" t="inlineStr">
        <is>
          <t>A 74473-2021</t>
        </is>
      </c>
      <c r="B557" s="1" t="n">
        <v>44560</v>
      </c>
      <c r="C557" s="1" t="n">
        <v>46098</v>
      </c>
      <c r="D557" t="inlineStr">
        <is>
          <t>UPPSALA LÄN</t>
        </is>
      </c>
      <c r="E557" t="inlineStr">
        <is>
          <t>TIERP</t>
        </is>
      </c>
      <c r="G557" t="n">
        <v>0.5</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46098</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54890-2021</t>
        </is>
      </c>
      <c r="B559" s="1" t="n">
        <v>44473</v>
      </c>
      <c r="C559" s="1" t="n">
        <v>46098</v>
      </c>
      <c r="D559" t="inlineStr">
        <is>
          <t>UPPSALA LÄN</t>
        </is>
      </c>
      <c r="E559" t="inlineStr">
        <is>
          <t>HÅBO</t>
        </is>
      </c>
      <c r="G559" t="n">
        <v>1.6</v>
      </c>
      <c r="H559" t="n">
        <v>0</v>
      </c>
      <c r="I559" t="n">
        <v>0</v>
      </c>
      <c r="J559" t="n">
        <v>0</v>
      </c>
      <c r="K559" t="n">
        <v>0</v>
      </c>
      <c r="L559" t="n">
        <v>0</v>
      </c>
      <c r="M559" t="n">
        <v>0</v>
      </c>
      <c r="N559" t="n">
        <v>0</v>
      </c>
      <c r="O559" t="n">
        <v>0</v>
      </c>
      <c r="P559" t="n">
        <v>0</v>
      </c>
      <c r="Q559" t="n">
        <v>0</v>
      </c>
      <c r="R559" s="2" t="inlineStr"/>
    </row>
    <row r="560" ht="15" customHeight="1">
      <c r="A560" t="inlineStr">
        <is>
          <t>A 18727-2022</t>
        </is>
      </c>
      <c r="B560" s="1" t="n">
        <v>44687.68890046296</v>
      </c>
      <c r="C560" s="1" t="n">
        <v>46098</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18732-2022</t>
        </is>
      </c>
      <c r="B561" s="1" t="n">
        <v>44687</v>
      </c>
      <c r="C561" s="1" t="n">
        <v>46098</v>
      </c>
      <c r="D561" t="inlineStr">
        <is>
          <t>UPPSALA LÄN</t>
        </is>
      </c>
      <c r="E561" t="inlineStr">
        <is>
          <t>ÖSTHAMMAR</t>
        </is>
      </c>
      <c r="G561" t="n">
        <v>10.5</v>
      </c>
      <c r="H561" t="n">
        <v>0</v>
      </c>
      <c r="I561" t="n">
        <v>0</v>
      </c>
      <c r="J561" t="n">
        <v>0</v>
      </c>
      <c r="K561" t="n">
        <v>0</v>
      </c>
      <c r="L561" t="n">
        <v>0</v>
      </c>
      <c r="M561" t="n">
        <v>0</v>
      </c>
      <c r="N561" t="n">
        <v>0</v>
      </c>
      <c r="O561" t="n">
        <v>0</v>
      </c>
      <c r="P561" t="n">
        <v>0</v>
      </c>
      <c r="Q561" t="n">
        <v>0</v>
      </c>
      <c r="R561" s="2" t="inlineStr"/>
    </row>
    <row r="562" ht="15" customHeight="1">
      <c r="A562" t="inlineStr">
        <is>
          <t>A 10288-2022</t>
        </is>
      </c>
      <c r="B562" s="1" t="n">
        <v>44622</v>
      </c>
      <c r="C562" s="1" t="n">
        <v>46098</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46094-2022</t>
        </is>
      </c>
      <c r="B563" s="1" t="n">
        <v>44847</v>
      </c>
      <c r="C563" s="1" t="n">
        <v>46098</v>
      </c>
      <c r="D563" t="inlineStr">
        <is>
          <t>UPPSALA LÄN</t>
        </is>
      </c>
      <c r="E563" t="inlineStr">
        <is>
          <t>HEBY</t>
        </is>
      </c>
      <c r="G563" t="n">
        <v>3.3</v>
      </c>
      <c r="H563" t="n">
        <v>0</v>
      </c>
      <c r="I563" t="n">
        <v>0</v>
      </c>
      <c r="J563" t="n">
        <v>0</v>
      </c>
      <c r="K563" t="n">
        <v>0</v>
      </c>
      <c r="L563" t="n">
        <v>0</v>
      </c>
      <c r="M563" t="n">
        <v>0</v>
      </c>
      <c r="N563" t="n">
        <v>0</v>
      </c>
      <c r="O563" t="n">
        <v>0</v>
      </c>
      <c r="P563" t="n">
        <v>0</v>
      </c>
      <c r="Q563" t="n">
        <v>0</v>
      </c>
      <c r="R563" s="2" t="inlineStr"/>
    </row>
    <row r="564" ht="15" customHeight="1">
      <c r="A564" t="inlineStr">
        <is>
          <t>A 15847-2022</t>
        </is>
      </c>
      <c r="B564" s="1" t="n">
        <v>44664</v>
      </c>
      <c r="C564" s="1" t="n">
        <v>46098</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22592-2022</t>
        </is>
      </c>
      <c r="B565" s="1" t="n">
        <v>44713</v>
      </c>
      <c r="C565" s="1" t="n">
        <v>46098</v>
      </c>
      <c r="D565" t="inlineStr">
        <is>
          <t>UPPSALA LÄN</t>
        </is>
      </c>
      <c r="E565" t="inlineStr">
        <is>
          <t>TIERP</t>
        </is>
      </c>
      <c r="F565" t="inlineStr">
        <is>
          <t>Bergvik skog väst AB</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65491-2021</t>
        </is>
      </c>
      <c r="B566" s="1" t="n">
        <v>44516.36832175926</v>
      </c>
      <c r="C566" s="1" t="n">
        <v>46098</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46098</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46098</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8139-2022</t>
        </is>
      </c>
      <c r="B569" s="1" t="n">
        <v>44609.61430555556</v>
      </c>
      <c r="C569" s="1" t="n">
        <v>46098</v>
      </c>
      <c r="D569" t="inlineStr">
        <is>
          <t>UPPSALA LÄN</t>
        </is>
      </c>
      <c r="E569" t="inlineStr">
        <is>
          <t>UPPSALA</t>
        </is>
      </c>
      <c r="G569" t="n">
        <v>0.6</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46098</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42987-2021</t>
        </is>
      </c>
      <c r="B571" s="1" t="n">
        <v>44431</v>
      </c>
      <c r="C571" s="1" t="n">
        <v>46098</v>
      </c>
      <c r="D571" t="inlineStr">
        <is>
          <t>UPPSALA LÄN</t>
        </is>
      </c>
      <c r="E571" t="inlineStr">
        <is>
          <t>HEBY</t>
        </is>
      </c>
      <c r="G571" t="n">
        <v>1.3</v>
      </c>
      <c r="H571" t="n">
        <v>0</v>
      </c>
      <c r="I571" t="n">
        <v>0</v>
      </c>
      <c r="J571" t="n">
        <v>0</v>
      </c>
      <c r="K571" t="n">
        <v>0</v>
      </c>
      <c r="L571" t="n">
        <v>0</v>
      </c>
      <c r="M571" t="n">
        <v>0</v>
      </c>
      <c r="N571" t="n">
        <v>0</v>
      </c>
      <c r="O571" t="n">
        <v>0</v>
      </c>
      <c r="P571" t="n">
        <v>0</v>
      </c>
      <c r="Q571" t="n">
        <v>0</v>
      </c>
      <c r="R571" s="2" t="inlineStr"/>
    </row>
    <row r="572" ht="15" customHeight="1">
      <c r="A572" t="inlineStr">
        <is>
          <t>A 24399-2021</t>
        </is>
      </c>
      <c r="B572" s="1" t="n">
        <v>44337</v>
      </c>
      <c r="C572" s="1" t="n">
        <v>46098</v>
      </c>
      <c r="D572" t="inlineStr">
        <is>
          <t>UPPSALA LÄN</t>
        </is>
      </c>
      <c r="E572" t="inlineStr">
        <is>
          <t>ENKÖPING</t>
        </is>
      </c>
      <c r="G572" t="n">
        <v>4</v>
      </c>
      <c r="H572" t="n">
        <v>0</v>
      </c>
      <c r="I572" t="n">
        <v>0</v>
      </c>
      <c r="J572" t="n">
        <v>0</v>
      </c>
      <c r="K572" t="n">
        <v>0</v>
      </c>
      <c r="L572" t="n">
        <v>0</v>
      </c>
      <c r="M572" t="n">
        <v>0</v>
      </c>
      <c r="N572" t="n">
        <v>0</v>
      </c>
      <c r="O572" t="n">
        <v>0</v>
      </c>
      <c r="P572" t="n">
        <v>0</v>
      </c>
      <c r="Q572" t="n">
        <v>0</v>
      </c>
      <c r="R572" s="2" t="inlineStr"/>
    </row>
    <row r="573" ht="15" customHeight="1">
      <c r="A573" t="inlineStr">
        <is>
          <t>A 32748-2021</t>
        </is>
      </c>
      <c r="B573" s="1" t="n">
        <v>44375.53055555555</v>
      </c>
      <c r="C573" s="1" t="n">
        <v>46098</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54433-2021</t>
        </is>
      </c>
      <c r="B574" s="1" t="n">
        <v>44473</v>
      </c>
      <c r="C574" s="1" t="n">
        <v>46098</v>
      </c>
      <c r="D574" t="inlineStr">
        <is>
          <t>UPPSALA LÄN</t>
        </is>
      </c>
      <c r="E574" t="inlineStr">
        <is>
          <t>ENKÖPING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22810-2022</t>
        </is>
      </c>
      <c r="B575" s="1" t="n">
        <v>44715.41534722222</v>
      </c>
      <c r="C575" s="1" t="n">
        <v>46098</v>
      </c>
      <c r="D575" t="inlineStr">
        <is>
          <t>UPPSALA LÄN</t>
        </is>
      </c>
      <c r="E575" t="inlineStr">
        <is>
          <t>TIERP</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58897-2021</t>
        </is>
      </c>
      <c r="B576" s="1" t="n">
        <v>44489</v>
      </c>
      <c r="C576" s="1" t="n">
        <v>46098</v>
      </c>
      <c r="D576" t="inlineStr">
        <is>
          <t>UPPSALA LÄN</t>
        </is>
      </c>
      <c r="E576" t="inlineStr">
        <is>
          <t>UPPSALA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65255-2021</t>
        </is>
      </c>
      <c r="B577" s="1" t="n">
        <v>44515</v>
      </c>
      <c r="C577" s="1" t="n">
        <v>46098</v>
      </c>
      <c r="D577" t="inlineStr">
        <is>
          <t>UPPSALA LÄN</t>
        </is>
      </c>
      <c r="E577" t="inlineStr">
        <is>
          <t>TIERP</t>
        </is>
      </c>
      <c r="G577" t="n">
        <v>6.3</v>
      </c>
      <c r="H577" t="n">
        <v>0</v>
      </c>
      <c r="I577" t="n">
        <v>0</v>
      </c>
      <c r="J577" t="n">
        <v>0</v>
      </c>
      <c r="K577" t="n">
        <v>0</v>
      </c>
      <c r="L577" t="n">
        <v>0</v>
      </c>
      <c r="M577" t="n">
        <v>0</v>
      </c>
      <c r="N577" t="n">
        <v>0</v>
      </c>
      <c r="O577" t="n">
        <v>0</v>
      </c>
      <c r="P577" t="n">
        <v>0</v>
      </c>
      <c r="Q577" t="n">
        <v>0</v>
      </c>
      <c r="R577" s="2" t="inlineStr"/>
    </row>
    <row r="578" ht="15" customHeight="1">
      <c r="A578" t="inlineStr">
        <is>
          <t>A 10202-2022</t>
        </is>
      </c>
      <c r="B578" s="1" t="n">
        <v>44622</v>
      </c>
      <c r="C578" s="1" t="n">
        <v>46098</v>
      </c>
      <c r="D578" t="inlineStr">
        <is>
          <t>UPPSALA LÄN</t>
        </is>
      </c>
      <c r="E578" t="inlineStr">
        <is>
          <t>ENKÖPING</t>
        </is>
      </c>
      <c r="G578" t="n">
        <v>5.6</v>
      </c>
      <c r="H578" t="n">
        <v>0</v>
      </c>
      <c r="I578" t="n">
        <v>0</v>
      </c>
      <c r="J578" t="n">
        <v>0</v>
      </c>
      <c r="K578" t="n">
        <v>0</v>
      </c>
      <c r="L578" t="n">
        <v>0</v>
      </c>
      <c r="M578" t="n">
        <v>0</v>
      </c>
      <c r="N578" t="n">
        <v>0</v>
      </c>
      <c r="O578" t="n">
        <v>0</v>
      </c>
      <c r="P578" t="n">
        <v>0</v>
      </c>
      <c r="Q578" t="n">
        <v>0</v>
      </c>
      <c r="R578" s="2" t="inlineStr"/>
    </row>
    <row r="579" ht="15" customHeight="1">
      <c r="A579" t="inlineStr">
        <is>
          <t>A 57066-2021</t>
        </is>
      </c>
      <c r="B579" s="1" t="n">
        <v>44482.5663425926</v>
      </c>
      <c r="C579" s="1" t="n">
        <v>46098</v>
      </c>
      <c r="D579" t="inlineStr">
        <is>
          <t>UPPSALA LÄN</t>
        </is>
      </c>
      <c r="E579" t="inlineStr">
        <is>
          <t>ENKÖPING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10207-2022</t>
        </is>
      </c>
      <c r="B580" s="1" t="n">
        <v>44622</v>
      </c>
      <c r="C580" s="1" t="n">
        <v>46098</v>
      </c>
      <c r="D580" t="inlineStr">
        <is>
          <t>UPPSALA LÄN</t>
        </is>
      </c>
      <c r="E580" t="inlineStr">
        <is>
          <t>ENKÖPING</t>
        </is>
      </c>
      <c r="G580" t="n">
        <v>4.9</v>
      </c>
      <c r="H580" t="n">
        <v>0</v>
      </c>
      <c r="I580" t="n">
        <v>0</v>
      </c>
      <c r="J580" t="n">
        <v>0</v>
      </c>
      <c r="K580" t="n">
        <v>0</v>
      </c>
      <c r="L580" t="n">
        <v>0</v>
      </c>
      <c r="M580" t="n">
        <v>0</v>
      </c>
      <c r="N580" t="n">
        <v>0</v>
      </c>
      <c r="O580" t="n">
        <v>0</v>
      </c>
      <c r="P580" t="n">
        <v>0</v>
      </c>
      <c r="Q580" t="n">
        <v>0</v>
      </c>
      <c r="R580" s="2" t="inlineStr"/>
    </row>
    <row r="581" ht="15" customHeight="1">
      <c r="A581" t="inlineStr">
        <is>
          <t>A 13238-2022</t>
        </is>
      </c>
      <c r="B581" s="1" t="n">
        <v>44644</v>
      </c>
      <c r="C581" s="1" t="n">
        <v>46098</v>
      </c>
      <c r="D581" t="inlineStr">
        <is>
          <t>UPPSALA LÄN</t>
        </is>
      </c>
      <c r="E581" t="inlineStr">
        <is>
          <t>ÖSTHAMMAR</t>
        </is>
      </c>
      <c r="G581" t="n">
        <v>6.5</v>
      </c>
      <c r="H581" t="n">
        <v>0</v>
      </c>
      <c r="I581" t="n">
        <v>0</v>
      </c>
      <c r="J581" t="n">
        <v>0</v>
      </c>
      <c r="K581" t="n">
        <v>0</v>
      </c>
      <c r="L581" t="n">
        <v>0</v>
      </c>
      <c r="M581" t="n">
        <v>0</v>
      </c>
      <c r="N581" t="n">
        <v>0</v>
      </c>
      <c r="O581" t="n">
        <v>0</v>
      </c>
      <c r="P581" t="n">
        <v>0</v>
      </c>
      <c r="Q581" t="n">
        <v>0</v>
      </c>
      <c r="R581" s="2" t="inlineStr"/>
    </row>
    <row r="582" ht="15" customHeight="1">
      <c r="A582" t="inlineStr">
        <is>
          <t>A 17704-2022</t>
        </is>
      </c>
      <c r="B582" s="1" t="n">
        <v>44680.61315972222</v>
      </c>
      <c r="C582" s="1" t="n">
        <v>46098</v>
      </c>
      <c r="D582" t="inlineStr">
        <is>
          <t>UPPSALA LÄN</t>
        </is>
      </c>
      <c r="E582" t="inlineStr">
        <is>
          <t>ENKÖPING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26239-2022</t>
        </is>
      </c>
      <c r="B583" s="1" t="n">
        <v>44735.46880787037</v>
      </c>
      <c r="C583" s="1" t="n">
        <v>46098</v>
      </c>
      <c r="D583" t="inlineStr">
        <is>
          <t>UPPSALA LÄN</t>
        </is>
      </c>
      <c r="E583" t="inlineStr">
        <is>
          <t>KNIVSTA</t>
        </is>
      </c>
      <c r="G583" t="n">
        <v>4.4</v>
      </c>
      <c r="H583" t="n">
        <v>0</v>
      </c>
      <c r="I583" t="n">
        <v>0</v>
      </c>
      <c r="J583" t="n">
        <v>0</v>
      </c>
      <c r="K583" t="n">
        <v>0</v>
      </c>
      <c r="L583" t="n">
        <v>0</v>
      </c>
      <c r="M583" t="n">
        <v>0</v>
      </c>
      <c r="N583" t="n">
        <v>0</v>
      </c>
      <c r="O583" t="n">
        <v>0</v>
      </c>
      <c r="P583" t="n">
        <v>0</v>
      </c>
      <c r="Q583" t="n">
        <v>0</v>
      </c>
      <c r="R583" s="2" t="inlineStr"/>
    </row>
    <row r="584" ht="15" customHeight="1">
      <c r="A584" t="inlineStr">
        <is>
          <t>A 46749-2022</t>
        </is>
      </c>
      <c r="B584" s="1" t="n">
        <v>44851</v>
      </c>
      <c r="C584" s="1" t="n">
        <v>46098</v>
      </c>
      <c r="D584" t="inlineStr">
        <is>
          <t>UPPSALA LÄN</t>
        </is>
      </c>
      <c r="E584" t="inlineStr">
        <is>
          <t>ENKÖPING</t>
        </is>
      </c>
      <c r="G584" t="n">
        <v>6.6</v>
      </c>
      <c r="H584" t="n">
        <v>0</v>
      </c>
      <c r="I584" t="n">
        <v>0</v>
      </c>
      <c r="J584" t="n">
        <v>0</v>
      </c>
      <c r="K584" t="n">
        <v>0</v>
      </c>
      <c r="L584" t="n">
        <v>0</v>
      </c>
      <c r="M584" t="n">
        <v>0</v>
      </c>
      <c r="N584" t="n">
        <v>0</v>
      </c>
      <c r="O584" t="n">
        <v>0</v>
      </c>
      <c r="P584" t="n">
        <v>0</v>
      </c>
      <c r="Q584" t="n">
        <v>0</v>
      </c>
      <c r="R584" s="2" t="inlineStr"/>
    </row>
    <row r="585" ht="15" customHeight="1">
      <c r="A585" t="inlineStr">
        <is>
          <t>A 13201-2021</t>
        </is>
      </c>
      <c r="B585" s="1" t="n">
        <v>44272</v>
      </c>
      <c r="C585" s="1" t="n">
        <v>46098</v>
      </c>
      <c r="D585" t="inlineStr">
        <is>
          <t>UPPSALA LÄN</t>
        </is>
      </c>
      <c r="E585" t="inlineStr">
        <is>
          <t>ENKÖPING</t>
        </is>
      </c>
      <c r="G585" t="n">
        <v>0.1</v>
      </c>
      <c r="H585" t="n">
        <v>0</v>
      </c>
      <c r="I585" t="n">
        <v>0</v>
      </c>
      <c r="J585" t="n">
        <v>0</v>
      </c>
      <c r="K585" t="n">
        <v>0</v>
      </c>
      <c r="L585" t="n">
        <v>0</v>
      </c>
      <c r="M585" t="n">
        <v>0</v>
      </c>
      <c r="N585" t="n">
        <v>0</v>
      </c>
      <c r="O585" t="n">
        <v>0</v>
      </c>
      <c r="P585" t="n">
        <v>0</v>
      </c>
      <c r="Q585" t="n">
        <v>0</v>
      </c>
      <c r="R585" s="2" t="inlineStr"/>
    </row>
    <row r="586" ht="15" customHeight="1">
      <c r="A586" t="inlineStr">
        <is>
          <t>A 51055-2022</t>
        </is>
      </c>
      <c r="B586" s="1" t="n">
        <v>44868</v>
      </c>
      <c r="C586" s="1" t="n">
        <v>46098</v>
      </c>
      <c r="D586" t="inlineStr">
        <is>
          <t>UPPSALA LÄN</t>
        </is>
      </c>
      <c r="E586" t="inlineStr">
        <is>
          <t>ÖSTHAMMAR</t>
        </is>
      </c>
      <c r="G586" t="n">
        <v>0.4</v>
      </c>
      <c r="H586" t="n">
        <v>0</v>
      </c>
      <c r="I586" t="n">
        <v>0</v>
      </c>
      <c r="J586" t="n">
        <v>0</v>
      </c>
      <c r="K586" t="n">
        <v>0</v>
      </c>
      <c r="L586" t="n">
        <v>0</v>
      </c>
      <c r="M586" t="n">
        <v>0</v>
      </c>
      <c r="N586" t="n">
        <v>0</v>
      </c>
      <c r="O586" t="n">
        <v>0</v>
      </c>
      <c r="P586" t="n">
        <v>0</v>
      </c>
      <c r="Q586" t="n">
        <v>0</v>
      </c>
      <c r="R586" s="2" t="inlineStr"/>
    </row>
    <row r="587" ht="15" customHeight="1">
      <c r="A587" t="inlineStr">
        <is>
          <t>A 22070-2021</t>
        </is>
      </c>
      <c r="B587" s="1" t="n">
        <v>44323.58961805556</v>
      </c>
      <c r="C587" s="1" t="n">
        <v>46098</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16512-2021</t>
        </is>
      </c>
      <c r="B588" s="1" t="n">
        <v>44293.63837962963</v>
      </c>
      <c r="C588" s="1" t="n">
        <v>46098</v>
      </c>
      <c r="D588" t="inlineStr">
        <is>
          <t>UPPSALA LÄN</t>
        </is>
      </c>
      <c r="E588" t="inlineStr">
        <is>
          <t>ENKÖPING</t>
        </is>
      </c>
      <c r="G588" t="n">
        <v>4.7</v>
      </c>
      <c r="H588" t="n">
        <v>0</v>
      </c>
      <c r="I588" t="n">
        <v>0</v>
      </c>
      <c r="J588" t="n">
        <v>0</v>
      </c>
      <c r="K588" t="n">
        <v>0</v>
      </c>
      <c r="L588" t="n">
        <v>0</v>
      </c>
      <c r="M588" t="n">
        <v>0</v>
      </c>
      <c r="N588" t="n">
        <v>0</v>
      </c>
      <c r="O588" t="n">
        <v>0</v>
      </c>
      <c r="P588" t="n">
        <v>0</v>
      </c>
      <c r="Q588" t="n">
        <v>0</v>
      </c>
      <c r="R588" s="2" t="inlineStr"/>
    </row>
    <row r="589" ht="15" customHeight="1">
      <c r="A589" t="inlineStr">
        <is>
          <t>A 17536-2021</t>
        </is>
      </c>
      <c r="B589" s="1" t="n">
        <v>44299</v>
      </c>
      <c r="C589" s="1" t="n">
        <v>46098</v>
      </c>
      <c r="D589" t="inlineStr">
        <is>
          <t>UPPSALA LÄN</t>
        </is>
      </c>
      <c r="E589" t="inlineStr">
        <is>
          <t>UPPSALA</t>
        </is>
      </c>
      <c r="F589" t="inlineStr">
        <is>
          <t>Holmen skog AB</t>
        </is>
      </c>
      <c r="G589" t="n">
        <v>7.6</v>
      </c>
      <c r="H589" t="n">
        <v>0</v>
      </c>
      <c r="I589" t="n">
        <v>0</v>
      </c>
      <c r="J589" t="n">
        <v>0</v>
      </c>
      <c r="K589" t="n">
        <v>0</v>
      </c>
      <c r="L589" t="n">
        <v>0</v>
      </c>
      <c r="M589" t="n">
        <v>0</v>
      </c>
      <c r="N589" t="n">
        <v>0</v>
      </c>
      <c r="O589" t="n">
        <v>0</v>
      </c>
      <c r="P589" t="n">
        <v>0</v>
      </c>
      <c r="Q589" t="n">
        <v>0</v>
      </c>
      <c r="R589" s="2" t="inlineStr"/>
    </row>
    <row r="590" ht="15" customHeight="1">
      <c r="A590" t="inlineStr">
        <is>
          <t>A 56740-2021</t>
        </is>
      </c>
      <c r="B590" s="1" t="n">
        <v>44481</v>
      </c>
      <c r="C590" s="1" t="n">
        <v>46098</v>
      </c>
      <c r="D590" t="inlineStr">
        <is>
          <t>UPPSALA LÄN</t>
        </is>
      </c>
      <c r="E590" t="inlineStr">
        <is>
          <t>TIERP</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22645-2022</t>
        </is>
      </c>
      <c r="B591" s="1" t="n">
        <v>44714</v>
      </c>
      <c r="C591" s="1" t="n">
        <v>46098</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61746-2021</t>
        </is>
      </c>
      <c r="B592" s="1" t="n">
        <v>44498</v>
      </c>
      <c r="C592" s="1" t="n">
        <v>46098</v>
      </c>
      <c r="D592" t="inlineStr">
        <is>
          <t>UPPSALA LÄN</t>
        </is>
      </c>
      <c r="E592" t="inlineStr">
        <is>
          <t>ÖSTHAMMAR</t>
        </is>
      </c>
      <c r="G592" t="n">
        <v>5.6</v>
      </c>
      <c r="H592" t="n">
        <v>0</v>
      </c>
      <c r="I592" t="n">
        <v>0</v>
      </c>
      <c r="J592" t="n">
        <v>0</v>
      </c>
      <c r="K592" t="n">
        <v>0</v>
      </c>
      <c r="L592" t="n">
        <v>0</v>
      </c>
      <c r="M592" t="n">
        <v>0</v>
      </c>
      <c r="N592" t="n">
        <v>0</v>
      </c>
      <c r="O592" t="n">
        <v>0</v>
      </c>
      <c r="P592" t="n">
        <v>0</v>
      </c>
      <c r="Q592" t="n">
        <v>0</v>
      </c>
      <c r="R592" s="2" t="inlineStr"/>
    </row>
    <row r="593" ht="15" customHeight="1">
      <c r="A593" t="inlineStr">
        <is>
          <t>A 31143-2021</t>
        </is>
      </c>
      <c r="B593" s="1" t="n">
        <v>44368</v>
      </c>
      <c r="C593" s="1" t="n">
        <v>46098</v>
      </c>
      <c r="D593" t="inlineStr">
        <is>
          <t>UPPSALA LÄN</t>
        </is>
      </c>
      <c r="E593" t="inlineStr">
        <is>
          <t>KNIVSTA</t>
        </is>
      </c>
      <c r="G593" t="n">
        <v>13.1</v>
      </c>
      <c r="H593" t="n">
        <v>0</v>
      </c>
      <c r="I593" t="n">
        <v>0</v>
      </c>
      <c r="J593" t="n">
        <v>0</v>
      </c>
      <c r="K593" t="n">
        <v>0</v>
      </c>
      <c r="L593" t="n">
        <v>0</v>
      </c>
      <c r="M593" t="n">
        <v>0</v>
      </c>
      <c r="N593" t="n">
        <v>0</v>
      </c>
      <c r="O593" t="n">
        <v>0</v>
      </c>
      <c r="P593" t="n">
        <v>0</v>
      </c>
      <c r="Q593" t="n">
        <v>0</v>
      </c>
      <c r="R593" s="2" t="inlineStr"/>
    </row>
    <row r="594" ht="15" customHeight="1">
      <c r="A594" t="inlineStr">
        <is>
          <t>A 59479-2021</t>
        </is>
      </c>
      <c r="B594" s="1" t="n">
        <v>44491.50769675926</v>
      </c>
      <c r="C594" s="1" t="n">
        <v>46098</v>
      </c>
      <c r="D594" t="inlineStr">
        <is>
          <t>UPPSALA LÄN</t>
        </is>
      </c>
      <c r="E594" t="inlineStr">
        <is>
          <t>UPPSALA</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59498-2021</t>
        </is>
      </c>
      <c r="B595" s="1" t="n">
        <v>44491.53787037037</v>
      </c>
      <c r="C595" s="1" t="n">
        <v>46098</v>
      </c>
      <c r="D595" t="inlineStr">
        <is>
          <t>UPPSALA LÄN</t>
        </is>
      </c>
      <c r="E595" t="inlineStr">
        <is>
          <t>ÖSTHAMMAR</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46098</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36217-2022</t>
        </is>
      </c>
      <c r="B597" s="1" t="n">
        <v>44803</v>
      </c>
      <c r="C597" s="1" t="n">
        <v>46098</v>
      </c>
      <c r="D597" t="inlineStr">
        <is>
          <t>UPPSALA LÄN</t>
        </is>
      </c>
      <c r="E597" t="inlineStr">
        <is>
          <t>ÄLVKARLEBY</t>
        </is>
      </c>
      <c r="F597" t="inlineStr">
        <is>
          <t>Bergvik skog väst AB</t>
        </is>
      </c>
      <c r="G597" t="n">
        <v>0.2</v>
      </c>
      <c r="H597" t="n">
        <v>0</v>
      </c>
      <c r="I597" t="n">
        <v>0</v>
      </c>
      <c r="J597" t="n">
        <v>0</v>
      </c>
      <c r="K597" t="n">
        <v>0</v>
      </c>
      <c r="L597" t="n">
        <v>0</v>
      </c>
      <c r="M597" t="n">
        <v>0</v>
      </c>
      <c r="N597" t="n">
        <v>0</v>
      </c>
      <c r="O597" t="n">
        <v>0</v>
      </c>
      <c r="P597" t="n">
        <v>0</v>
      </c>
      <c r="Q597" t="n">
        <v>0</v>
      </c>
      <c r="R597" s="2" t="inlineStr"/>
    </row>
    <row r="598" ht="15" customHeight="1">
      <c r="A598" t="inlineStr">
        <is>
          <t>A 44019-2022</t>
        </is>
      </c>
      <c r="B598" s="1" t="n">
        <v>44838.82126157408</v>
      </c>
      <c r="C598" s="1" t="n">
        <v>46098</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45225-2021</t>
        </is>
      </c>
      <c r="B599" s="1" t="n">
        <v>44439.57831018518</v>
      </c>
      <c r="C599" s="1" t="n">
        <v>46098</v>
      </c>
      <c r="D599" t="inlineStr">
        <is>
          <t>UPPSALA LÄN</t>
        </is>
      </c>
      <c r="E599" t="inlineStr">
        <is>
          <t>TIERP</t>
        </is>
      </c>
      <c r="F599" t="inlineStr">
        <is>
          <t>Bergvik skog öst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2534-2022</t>
        </is>
      </c>
      <c r="B600" s="1" t="n">
        <v>44579</v>
      </c>
      <c r="C600" s="1" t="n">
        <v>46098</v>
      </c>
      <c r="D600" t="inlineStr">
        <is>
          <t>UPPSALA LÄN</t>
        </is>
      </c>
      <c r="E600" t="inlineStr">
        <is>
          <t>TIERP</t>
        </is>
      </c>
      <c r="G600" t="n">
        <v>7.1</v>
      </c>
      <c r="H600" t="n">
        <v>0</v>
      </c>
      <c r="I600" t="n">
        <v>0</v>
      </c>
      <c r="J600" t="n">
        <v>0</v>
      </c>
      <c r="K600" t="n">
        <v>0</v>
      </c>
      <c r="L600" t="n">
        <v>0</v>
      </c>
      <c r="M600" t="n">
        <v>0</v>
      </c>
      <c r="N600" t="n">
        <v>0</v>
      </c>
      <c r="O600" t="n">
        <v>0</v>
      </c>
      <c r="P600" t="n">
        <v>0</v>
      </c>
      <c r="Q600" t="n">
        <v>0</v>
      </c>
      <c r="R600" s="2" t="inlineStr"/>
    </row>
    <row r="601" ht="15" customHeight="1">
      <c r="A601" t="inlineStr">
        <is>
          <t>A 29644-2022</t>
        </is>
      </c>
      <c r="B601" s="1" t="n">
        <v>44754</v>
      </c>
      <c r="C601" s="1" t="n">
        <v>46098</v>
      </c>
      <c r="D601" t="inlineStr">
        <is>
          <t>UPPSALA LÄN</t>
        </is>
      </c>
      <c r="E601" t="inlineStr">
        <is>
          <t>HEBY</t>
        </is>
      </c>
      <c r="G601" t="n">
        <v>0.6</v>
      </c>
      <c r="H601" t="n">
        <v>0</v>
      </c>
      <c r="I601" t="n">
        <v>0</v>
      </c>
      <c r="J601" t="n">
        <v>0</v>
      </c>
      <c r="K601" t="n">
        <v>0</v>
      </c>
      <c r="L601" t="n">
        <v>0</v>
      </c>
      <c r="M601" t="n">
        <v>0</v>
      </c>
      <c r="N601" t="n">
        <v>0</v>
      </c>
      <c r="O601" t="n">
        <v>0</v>
      </c>
      <c r="P601" t="n">
        <v>0</v>
      </c>
      <c r="Q601" t="n">
        <v>0</v>
      </c>
      <c r="R601" s="2" t="inlineStr"/>
    </row>
    <row r="602" ht="15" customHeight="1">
      <c r="A602" t="inlineStr">
        <is>
          <t>A 39922-2022</t>
        </is>
      </c>
      <c r="B602" s="1" t="n">
        <v>44819</v>
      </c>
      <c r="C602" s="1" t="n">
        <v>46098</v>
      </c>
      <c r="D602" t="inlineStr">
        <is>
          <t>UPPSALA LÄN</t>
        </is>
      </c>
      <c r="E602" t="inlineStr">
        <is>
          <t>ENKÖPING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41736-2022</t>
        </is>
      </c>
      <c r="B603" s="1" t="n">
        <v>44827</v>
      </c>
      <c r="C603" s="1" t="n">
        <v>46098</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24062-2021</t>
        </is>
      </c>
      <c r="B604" s="1" t="n">
        <v>44336</v>
      </c>
      <c r="C604" s="1" t="n">
        <v>46098</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19174-2022</t>
        </is>
      </c>
      <c r="B605" s="1" t="n">
        <v>44691</v>
      </c>
      <c r="C605" s="1" t="n">
        <v>46098</v>
      </c>
      <c r="D605" t="inlineStr">
        <is>
          <t>UPPSALA LÄN</t>
        </is>
      </c>
      <c r="E605" t="inlineStr">
        <is>
          <t>ÖSTHAMMAR</t>
        </is>
      </c>
      <c r="G605" t="n">
        <v>0.8</v>
      </c>
      <c r="H605" t="n">
        <v>0</v>
      </c>
      <c r="I605" t="n">
        <v>0</v>
      </c>
      <c r="J605" t="n">
        <v>0</v>
      </c>
      <c r="K605" t="n">
        <v>0</v>
      </c>
      <c r="L605" t="n">
        <v>0</v>
      </c>
      <c r="M605" t="n">
        <v>0</v>
      </c>
      <c r="N605" t="n">
        <v>0</v>
      </c>
      <c r="O605" t="n">
        <v>0</v>
      </c>
      <c r="P605" t="n">
        <v>0</v>
      </c>
      <c r="Q605" t="n">
        <v>0</v>
      </c>
      <c r="R605" s="2" t="inlineStr"/>
    </row>
    <row r="606" ht="15" customHeight="1">
      <c r="A606" t="inlineStr">
        <is>
          <t>A 2108-2022</t>
        </is>
      </c>
      <c r="B606" s="1" t="n">
        <v>44577.83829861111</v>
      </c>
      <c r="C606" s="1" t="n">
        <v>46098</v>
      </c>
      <c r="D606" t="inlineStr">
        <is>
          <t>UPPSALA LÄN</t>
        </is>
      </c>
      <c r="E606" t="inlineStr">
        <is>
          <t>ÖSTHAMMAR</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51412-2021</t>
        </is>
      </c>
      <c r="B607" s="1" t="n">
        <v>44461</v>
      </c>
      <c r="C607" s="1" t="n">
        <v>46098</v>
      </c>
      <c r="D607" t="inlineStr">
        <is>
          <t>UPPSALA LÄN</t>
        </is>
      </c>
      <c r="E607" t="inlineStr">
        <is>
          <t>ÖSTHAMMAR</t>
        </is>
      </c>
      <c r="G607" t="n">
        <v>1.7</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44569.5340625</v>
      </c>
      <c r="C608" s="1" t="n">
        <v>46098</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31263-2021</t>
        </is>
      </c>
      <c r="B609" s="1" t="n">
        <v>44368</v>
      </c>
      <c r="C609" s="1" t="n">
        <v>46098</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2559-2022</t>
        </is>
      </c>
      <c r="B610" s="1" t="n">
        <v>44580</v>
      </c>
      <c r="C610" s="1" t="n">
        <v>46098</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21775-2022</t>
        </is>
      </c>
      <c r="B611" s="1" t="n">
        <v>44708</v>
      </c>
      <c r="C611" s="1" t="n">
        <v>46098</v>
      </c>
      <c r="D611" t="inlineStr">
        <is>
          <t>UPPSALA LÄN</t>
        </is>
      </c>
      <c r="E611" t="inlineStr">
        <is>
          <t>TIERP</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21776-2022</t>
        </is>
      </c>
      <c r="B612" s="1" t="n">
        <v>44708</v>
      </c>
      <c r="C612" s="1" t="n">
        <v>46098</v>
      </c>
      <c r="D612" t="inlineStr">
        <is>
          <t>UPPSALA LÄN</t>
        </is>
      </c>
      <c r="E612" t="inlineStr">
        <is>
          <t>TIERP</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15583-2022</t>
        </is>
      </c>
      <c r="B613" s="1" t="n">
        <v>44662.56783564815</v>
      </c>
      <c r="C613" s="1" t="n">
        <v>46098</v>
      </c>
      <c r="D613" t="inlineStr">
        <is>
          <t>UPPSALA LÄN</t>
        </is>
      </c>
      <c r="E613" t="inlineStr">
        <is>
          <t>UPPSALA</t>
        </is>
      </c>
      <c r="F613" t="inlineStr">
        <is>
          <t>Övriga Aktiebolag</t>
        </is>
      </c>
      <c r="G613" t="n">
        <v>4.3</v>
      </c>
      <c r="H613" t="n">
        <v>0</v>
      </c>
      <c r="I613" t="n">
        <v>0</v>
      </c>
      <c r="J613" t="n">
        <v>0</v>
      </c>
      <c r="K613" t="n">
        <v>0</v>
      </c>
      <c r="L613" t="n">
        <v>0</v>
      </c>
      <c r="M613" t="n">
        <v>0</v>
      </c>
      <c r="N613" t="n">
        <v>0</v>
      </c>
      <c r="O613" t="n">
        <v>0</v>
      </c>
      <c r="P613" t="n">
        <v>0</v>
      </c>
      <c r="Q613" t="n">
        <v>0</v>
      </c>
      <c r="R613" s="2" t="inlineStr"/>
    </row>
    <row r="614" ht="15" customHeight="1">
      <c r="A614" t="inlineStr">
        <is>
          <t>A 1148-2022</t>
        </is>
      </c>
      <c r="B614" s="1" t="n">
        <v>44572.39640046296</v>
      </c>
      <c r="C614" s="1" t="n">
        <v>46098</v>
      </c>
      <c r="D614" t="inlineStr">
        <is>
          <t>UPPSALA LÄN</t>
        </is>
      </c>
      <c r="E614" t="inlineStr">
        <is>
          <t>UPPSALA</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3861-2022</t>
        </is>
      </c>
      <c r="B615" s="1" t="n">
        <v>44587</v>
      </c>
      <c r="C615" s="1" t="n">
        <v>46098</v>
      </c>
      <c r="D615" t="inlineStr">
        <is>
          <t>UPPSALA LÄN</t>
        </is>
      </c>
      <c r="E615" t="inlineStr">
        <is>
          <t>ENKÖPING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15436-2022</t>
        </is>
      </c>
      <c r="B616" s="1" t="n">
        <v>44659.70381944445</v>
      </c>
      <c r="C616" s="1" t="n">
        <v>46098</v>
      </c>
      <c r="D616" t="inlineStr">
        <is>
          <t>UPPSALA LÄN</t>
        </is>
      </c>
      <c r="E616" t="inlineStr">
        <is>
          <t>UPPSALA</t>
        </is>
      </c>
      <c r="G616" t="n">
        <v>14.4</v>
      </c>
      <c r="H616" t="n">
        <v>0</v>
      </c>
      <c r="I616" t="n">
        <v>0</v>
      </c>
      <c r="J616" t="n">
        <v>0</v>
      </c>
      <c r="K616" t="n">
        <v>0</v>
      </c>
      <c r="L616" t="n">
        <v>0</v>
      </c>
      <c r="M616" t="n">
        <v>0</v>
      </c>
      <c r="N616" t="n">
        <v>0</v>
      </c>
      <c r="O616" t="n">
        <v>0</v>
      </c>
      <c r="P616" t="n">
        <v>0</v>
      </c>
      <c r="Q616" t="n">
        <v>0</v>
      </c>
      <c r="R616" s="2" t="inlineStr"/>
    </row>
    <row r="617" ht="15" customHeight="1">
      <c r="A617" t="inlineStr">
        <is>
          <t>A 15456-2022</t>
        </is>
      </c>
      <c r="B617" s="1" t="n">
        <v>44661.73925925926</v>
      </c>
      <c r="C617" s="1" t="n">
        <v>46098</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52424-2021</t>
        </is>
      </c>
      <c r="B618" s="1" t="n">
        <v>44466</v>
      </c>
      <c r="C618" s="1" t="n">
        <v>46098</v>
      </c>
      <c r="D618" t="inlineStr">
        <is>
          <t>UPPSALA LÄN</t>
        </is>
      </c>
      <c r="E618" t="inlineStr">
        <is>
          <t>HEBY</t>
        </is>
      </c>
      <c r="G618" t="n">
        <v>0.8</v>
      </c>
      <c r="H618" t="n">
        <v>0</v>
      </c>
      <c r="I618" t="n">
        <v>0</v>
      </c>
      <c r="J618" t="n">
        <v>0</v>
      </c>
      <c r="K618" t="n">
        <v>0</v>
      </c>
      <c r="L618" t="n">
        <v>0</v>
      </c>
      <c r="M618" t="n">
        <v>0</v>
      </c>
      <c r="N618" t="n">
        <v>0</v>
      </c>
      <c r="O618" t="n">
        <v>0</v>
      </c>
      <c r="P618" t="n">
        <v>0</v>
      </c>
      <c r="Q618" t="n">
        <v>0</v>
      </c>
      <c r="R618" s="2" t="inlineStr"/>
    </row>
    <row r="619" ht="15" customHeight="1">
      <c r="A619" t="inlineStr">
        <is>
          <t>A 13867-2022</t>
        </is>
      </c>
      <c r="B619" s="1" t="n">
        <v>44649.90252314815</v>
      </c>
      <c r="C619" s="1" t="n">
        <v>46098</v>
      </c>
      <c r="D619" t="inlineStr">
        <is>
          <t>UPPSALA LÄN</t>
        </is>
      </c>
      <c r="E619" t="inlineStr">
        <is>
          <t>ÖSTHAMMAR</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46098</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59881-2021</t>
        </is>
      </c>
      <c r="B621" s="1" t="n">
        <v>44494</v>
      </c>
      <c r="C621" s="1" t="n">
        <v>46098</v>
      </c>
      <c r="D621" t="inlineStr">
        <is>
          <t>UPPSALA LÄN</t>
        </is>
      </c>
      <c r="E621" t="inlineStr">
        <is>
          <t>UPPSALA</t>
        </is>
      </c>
      <c r="F621" t="inlineStr">
        <is>
          <t>Allmännings- och besparingsskogar</t>
        </is>
      </c>
      <c r="G621" t="n">
        <v>1.6</v>
      </c>
      <c r="H621" t="n">
        <v>0</v>
      </c>
      <c r="I621" t="n">
        <v>0</v>
      </c>
      <c r="J621" t="n">
        <v>0</v>
      </c>
      <c r="K621" t="n">
        <v>0</v>
      </c>
      <c r="L621" t="n">
        <v>0</v>
      </c>
      <c r="M621" t="n">
        <v>0</v>
      </c>
      <c r="N621" t="n">
        <v>0</v>
      </c>
      <c r="O621" t="n">
        <v>0</v>
      </c>
      <c r="P621" t="n">
        <v>0</v>
      </c>
      <c r="Q621" t="n">
        <v>0</v>
      </c>
      <c r="R621" s="2" t="inlineStr"/>
    </row>
    <row r="622" ht="15" customHeight="1">
      <c r="A622" t="inlineStr">
        <is>
          <t>A 57890-2021</t>
        </is>
      </c>
      <c r="B622" s="1" t="n">
        <v>44486</v>
      </c>
      <c r="C622" s="1" t="n">
        <v>46098</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67859-2021</t>
        </is>
      </c>
      <c r="B623" s="1" t="n">
        <v>44525.48695601852</v>
      </c>
      <c r="C623" s="1" t="n">
        <v>46098</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20764-2022</t>
        </is>
      </c>
      <c r="B624" s="1" t="n">
        <v>44700</v>
      </c>
      <c r="C624" s="1" t="n">
        <v>46098</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46098</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26257-2021</t>
        </is>
      </c>
      <c r="B626" s="1" t="n">
        <v>44347</v>
      </c>
      <c r="C626" s="1" t="n">
        <v>46098</v>
      </c>
      <c r="D626" t="inlineStr">
        <is>
          <t>UPPSALA LÄN</t>
        </is>
      </c>
      <c r="E626" t="inlineStr">
        <is>
          <t>ÖSTHAMMAR</t>
        </is>
      </c>
      <c r="G626" t="n">
        <v>3.2</v>
      </c>
      <c r="H626" t="n">
        <v>0</v>
      </c>
      <c r="I626" t="n">
        <v>0</v>
      </c>
      <c r="J626" t="n">
        <v>0</v>
      </c>
      <c r="K626" t="n">
        <v>0</v>
      </c>
      <c r="L626" t="n">
        <v>0</v>
      </c>
      <c r="M626" t="n">
        <v>0</v>
      </c>
      <c r="N626" t="n">
        <v>0</v>
      </c>
      <c r="O626" t="n">
        <v>0</v>
      </c>
      <c r="P626" t="n">
        <v>0</v>
      </c>
      <c r="Q626" t="n">
        <v>0</v>
      </c>
      <c r="R626" s="2" t="inlineStr"/>
    </row>
    <row r="627" ht="15" customHeight="1">
      <c r="A627" t="inlineStr">
        <is>
          <t>A 20301-2021</t>
        </is>
      </c>
      <c r="B627" s="1" t="n">
        <v>44315</v>
      </c>
      <c r="C627" s="1" t="n">
        <v>46098</v>
      </c>
      <c r="D627" t="inlineStr">
        <is>
          <t>UPPSALA LÄN</t>
        </is>
      </c>
      <c r="E627" t="inlineStr">
        <is>
          <t>HEBY</t>
        </is>
      </c>
      <c r="G627" t="n">
        <v>2.5</v>
      </c>
      <c r="H627" t="n">
        <v>0</v>
      </c>
      <c r="I627" t="n">
        <v>0</v>
      </c>
      <c r="J627" t="n">
        <v>0</v>
      </c>
      <c r="K627" t="n">
        <v>0</v>
      </c>
      <c r="L627" t="n">
        <v>0</v>
      </c>
      <c r="M627" t="n">
        <v>0</v>
      </c>
      <c r="N627" t="n">
        <v>0</v>
      </c>
      <c r="O627" t="n">
        <v>0</v>
      </c>
      <c r="P627" t="n">
        <v>0</v>
      </c>
      <c r="Q627" t="n">
        <v>0</v>
      </c>
      <c r="R627" s="2" t="inlineStr"/>
    </row>
    <row r="628" ht="15" customHeight="1">
      <c r="A628" t="inlineStr">
        <is>
          <t>A 15677-2021</t>
        </is>
      </c>
      <c r="B628" s="1" t="n">
        <v>44286</v>
      </c>
      <c r="C628" s="1" t="n">
        <v>46098</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44265-2022</t>
        </is>
      </c>
      <c r="B629" s="1" t="n">
        <v>44839</v>
      </c>
      <c r="C629" s="1" t="n">
        <v>46098</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16967-2022</t>
        </is>
      </c>
      <c r="B630" s="1" t="n">
        <v>44676</v>
      </c>
      <c r="C630" s="1" t="n">
        <v>46098</v>
      </c>
      <c r="D630" t="inlineStr">
        <is>
          <t>UPPSALA LÄN</t>
        </is>
      </c>
      <c r="E630" t="inlineStr">
        <is>
          <t>ENKÖPING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46098</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46098</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46098</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64413-2021</t>
        </is>
      </c>
      <c r="B634" s="1" t="n">
        <v>44511.45233796296</v>
      </c>
      <c r="C634" s="1" t="n">
        <v>46098</v>
      </c>
      <c r="D634" t="inlineStr">
        <is>
          <t>UPPSALA LÄN</t>
        </is>
      </c>
      <c r="E634" t="inlineStr">
        <is>
          <t>HEBY</t>
        </is>
      </c>
      <c r="G634" t="n">
        <v>0.6</v>
      </c>
      <c r="H634" t="n">
        <v>0</v>
      </c>
      <c r="I634" t="n">
        <v>0</v>
      </c>
      <c r="J634" t="n">
        <v>0</v>
      </c>
      <c r="K634" t="n">
        <v>0</v>
      </c>
      <c r="L634" t="n">
        <v>0</v>
      </c>
      <c r="M634" t="n">
        <v>0</v>
      </c>
      <c r="N634" t="n">
        <v>0</v>
      </c>
      <c r="O634" t="n">
        <v>0</v>
      </c>
      <c r="P634" t="n">
        <v>0</v>
      </c>
      <c r="Q634" t="n">
        <v>0</v>
      </c>
      <c r="R634" s="2" t="inlineStr"/>
    </row>
    <row r="635" ht="15" customHeight="1">
      <c r="A635" t="inlineStr">
        <is>
          <t>A 3496-2022</t>
        </is>
      </c>
      <c r="B635" s="1" t="n">
        <v>44585</v>
      </c>
      <c r="C635" s="1" t="n">
        <v>46098</v>
      </c>
      <c r="D635" t="inlineStr">
        <is>
          <t>UPPSALA LÄN</t>
        </is>
      </c>
      <c r="E635" t="inlineStr">
        <is>
          <t>HEBY</t>
        </is>
      </c>
      <c r="G635" t="n">
        <v>0.5</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46098</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3574-2022</t>
        </is>
      </c>
      <c r="B637" s="1" t="n">
        <v>44586</v>
      </c>
      <c r="C637" s="1" t="n">
        <v>46098</v>
      </c>
      <c r="D637" t="inlineStr">
        <is>
          <t>UPPSALA LÄN</t>
        </is>
      </c>
      <c r="E637" t="inlineStr">
        <is>
          <t>HEBY</t>
        </is>
      </c>
      <c r="G637" t="n">
        <v>1.4</v>
      </c>
      <c r="H637" t="n">
        <v>0</v>
      </c>
      <c r="I637" t="n">
        <v>0</v>
      </c>
      <c r="J637" t="n">
        <v>0</v>
      </c>
      <c r="K637" t="n">
        <v>0</v>
      </c>
      <c r="L637" t="n">
        <v>0</v>
      </c>
      <c r="M637" t="n">
        <v>0</v>
      </c>
      <c r="N637" t="n">
        <v>0</v>
      </c>
      <c r="O637" t="n">
        <v>0</v>
      </c>
      <c r="P637" t="n">
        <v>0</v>
      </c>
      <c r="Q637" t="n">
        <v>0</v>
      </c>
      <c r="R637" s="2" t="inlineStr"/>
    </row>
    <row r="638" ht="15" customHeight="1">
      <c r="A638" t="inlineStr">
        <is>
          <t>A 1965-2022</t>
        </is>
      </c>
      <c r="B638" s="1" t="n">
        <v>44575</v>
      </c>
      <c r="C638" s="1" t="n">
        <v>46098</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46098</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15485-2021</t>
        </is>
      </c>
      <c r="B640" s="1" t="n">
        <v>44285</v>
      </c>
      <c r="C640" s="1" t="n">
        <v>46098</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46098</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46098</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25395-2021</t>
        </is>
      </c>
      <c r="B643" s="1" t="n">
        <v>44342.62907407407</v>
      </c>
      <c r="C643" s="1" t="n">
        <v>46098</v>
      </c>
      <c r="D643" t="inlineStr">
        <is>
          <t>UPPSALA LÄN</t>
        </is>
      </c>
      <c r="E643" t="inlineStr">
        <is>
          <t>ÖSTHAMMAR</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46098</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46098</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46098</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46098</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8451-2022</t>
        </is>
      </c>
      <c r="B648" s="1" t="n">
        <v>44612</v>
      </c>
      <c r="C648" s="1" t="n">
        <v>46098</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46098</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46098</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46098</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46098</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46098</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46098</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46098</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46098</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46098</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15481-2021</t>
        </is>
      </c>
      <c r="B658" s="1" t="n">
        <v>44285</v>
      </c>
      <c r="C658" s="1" t="n">
        <v>46098</v>
      </c>
      <c r="D658" t="inlineStr">
        <is>
          <t>UPPSALA LÄN</t>
        </is>
      </c>
      <c r="E658" t="inlineStr">
        <is>
          <t>HEBY</t>
        </is>
      </c>
      <c r="G658" t="n">
        <v>1.2</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46098</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46098</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46098</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16498-2021</t>
        </is>
      </c>
      <c r="B662" s="1" t="n">
        <v>44293</v>
      </c>
      <c r="C662" s="1" t="n">
        <v>46098</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46098</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46098</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46098</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46098</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46098</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46098</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10783-2022</t>
        </is>
      </c>
      <c r="B669" s="1" t="n">
        <v>44627.47141203703</v>
      </c>
      <c r="C669" s="1" t="n">
        <v>46098</v>
      </c>
      <c r="D669" t="inlineStr">
        <is>
          <t>UPPSALA LÄN</t>
        </is>
      </c>
      <c r="E669" t="inlineStr">
        <is>
          <t>TIERP</t>
        </is>
      </c>
      <c r="G669" t="n">
        <v>0.2</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46098</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46098</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14248-2021</t>
        </is>
      </c>
      <c r="B672" s="1" t="n">
        <v>44278</v>
      </c>
      <c r="C672" s="1" t="n">
        <v>46098</v>
      </c>
      <c r="D672" t="inlineStr">
        <is>
          <t>UPPSALA LÄN</t>
        </is>
      </c>
      <c r="E672" t="inlineStr">
        <is>
          <t>ÖSTHAMMAR</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46098</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33284-2022</t>
        </is>
      </c>
      <c r="B674" s="1" t="n">
        <v>44788.35174768518</v>
      </c>
      <c r="C674" s="1" t="n">
        <v>46098</v>
      </c>
      <c r="D674" t="inlineStr">
        <is>
          <t>UPPSALA LÄN</t>
        </is>
      </c>
      <c r="E674" t="inlineStr">
        <is>
          <t>HEBY</t>
        </is>
      </c>
      <c r="G674" t="n">
        <v>1</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46098</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46098</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46098</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46098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46098</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20276-2021</t>
        </is>
      </c>
      <c r="B680" s="1" t="n">
        <v>44314</v>
      </c>
      <c r="C680" s="1" t="n">
        <v>46098</v>
      </c>
      <c r="D680" t="inlineStr">
        <is>
          <t>UPPSALA LÄN</t>
        </is>
      </c>
      <c r="E680" t="inlineStr">
        <is>
          <t>UPPSALA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46098</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46098</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46098</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46098</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46098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46098</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46098</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46098</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46098</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46098</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46098</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46098</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46098</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46098</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46098</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46098</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46098</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46098</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46098</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36166-2021</t>
        </is>
      </c>
      <c r="B700" s="1" t="n">
        <v>44389</v>
      </c>
      <c r="C700" s="1" t="n">
        <v>46098</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46098</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46098</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46098</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46098</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46098</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46098</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46098</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24149-2022</t>
        </is>
      </c>
      <c r="B708" s="1" t="n">
        <v>44725</v>
      </c>
      <c r="C708" s="1" t="n">
        <v>46098</v>
      </c>
      <c r="D708" t="inlineStr">
        <is>
          <t>UPPSALA LÄN</t>
        </is>
      </c>
      <c r="E708" t="inlineStr">
        <is>
          <t>ÖSTHAMMAR</t>
        </is>
      </c>
      <c r="G708" t="n">
        <v>1.1</v>
      </c>
      <c r="H708" t="n">
        <v>0</v>
      </c>
      <c r="I708" t="n">
        <v>0</v>
      </c>
      <c r="J708" t="n">
        <v>0</v>
      </c>
      <c r="K708" t="n">
        <v>0</v>
      </c>
      <c r="L708" t="n">
        <v>0</v>
      </c>
      <c r="M708" t="n">
        <v>0</v>
      </c>
      <c r="N708" t="n">
        <v>0</v>
      </c>
      <c r="O708" t="n">
        <v>0</v>
      </c>
      <c r="P708" t="n">
        <v>0</v>
      </c>
      <c r="Q708" t="n">
        <v>0</v>
      </c>
      <c r="R708" s="2" t="inlineStr"/>
    </row>
    <row r="709" ht="15" customHeight="1">
      <c r="A709" t="inlineStr">
        <is>
          <t>A 18982-2021</t>
        </is>
      </c>
      <c r="B709" s="1" t="n">
        <v>44308</v>
      </c>
      <c r="C709" s="1" t="n">
        <v>46098</v>
      </c>
      <c r="D709" t="inlineStr">
        <is>
          <t>UPPSALA LÄN</t>
        </is>
      </c>
      <c r="E709" t="inlineStr">
        <is>
          <t>HEBY</t>
        </is>
      </c>
      <c r="F709" t="inlineStr">
        <is>
          <t>Kommuner</t>
        </is>
      </c>
      <c r="G709" t="n">
        <v>3.4</v>
      </c>
      <c r="H709" t="n">
        <v>0</v>
      </c>
      <c r="I709" t="n">
        <v>0</v>
      </c>
      <c r="J709" t="n">
        <v>0</v>
      </c>
      <c r="K709" t="n">
        <v>0</v>
      </c>
      <c r="L709" t="n">
        <v>0</v>
      </c>
      <c r="M709" t="n">
        <v>0</v>
      </c>
      <c r="N709" t="n">
        <v>0</v>
      </c>
      <c r="O709" t="n">
        <v>0</v>
      </c>
      <c r="P709" t="n">
        <v>0</v>
      </c>
      <c r="Q709" t="n">
        <v>0</v>
      </c>
      <c r="R709" s="2" t="inlineStr"/>
    </row>
    <row r="710" ht="15" customHeight="1">
      <c r="A710" t="inlineStr">
        <is>
          <t>A 37410-2022</t>
        </is>
      </c>
      <c r="B710" s="1" t="n">
        <v>44809</v>
      </c>
      <c r="C710" s="1" t="n">
        <v>46098</v>
      </c>
      <c r="D710" t="inlineStr">
        <is>
          <t>UPPSALA LÄN</t>
        </is>
      </c>
      <c r="E710" t="inlineStr">
        <is>
          <t>ENKÖPING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27365-2021</t>
        </is>
      </c>
      <c r="B711" s="1" t="n">
        <v>44351</v>
      </c>
      <c r="C711" s="1" t="n">
        <v>46098</v>
      </c>
      <c r="D711" t="inlineStr">
        <is>
          <t>UPPSALA LÄN</t>
        </is>
      </c>
      <c r="E711" t="inlineStr">
        <is>
          <t>UPPSALA</t>
        </is>
      </c>
      <c r="F711" t="inlineStr">
        <is>
          <t>Allmännings- och besparingsskogar</t>
        </is>
      </c>
      <c r="G711" t="n">
        <v>20.5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46098</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46098</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36085-2021</t>
        </is>
      </c>
      <c r="B714" s="1" t="n">
        <v>44389</v>
      </c>
      <c r="C714" s="1" t="n">
        <v>46098</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35232-2021</t>
        </is>
      </c>
      <c r="B715" s="1" t="n">
        <v>44384</v>
      </c>
      <c r="C715" s="1" t="n">
        <v>46098</v>
      </c>
      <c r="D715" t="inlineStr">
        <is>
          <t>UPPSALA LÄN</t>
        </is>
      </c>
      <c r="E715" t="inlineStr">
        <is>
          <t>KNIVSTA</t>
        </is>
      </c>
      <c r="G715" t="n">
        <v>1.1</v>
      </c>
      <c r="H715" t="n">
        <v>0</v>
      </c>
      <c r="I715" t="n">
        <v>0</v>
      </c>
      <c r="J715" t="n">
        <v>0</v>
      </c>
      <c r="K715" t="n">
        <v>0</v>
      </c>
      <c r="L715" t="n">
        <v>0</v>
      </c>
      <c r="M715" t="n">
        <v>0</v>
      </c>
      <c r="N715" t="n">
        <v>0</v>
      </c>
      <c r="O715" t="n">
        <v>0</v>
      </c>
      <c r="P715" t="n">
        <v>0</v>
      </c>
      <c r="Q715" t="n">
        <v>0</v>
      </c>
      <c r="R715" s="2" t="inlineStr"/>
    </row>
    <row r="716" ht="15" customHeight="1">
      <c r="A716" t="inlineStr">
        <is>
          <t>A 1979-2022</t>
        </is>
      </c>
      <c r="B716" s="1" t="n">
        <v>44575</v>
      </c>
      <c r="C716" s="1" t="n">
        <v>46098</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40773-2022</t>
        </is>
      </c>
      <c r="B717" s="1" t="n">
        <v>44824.61237268519</v>
      </c>
      <c r="C717" s="1" t="n">
        <v>46098</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46098</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46098</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46098</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46098</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62451-2021</t>
        </is>
      </c>
      <c r="B722" s="1" t="n">
        <v>44509</v>
      </c>
      <c r="C722" s="1" t="n">
        <v>46098</v>
      </c>
      <c r="D722" t="inlineStr">
        <is>
          <t>UPPSALA LÄN</t>
        </is>
      </c>
      <c r="E722" t="inlineStr">
        <is>
          <t>KNIVSTA</t>
        </is>
      </c>
      <c r="G722" t="n">
        <v>2.5</v>
      </c>
      <c r="H722" t="n">
        <v>0</v>
      </c>
      <c r="I722" t="n">
        <v>0</v>
      </c>
      <c r="J722" t="n">
        <v>0</v>
      </c>
      <c r="K722" t="n">
        <v>0</v>
      </c>
      <c r="L722" t="n">
        <v>0</v>
      </c>
      <c r="M722" t="n">
        <v>0</v>
      </c>
      <c r="N722" t="n">
        <v>0</v>
      </c>
      <c r="O722" t="n">
        <v>0</v>
      </c>
      <c r="P722" t="n">
        <v>0</v>
      </c>
      <c r="Q722" t="n">
        <v>0</v>
      </c>
      <c r="R722" s="2" t="inlineStr"/>
    </row>
    <row r="723" ht="15" customHeight="1">
      <c r="A723" t="inlineStr">
        <is>
          <t>A 7996-2022</t>
        </is>
      </c>
      <c r="B723" s="1" t="n">
        <v>44609</v>
      </c>
      <c r="C723" s="1" t="n">
        <v>46098</v>
      </c>
      <c r="D723" t="inlineStr">
        <is>
          <t>UPPSALA LÄN</t>
        </is>
      </c>
      <c r="E723" t="inlineStr">
        <is>
          <t>UPPSALA</t>
        </is>
      </c>
      <c r="F723" t="inlineStr">
        <is>
          <t>Övriga Aktiebolag</t>
        </is>
      </c>
      <c r="G723" t="n">
        <v>2.9</v>
      </c>
      <c r="H723" t="n">
        <v>0</v>
      </c>
      <c r="I723" t="n">
        <v>0</v>
      </c>
      <c r="J723" t="n">
        <v>0</v>
      </c>
      <c r="K723" t="n">
        <v>0</v>
      </c>
      <c r="L723" t="n">
        <v>0</v>
      </c>
      <c r="M723" t="n">
        <v>0</v>
      </c>
      <c r="N723" t="n">
        <v>0</v>
      </c>
      <c r="O723" t="n">
        <v>0</v>
      </c>
      <c r="P723" t="n">
        <v>0</v>
      </c>
      <c r="Q723" t="n">
        <v>0</v>
      </c>
      <c r="R723" s="2" t="inlineStr"/>
    </row>
    <row r="724" ht="15" customHeight="1">
      <c r="A724" t="inlineStr">
        <is>
          <t>A 59241-2021</t>
        </is>
      </c>
      <c r="B724" s="1" t="n">
        <v>44490.64313657407</v>
      </c>
      <c r="C724" s="1" t="n">
        <v>46098</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14839-2021</t>
        </is>
      </c>
      <c r="B725" s="1" t="n">
        <v>44280</v>
      </c>
      <c r="C725" s="1" t="n">
        <v>46098</v>
      </c>
      <c r="D725" t="inlineStr">
        <is>
          <t>UPPSALA LÄN</t>
        </is>
      </c>
      <c r="E725" t="inlineStr">
        <is>
          <t>ENKÖPING</t>
        </is>
      </c>
      <c r="G725" t="n">
        <v>11.4</v>
      </c>
      <c r="H725" t="n">
        <v>0</v>
      </c>
      <c r="I725" t="n">
        <v>0</v>
      </c>
      <c r="J725" t="n">
        <v>0</v>
      </c>
      <c r="K725" t="n">
        <v>0</v>
      </c>
      <c r="L725" t="n">
        <v>0</v>
      </c>
      <c r="M725" t="n">
        <v>0</v>
      </c>
      <c r="N725" t="n">
        <v>0</v>
      </c>
      <c r="O725" t="n">
        <v>0</v>
      </c>
      <c r="P725" t="n">
        <v>0</v>
      </c>
      <c r="Q725" t="n">
        <v>0</v>
      </c>
      <c r="R725" s="2" t="inlineStr"/>
    </row>
    <row r="726" ht="15" customHeight="1">
      <c r="A726" t="inlineStr">
        <is>
          <t>A 14843-2021</t>
        </is>
      </c>
      <c r="B726" s="1" t="n">
        <v>44280</v>
      </c>
      <c r="C726" s="1" t="n">
        <v>46098</v>
      </c>
      <c r="D726" t="inlineStr">
        <is>
          <t>UPPSALA LÄN</t>
        </is>
      </c>
      <c r="E726" t="inlineStr">
        <is>
          <t>HEBY</t>
        </is>
      </c>
      <c r="G726" t="n">
        <v>2.5</v>
      </c>
      <c r="H726" t="n">
        <v>0</v>
      </c>
      <c r="I726" t="n">
        <v>0</v>
      </c>
      <c r="J726" t="n">
        <v>0</v>
      </c>
      <c r="K726" t="n">
        <v>0</v>
      </c>
      <c r="L726" t="n">
        <v>0</v>
      </c>
      <c r="M726" t="n">
        <v>0</v>
      </c>
      <c r="N726" t="n">
        <v>0</v>
      </c>
      <c r="O726" t="n">
        <v>0</v>
      </c>
      <c r="P726" t="n">
        <v>0</v>
      </c>
      <c r="Q726" t="n">
        <v>0</v>
      </c>
      <c r="R726" s="2" t="inlineStr"/>
    </row>
    <row r="727" ht="15" customHeight="1">
      <c r="A727" t="inlineStr">
        <is>
          <t>A 65814-2021</t>
        </is>
      </c>
      <c r="B727" s="1" t="n">
        <v>44517</v>
      </c>
      <c r="C727" s="1" t="n">
        <v>46098</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14941-2021</t>
        </is>
      </c>
      <c r="B728" s="1" t="n">
        <v>44281.4499537037</v>
      </c>
      <c r="C728" s="1" t="n">
        <v>46098</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46098</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46098</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46098</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46098</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48759-2021</t>
        </is>
      </c>
      <c r="B733" s="1" t="n">
        <v>44452.63615740741</v>
      </c>
      <c r="C733" s="1" t="n">
        <v>46098</v>
      </c>
      <c r="D733" t="inlineStr">
        <is>
          <t>UPPSALA LÄN</t>
        </is>
      </c>
      <c r="E733" t="inlineStr">
        <is>
          <t>HEBY</t>
        </is>
      </c>
      <c r="G733" t="n">
        <v>2</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46098</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28795-2021</t>
        </is>
      </c>
      <c r="B735" s="1" t="n">
        <v>44357</v>
      </c>
      <c r="C735" s="1" t="n">
        <v>46098</v>
      </c>
      <c r="D735" t="inlineStr">
        <is>
          <t>UPPSALA LÄN</t>
        </is>
      </c>
      <c r="E735" t="inlineStr">
        <is>
          <t>ENKÖPING</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23255-2021</t>
        </is>
      </c>
      <c r="B736" s="1" t="n">
        <v>44333</v>
      </c>
      <c r="C736" s="1" t="n">
        <v>46098</v>
      </c>
      <c r="D736" t="inlineStr">
        <is>
          <t>UPPSALA LÄN</t>
        </is>
      </c>
      <c r="E736" t="inlineStr">
        <is>
          <t>HEBY</t>
        </is>
      </c>
      <c r="G736" t="n">
        <v>3.5</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46098</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15997-2021</t>
        </is>
      </c>
      <c r="B738" s="1" t="n">
        <v>44287</v>
      </c>
      <c r="C738" s="1" t="n">
        <v>46098</v>
      </c>
      <c r="D738" t="inlineStr">
        <is>
          <t>UPPSALA LÄN</t>
        </is>
      </c>
      <c r="E738" t="inlineStr">
        <is>
          <t>ENKÖPING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46098</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46098</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65626-2021</t>
        </is>
      </c>
      <c r="B741" s="1" t="n">
        <v>44516.55341435185</v>
      </c>
      <c r="C741" s="1" t="n">
        <v>46098</v>
      </c>
      <c r="D741" t="inlineStr">
        <is>
          <t>UPPSALA LÄN</t>
        </is>
      </c>
      <c r="E741" t="inlineStr">
        <is>
          <t>HEBY</t>
        </is>
      </c>
      <c r="G741" t="n">
        <v>1.1</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46098</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46098</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46098</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46098</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46098</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29231-2021</t>
        </is>
      </c>
      <c r="B747" s="1" t="n">
        <v>44360</v>
      </c>
      <c r="C747" s="1" t="n">
        <v>46098</v>
      </c>
      <c r="D747" t="inlineStr">
        <is>
          <t>UPPSALA LÄN</t>
        </is>
      </c>
      <c r="E747" t="inlineStr">
        <is>
          <t>HEBY</t>
        </is>
      </c>
      <c r="G747" t="n">
        <v>1.3</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46098</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46098</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46098</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46098</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46098</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17262-2021</t>
        </is>
      </c>
      <c r="B753" s="1" t="n">
        <v>44297</v>
      </c>
      <c r="C753" s="1" t="n">
        <v>46098</v>
      </c>
      <c r="D753" t="inlineStr">
        <is>
          <t>UPPSALA LÄN</t>
        </is>
      </c>
      <c r="E753" t="inlineStr">
        <is>
          <t>UPPSALA</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68107-2021</t>
        </is>
      </c>
      <c r="B754" s="1" t="n">
        <v>44526</v>
      </c>
      <c r="C754" s="1" t="n">
        <v>46098</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24276-2021</t>
        </is>
      </c>
      <c r="B755" s="1" t="n">
        <v>44337</v>
      </c>
      <c r="C755" s="1" t="n">
        <v>46098</v>
      </c>
      <c r="D755" t="inlineStr">
        <is>
          <t>UPPSALA LÄN</t>
        </is>
      </c>
      <c r="E755" t="inlineStr">
        <is>
          <t>TIERP</t>
        </is>
      </c>
      <c r="F755" t="inlineStr">
        <is>
          <t>Bergvik skog väst AB</t>
        </is>
      </c>
      <c r="G755" t="n">
        <v>0.6</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46098</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21387-2022</t>
        </is>
      </c>
      <c r="B757" s="1" t="n">
        <v>44705.78475694444</v>
      </c>
      <c r="C757" s="1" t="n">
        <v>46098</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21391-2022</t>
        </is>
      </c>
      <c r="B758" s="1" t="n">
        <v>44705.83326388889</v>
      </c>
      <c r="C758" s="1" t="n">
        <v>46098</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43469-2021</t>
        </is>
      </c>
      <c r="B759" s="1" t="n">
        <v>44432</v>
      </c>
      <c r="C759" s="1" t="n">
        <v>46098</v>
      </c>
      <c r="D759" t="inlineStr">
        <is>
          <t>UPPSALA LÄN</t>
        </is>
      </c>
      <c r="E759" t="inlineStr">
        <is>
          <t>ÖSTHAMMAR</t>
        </is>
      </c>
      <c r="G759" t="n">
        <v>3.9</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46098</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69791-2021</t>
        </is>
      </c>
      <c r="B761" s="1" t="n">
        <v>44532</v>
      </c>
      <c r="C761" s="1" t="n">
        <v>46098</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49375-2021</t>
        </is>
      </c>
      <c r="B762" s="1" t="n">
        <v>44454</v>
      </c>
      <c r="C762" s="1" t="n">
        <v>46098</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49914-2022</t>
        </is>
      </c>
      <c r="B763" s="1" t="n">
        <v>44865</v>
      </c>
      <c r="C763" s="1" t="n">
        <v>46098</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46098</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46098</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46098</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47414-2022</t>
        </is>
      </c>
      <c r="B767" s="1" t="n">
        <v>44853.5450462963</v>
      </c>
      <c r="C767" s="1" t="n">
        <v>46098</v>
      </c>
      <c r="D767" t="inlineStr">
        <is>
          <t>UPPSALA LÄN</t>
        </is>
      </c>
      <c r="E767" t="inlineStr">
        <is>
          <t>TIERP</t>
        </is>
      </c>
      <c r="G767" t="n">
        <v>5.3</v>
      </c>
      <c r="H767" t="n">
        <v>0</v>
      </c>
      <c r="I767" t="n">
        <v>0</v>
      </c>
      <c r="J767" t="n">
        <v>0</v>
      </c>
      <c r="K767" t="n">
        <v>0</v>
      </c>
      <c r="L767" t="n">
        <v>0</v>
      </c>
      <c r="M767" t="n">
        <v>0</v>
      </c>
      <c r="N767" t="n">
        <v>0</v>
      </c>
      <c r="O767" t="n">
        <v>0</v>
      </c>
      <c r="P767" t="n">
        <v>0</v>
      </c>
      <c r="Q767" t="n">
        <v>0</v>
      </c>
      <c r="R767" s="2" t="inlineStr"/>
    </row>
    <row r="768" ht="15" customHeight="1">
      <c r="A768" t="inlineStr">
        <is>
          <t>A 49053-2021</t>
        </is>
      </c>
      <c r="B768" s="1" t="n">
        <v>44453</v>
      </c>
      <c r="C768" s="1" t="n">
        <v>46098</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46098</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47652-2021</t>
        </is>
      </c>
      <c r="B770" s="1" t="n">
        <v>44448</v>
      </c>
      <c r="C770" s="1" t="n">
        <v>46098</v>
      </c>
      <c r="D770" t="inlineStr">
        <is>
          <t>UPPSALA LÄN</t>
        </is>
      </c>
      <c r="E770" t="inlineStr">
        <is>
          <t>KNIVSTA</t>
        </is>
      </c>
      <c r="G770" t="n">
        <v>2.7</v>
      </c>
      <c r="H770" t="n">
        <v>0</v>
      </c>
      <c r="I770" t="n">
        <v>0</v>
      </c>
      <c r="J770" t="n">
        <v>0</v>
      </c>
      <c r="K770" t="n">
        <v>0</v>
      </c>
      <c r="L770" t="n">
        <v>0</v>
      </c>
      <c r="M770" t="n">
        <v>0</v>
      </c>
      <c r="N770" t="n">
        <v>0</v>
      </c>
      <c r="O770" t="n">
        <v>0</v>
      </c>
      <c r="P770" t="n">
        <v>0</v>
      </c>
      <c r="Q770" t="n">
        <v>0</v>
      </c>
      <c r="R770" s="2" t="inlineStr"/>
    </row>
    <row r="771" ht="15" customHeight="1">
      <c r="A771" t="inlineStr">
        <is>
          <t>A 47654-2021</t>
        </is>
      </c>
      <c r="B771" s="1" t="n">
        <v>44448</v>
      </c>
      <c r="C771" s="1" t="n">
        <v>46098</v>
      </c>
      <c r="D771" t="inlineStr">
        <is>
          <t>UPPSALA LÄN</t>
        </is>
      </c>
      <c r="E771" t="inlineStr">
        <is>
          <t>KNIVSTA</t>
        </is>
      </c>
      <c r="G771" t="n">
        <v>1.5</v>
      </c>
      <c r="H771" t="n">
        <v>0</v>
      </c>
      <c r="I771" t="n">
        <v>0</v>
      </c>
      <c r="J771" t="n">
        <v>0</v>
      </c>
      <c r="K771" t="n">
        <v>0</v>
      </c>
      <c r="L771" t="n">
        <v>0</v>
      </c>
      <c r="M771" t="n">
        <v>0</v>
      </c>
      <c r="N771" t="n">
        <v>0</v>
      </c>
      <c r="O771" t="n">
        <v>0</v>
      </c>
      <c r="P771" t="n">
        <v>0</v>
      </c>
      <c r="Q771" t="n">
        <v>0</v>
      </c>
      <c r="R771" s="2" t="inlineStr"/>
    </row>
    <row r="772" ht="15" customHeight="1">
      <c r="A772" t="inlineStr">
        <is>
          <t>A 15845-2022</t>
        </is>
      </c>
      <c r="B772" s="1" t="n">
        <v>44664</v>
      </c>
      <c r="C772" s="1" t="n">
        <v>46098</v>
      </c>
      <c r="D772" t="inlineStr">
        <is>
          <t>UPPSALA LÄN</t>
        </is>
      </c>
      <c r="E772" t="inlineStr">
        <is>
          <t>ÖSTHAMMAR</t>
        </is>
      </c>
      <c r="G772" t="n">
        <v>4.5</v>
      </c>
      <c r="H772" t="n">
        <v>0</v>
      </c>
      <c r="I772" t="n">
        <v>0</v>
      </c>
      <c r="J772" t="n">
        <v>0</v>
      </c>
      <c r="K772" t="n">
        <v>0</v>
      </c>
      <c r="L772" t="n">
        <v>0</v>
      </c>
      <c r="M772" t="n">
        <v>0</v>
      </c>
      <c r="N772" t="n">
        <v>0</v>
      </c>
      <c r="O772" t="n">
        <v>0</v>
      </c>
      <c r="P772" t="n">
        <v>0</v>
      </c>
      <c r="Q772" t="n">
        <v>0</v>
      </c>
      <c r="R772" s="2" t="inlineStr"/>
    </row>
    <row r="773" ht="15" customHeight="1">
      <c r="A773" t="inlineStr">
        <is>
          <t>A 60874-2021</t>
        </is>
      </c>
      <c r="B773" s="1" t="n">
        <v>44497</v>
      </c>
      <c r="C773" s="1" t="n">
        <v>46098</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22216-2022</t>
        </is>
      </c>
      <c r="B774" s="1" t="n">
        <v>44712</v>
      </c>
      <c r="C774" s="1" t="n">
        <v>46098</v>
      </c>
      <c r="D774" t="inlineStr">
        <is>
          <t>UPPSALA LÄN</t>
        </is>
      </c>
      <c r="E774" t="inlineStr">
        <is>
          <t>HEBY</t>
        </is>
      </c>
      <c r="G774" t="n">
        <v>5</v>
      </c>
      <c r="H774" t="n">
        <v>0</v>
      </c>
      <c r="I774" t="n">
        <v>0</v>
      </c>
      <c r="J774" t="n">
        <v>0</v>
      </c>
      <c r="K774" t="n">
        <v>0</v>
      </c>
      <c r="L774" t="n">
        <v>0</v>
      </c>
      <c r="M774" t="n">
        <v>0</v>
      </c>
      <c r="N774" t="n">
        <v>0</v>
      </c>
      <c r="O774" t="n">
        <v>0</v>
      </c>
      <c r="P774" t="n">
        <v>0</v>
      </c>
      <c r="Q774" t="n">
        <v>0</v>
      </c>
      <c r="R774" s="2" t="inlineStr"/>
    </row>
    <row r="775" ht="15" customHeight="1">
      <c r="A775" t="inlineStr">
        <is>
          <t>A 27295-2021</t>
        </is>
      </c>
      <c r="B775" s="1" t="n">
        <v>44351.32269675926</v>
      </c>
      <c r="C775" s="1" t="n">
        <v>46098</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48575-2022</t>
        </is>
      </c>
      <c r="B776" s="1" t="n">
        <v>44859</v>
      </c>
      <c r="C776" s="1" t="n">
        <v>46098</v>
      </c>
      <c r="D776" t="inlineStr">
        <is>
          <t>UPPSALA LÄN</t>
        </is>
      </c>
      <c r="E776" t="inlineStr">
        <is>
          <t>TIERP</t>
        </is>
      </c>
      <c r="G776" t="n">
        <v>0.9</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46098</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46098</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34838-2021</t>
        </is>
      </c>
      <c r="B779" s="1" t="n">
        <v>44383</v>
      </c>
      <c r="C779" s="1" t="n">
        <v>46098</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51821-2021</t>
        </is>
      </c>
      <c r="B780" s="1" t="n">
        <v>44461</v>
      </c>
      <c r="C780" s="1" t="n">
        <v>46098</v>
      </c>
      <c r="D780" t="inlineStr">
        <is>
          <t>UPPSALA LÄN</t>
        </is>
      </c>
      <c r="E780" t="inlineStr">
        <is>
          <t>UPPSALA</t>
        </is>
      </c>
      <c r="F780" t="inlineStr">
        <is>
          <t>Övriga Aktiebolag</t>
        </is>
      </c>
      <c r="G780" t="n">
        <v>5.3</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46098</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46098</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46098</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46098</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46098</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46098</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45849-2022</t>
        </is>
      </c>
      <c r="B787" s="1" t="n">
        <v>44846</v>
      </c>
      <c r="C787" s="1" t="n">
        <v>46098</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46098</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27860-2022</t>
        </is>
      </c>
      <c r="B789" s="1" t="n">
        <v>44743</v>
      </c>
      <c r="C789" s="1" t="n">
        <v>46098</v>
      </c>
      <c r="D789" t="inlineStr">
        <is>
          <t>UPPSALA LÄN</t>
        </is>
      </c>
      <c r="E789" t="inlineStr">
        <is>
          <t>TIERP</t>
        </is>
      </c>
      <c r="G789" t="n">
        <v>5.6</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46098</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73238-2021</t>
        </is>
      </c>
      <c r="B791" s="1" t="n">
        <v>44550</v>
      </c>
      <c r="C791" s="1" t="n">
        <v>46098</v>
      </c>
      <c r="D791" t="inlineStr">
        <is>
          <t>UPPSALA LÄN</t>
        </is>
      </c>
      <c r="E791" t="inlineStr">
        <is>
          <t>HEBY</t>
        </is>
      </c>
      <c r="G791" t="n">
        <v>4.5</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46098</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46098</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46098</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46098</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59500-2021</t>
        </is>
      </c>
      <c r="B796" s="1" t="n">
        <v>44491.54116898148</v>
      </c>
      <c r="C796" s="1" t="n">
        <v>46098</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55823-2021</t>
        </is>
      </c>
      <c r="B797" s="1" t="n">
        <v>44476.61263888889</v>
      </c>
      <c r="C797" s="1" t="n">
        <v>46098</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46079-2022</t>
        </is>
      </c>
      <c r="B798" s="1" t="n">
        <v>44847.35622685185</v>
      </c>
      <c r="C798" s="1" t="n">
        <v>46098</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41558-2021</t>
        </is>
      </c>
      <c r="B799" s="1" t="n">
        <v>44425.37835648148</v>
      </c>
      <c r="C799" s="1" t="n">
        <v>46098</v>
      </c>
      <c r="D799" t="inlineStr">
        <is>
          <t>UPPSALA LÄN</t>
        </is>
      </c>
      <c r="E799" t="inlineStr">
        <is>
          <t>ÖSTHAMMAR</t>
        </is>
      </c>
      <c r="F799" t="inlineStr">
        <is>
          <t>Bergvik skog öst AB</t>
        </is>
      </c>
      <c r="G799" t="n">
        <v>1.4</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46098</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46098</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46098</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46098</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46098</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46098</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46098</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52295-2022</t>
        </is>
      </c>
      <c r="B807" s="1" t="n">
        <v>44873.67842592593</v>
      </c>
      <c r="C807" s="1" t="n">
        <v>46098</v>
      </c>
      <c r="D807" t="inlineStr">
        <is>
          <t>UPPSALA LÄN</t>
        </is>
      </c>
      <c r="E807" t="inlineStr">
        <is>
          <t>ÖSTHAMMAR</t>
        </is>
      </c>
      <c r="G807" t="n">
        <v>0.4</v>
      </c>
      <c r="H807" t="n">
        <v>0</v>
      </c>
      <c r="I807" t="n">
        <v>0</v>
      </c>
      <c r="J807" t="n">
        <v>0</v>
      </c>
      <c r="K807" t="n">
        <v>0</v>
      </c>
      <c r="L807" t="n">
        <v>0</v>
      </c>
      <c r="M807" t="n">
        <v>0</v>
      </c>
      <c r="N807" t="n">
        <v>0</v>
      </c>
      <c r="O807" t="n">
        <v>0</v>
      </c>
      <c r="P807" t="n">
        <v>0</v>
      </c>
      <c r="Q807" t="n">
        <v>0</v>
      </c>
      <c r="R807" s="2" t="inlineStr"/>
    </row>
    <row r="808" ht="15" customHeight="1">
      <c r="A808" t="inlineStr">
        <is>
          <t>A 61560-2021</t>
        </is>
      </c>
      <c r="B808" s="1" t="n">
        <v>44501.42905092592</v>
      </c>
      <c r="C808" s="1" t="n">
        <v>46098</v>
      </c>
      <c r="D808" t="inlineStr">
        <is>
          <t>UPPSALA LÄN</t>
        </is>
      </c>
      <c r="E808" t="inlineStr">
        <is>
          <t>ÖSTHAMMAR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36282-2022</t>
        </is>
      </c>
      <c r="B809" s="1" t="n">
        <v>44803</v>
      </c>
      <c r="C809" s="1" t="n">
        <v>46098</v>
      </c>
      <c r="D809" t="inlineStr">
        <is>
          <t>UPPSALA LÄN</t>
        </is>
      </c>
      <c r="E809" t="inlineStr">
        <is>
          <t>ÄLVKARLEBY</t>
        </is>
      </c>
      <c r="G809" t="n">
        <v>0.1</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46098</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46098</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46098</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46098</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46098</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42029-2021</t>
        </is>
      </c>
      <c r="B815" s="1" t="n">
        <v>44426</v>
      </c>
      <c r="C815" s="1" t="n">
        <v>46098</v>
      </c>
      <c r="D815" t="inlineStr">
        <is>
          <t>UPPSALA LÄN</t>
        </is>
      </c>
      <c r="E815" t="inlineStr">
        <is>
          <t>ENKÖPING</t>
        </is>
      </c>
      <c r="G815" t="n">
        <v>5.3</v>
      </c>
      <c r="H815" t="n">
        <v>0</v>
      </c>
      <c r="I815" t="n">
        <v>0</v>
      </c>
      <c r="J815" t="n">
        <v>0</v>
      </c>
      <c r="K815" t="n">
        <v>0</v>
      </c>
      <c r="L815" t="n">
        <v>0</v>
      </c>
      <c r="M815" t="n">
        <v>0</v>
      </c>
      <c r="N815" t="n">
        <v>0</v>
      </c>
      <c r="O815" t="n">
        <v>0</v>
      </c>
      <c r="P815" t="n">
        <v>0</v>
      </c>
      <c r="Q815" t="n">
        <v>0</v>
      </c>
      <c r="R815" s="2" t="inlineStr"/>
    </row>
    <row r="816" ht="15" customHeight="1">
      <c r="A816" t="inlineStr">
        <is>
          <t>A 39838-2021</t>
        </is>
      </c>
      <c r="B816" s="1" t="n">
        <v>44417</v>
      </c>
      <c r="C816" s="1" t="n">
        <v>46098</v>
      </c>
      <c r="D816" t="inlineStr">
        <is>
          <t>UPPSALA LÄN</t>
        </is>
      </c>
      <c r="E816" t="inlineStr">
        <is>
          <t>TIERP</t>
        </is>
      </c>
      <c r="G816" t="n">
        <v>0.6</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46098</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46098</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46098</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2814-2022</t>
        </is>
      </c>
      <c r="B820" s="1" t="n">
        <v>44581</v>
      </c>
      <c r="C820" s="1" t="n">
        <v>46098</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46098</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46098</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16043-2021</t>
        </is>
      </c>
      <c r="B823" s="1" t="n">
        <v>44287</v>
      </c>
      <c r="C823" s="1" t="n">
        <v>46098</v>
      </c>
      <c r="D823" t="inlineStr">
        <is>
          <t>UPPSALA LÄN</t>
        </is>
      </c>
      <c r="E823" t="inlineStr">
        <is>
          <t>HEBY</t>
        </is>
      </c>
      <c r="G823" t="n">
        <v>0.1</v>
      </c>
      <c r="H823" t="n">
        <v>0</v>
      </c>
      <c r="I823" t="n">
        <v>0</v>
      </c>
      <c r="J823" t="n">
        <v>0</v>
      </c>
      <c r="K823" t="n">
        <v>0</v>
      </c>
      <c r="L823" t="n">
        <v>0</v>
      </c>
      <c r="M823" t="n">
        <v>0</v>
      </c>
      <c r="N823" t="n">
        <v>0</v>
      </c>
      <c r="O823" t="n">
        <v>0</v>
      </c>
      <c r="P823" t="n">
        <v>0</v>
      </c>
      <c r="Q823" t="n">
        <v>0</v>
      </c>
      <c r="R823" s="2" t="inlineStr"/>
    </row>
    <row r="824" ht="15" customHeight="1">
      <c r="A824" t="inlineStr">
        <is>
          <t>A 37813-2022</t>
        </is>
      </c>
      <c r="B824" s="1" t="n">
        <v>44810</v>
      </c>
      <c r="C824" s="1" t="n">
        <v>46098</v>
      </c>
      <c r="D824" t="inlineStr">
        <is>
          <t>UPPSALA LÄN</t>
        </is>
      </c>
      <c r="E824" t="inlineStr">
        <is>
          <t>ÖSTHAMMAR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22946-2021</t>
        </is>
      </c>
      <c r="B825" s="1" t="n">
        <v>44328.57100694445</v>
      </c>
      <c r="C825" s="1" t="n">
        <v>46098</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1936-2022</t>
        </is>
      </c>
      <c r="B826" s="1" t="n">
        <v>44575.4366087963</v>
      </c>
      <c r="C826" s="1" t="n">
        <v>46098</v>
      </c>
      <c r="D826" t="inlineStr">
        <is>
          <t>UPPSALA LÄN</t>
        </is>
      </c>
      <c r="E826" t="inlineStr">
        <is>
          <t>UPPSALA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1971-2022</t>
        </is>
      </c>
      <c r="B827" s="1" t="n">
        <v>44575</v>
      </c>
      <c r="C827" s="1" t="n">
        <v>46098</v>
      </c>
      <c r="D827" t="inlineStr">
        <is>
          <t>UPPSALA LÄN</t>
        </is>
      </c>
      <c r="E827" t="inlineStr">
        <is>
          <t>ENKÖPING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46098</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46098</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46098</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46098</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8762-2022</t>
        </is>
      </c>
      <c r="B832" s="1" t="n">
        <v>44614.36751157408</v>
      </c>
      <c r="C832" s="1" t="n">
        <v>46098</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46098</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46098</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46098</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46098</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46098</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46098</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46098</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46098</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11987-2022</t>
        </is>
      </c>
      <c r="B841" s="1" t="n">
        <v>44635.68695601852</v>
      </c>
      <c r="C841" s="1" t="n">
        <v>46098</v>
      </c>
      <c r="D841" t="inlineStr">
        <is>
          <t>UPPSALA LÄN</t>
        </is>
      </c>
      <c r="E841" t="inlineStr">
        <is>
          <t>ÖSTHAMMAR</t>
        </is>
      </c>
      <c r="F841" t="inlineStr">
        <is>
          <t>Bergvik skog öst AB</t>
        </is>
      </c>
      <c r="G841" t="n">
        <v>0.3</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46098</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46098</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46098</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46098</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46098</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46098</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46098</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72975-2021</t>
        </is>
      </c>
      <c r="B849" s="1" t="n">
        <v>44548</v>
      </c>
      <c r="C849" s="1" t="n">
        <v>46098</v>
      </c>
      <c r="D849" t="inlineStr">
        <is>
          <t>UPPSALA LÄN</t>
        </is>
      </c>
      <c r="E849" t="inlineStr">
        <is>
          <t>TIERP</t>
        </is>
      </c>
      <c r="G849" t="n">
        <v>1.3</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46098</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46098</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46098</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46098</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27533-2022</t>
        </is>
      </c>
      <c r="B854" s="1" t="n">
        <v>44742</v>
      </c>
      <c r="C854" s="1" t="n">
        <v>46098</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51050-2021</t>
        </is>
      </c>
      <c r="B855" s="1" t="n">
        <v>44459</v>
      </c>
      <c r="C855" s="1" t="n">
        <v>46098</v>
      </c>
      <c r="D855" t="inlineStr">
        <is>
          <t>UPPSALA LÄN</t>
        </is>
      </c>
      <c r="E855" t="inlineStr">
        <is>
          <t>UPPSALA</t>
        </is>
      </c>
      <c r="F855" t="inlineStr">
        <is>
          <t>Övriga Aktiebolag</t>
        </is>
      </c>
      <c r="G855" t="n">
        <v>7.5</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46098</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46098</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46098</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65964-2021</t>
        </is>
      </c>
      <c r="B859" s="1" t="n">
        <v>44517</v>
      </c>
      <c r="C859" s="1" t="n">
        <v>46098</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11693-2022</t>
        </is>
      </c>
      <c r="B860" s="1" t="n">
        <v>44634</v>
      </c>
      <c r="C860" s="1" t="n">
        <v>46098</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28620-2022</t>
        </is>
      </c>
      <c r="B861" s="1" t="n">
        <v>44748</v>
      </c>
      <c r="C861" s="1" t="n">
        <v>46098</v>
      </c>
      <c r="D861" t="inlineStr">
        <is>
          <t>UPPSALA LÄN</t>
        </is>
      </c>
      <c r="E861" t="inlineStr">
        <is>
          <t>HEBY</t>
        </is>
      </c>
      <c r="G861" t="n">
        <v>1</v>
      </c>
      <c r="H861" t="n">
        <v>0</v>
      </c>
      <c r="I861" t="n">
        <v>0</v>
      </c>
      <c r="J861" t="n">
        <v>0</v>
      </c>
      <c r="K861" t="n">
        <v>0</v>
      </c>
      <c r="L861" t="n">
        <v>0</v>
      </c>
      <c r="M861" t="n">
        <v>0</v>
      </c>
      <c r="N861" t="n">
        <v>0</v>
      </c>
      <c r="O861" t="n">
        <v>0</v>
      </c>
      <c r="P861" t="n">
        <v>0</v>
      </c>
      <c r="Q861" t="n">
        <v>0</v>
      </c>
      <c r="R861" s="2" t="inlineStr"/>
    </row>
    <row r="862" ht="15" customHeight="1">
      <c r="A862" t="inlineStr">
        <is>
          <t>A 55066-2022</t>
        </is>
      </c>
      <c r="B862" s="1" t="n">
        <v>44886.58890046296</v>
      </c>
      <c r="C862" s="1" t="n">
        <v>46098</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7871-2022</t>
        </is>
      </c>
      <c r="B863" s="1" t="n">
        <v>44608</v>
      </c>
      <c r="C863" s="1" t="n">
        <v>46098</v>
      </c>
      <c r="D863" t="inlineStr">
        <is>
          <t>UPPSALA LÄN</t>
        </is>
      </c>
      <c r="E863" t="inlineStr">
        <is>
          <t>ÖSTHAMMAR</t>
        </is>
      </c>
      <c r="G863" t="n">
        <v>1.1</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46098</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18736-2022</t>
        </is>
      </c>
      <c r="B865" s="1" t="n">
        <v>44687.87017361111</v>
      </c>
      <c r="C865" s="1" t="n">
        <v>46098</v>
      </c>
      <c r="D865" t="inlineStr">
        <is>
          <t>UPPSALA LÄN</t>
        </is>
      </c>
      <c r="E865" t="inlineStr">
        <is>
          <t>ÖSTHAMMAR</t>
        </is>
      </c>
      <c r="F865" t="inlineStr">
        <is>
          <t>Bergvik skog öst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18820-2022</t>
        </is>
      </c>
      <c r="B866" s="1" t="n">
        <v>44690.39451388889</v>
      </c>
      <c r="C866" s="1" t="n">
        <v>46098</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46098</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46098</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51906-2022</t>
        </is>
      </c>
      <c r="B869" s="1" t="n">
        <v>44872.62109953703</v>
      </c>
      <c r="C869" s="1" t="n">
        <v>46098</v>
      </c>
      <c r="D869" t="inlineStr">
        <is>
          <t>UPPSALA LÄN</t>
        </is>
      </c>
      <c r="E869" t="inlineStr">
        <is>
          <t>ÖSTHAMMAR</t>
        </is>
      </c>
      <c r="G869" t="n">
        <v>0.4</v>
      </c>
      <c r="H869" t="n">
        <v>0</v>
      </c>
      <c r="I869" t="n">
        <v>0</v>
      </c>
      <c r="J869" t="n">
        <v>0</v>
      </c>
      <c r="K869" t="n">
        <v>0</v>
      </c>
      <c r="L869" t="n">
        <v>0</v>
      </c>
      <c r="M869" t="n">
        <v>0</v>
      </c>
      <c r="N869" t="n">
        <v>0</v>
      </c>
      <c r="O869" t="n">
        <v>0</v>
      </c>
      <c r="P869" t="n">
        <v>0</v>
      </c>
      <c r="Q869" t="n">
        <v>0</v>
      </c>
      <c r="R869" s="2" t="inlineStr"/>
    </row>
    <row r="870" ht="15" customHeight="1">
      <c r="A870" t="inlineStr">
        <is>
          <t>A 14022-2021</t>
        </is>
      </c>
      <c r="B870" s="1" t="n">
        <v>44277.65263888889</v>
      </c>
      <c r="C870" s="1" t="n">
        <v>46098</v>
      </c>
      <c r="D870" t="inlineStr">
        <is>
          <t>UPPSALA LÄN</t>
        </is>
      </c>
      <c r="E870" t="inlineStr">
        <is>
          <t>UPPSALA</t>
        </is>
      </c>
      <c r="G870" t="n">
        <v>11.1</v>
      </c>
      <c r="H870" t="n">
        <v>0</v>
      </c>
      <c r="I870" t="n">
        <v>0</v>
      </c>
      <c r="J870" t="n">
        <v>0</v>
      </c>
      <c r="K870" t="n">
        <v>0</v>
      </c>
      <c r="L870" t="n">
        <v>0</v>
      </c>
      <c r="M870" t="n">
        <v>0</v>
      </c>
      <c r="N870" t="n">
        <v>0</v>
      </c>
      <c r="O870" t="n">
        <v>0</v>
      </c>
      <c r="P870" t="n">
        <v>0</v>
      </c>
      <c r="Q870" t="n">
        <v>0</v>
      </c>
      <c r="R870" s="2" t="inlineStr"/>
    </row>
    <row r="871" ht="15" customHeight="1">
      <c r="A871" t="inlineStr">
        <is>
          <t>A 24883-2022</t>
        </is>
      </c>
      <c r="B871" s="1" t="n">
        <v>44728</v>
      </c>
      <c r="C871" s="1" t="n">
        <v>46098</v>
      </c>
      <c r="D871" t="inlineStr">
        <is>
          <t>UPPSALA LÄN</t>
        </is>
      </c>
      <c r="E871" t="inlineStr">
        <is>
          <t>ENKÖPING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46098</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46098</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31283-2021</t>
        </is>
      </c>
      <c r="B874" s="1" t="n">
        <v>44368</v>
      </c>
      <c r="C874" s="1" t="n">
        <v>46098</v>
      </c>
      <c r="D874" t="inlineStr">
        <is>
          <t>UPPSALA LÄN</t>
        </is>
      </c>
      <c r="E874" t="inlineStr">
        <is>
          <t>HEBY</t>
        </is>
      </c>
      <c r="G874" t="n">
        <v>0.7</v>
      </c>
      <c r="H874" t="n">
        <v>0</v>
      </c>
      <c r="I874" t="n">
        <v>0</v>
      </c>
      <c r="J874" t="n">
        <v>0</v>
      </c>
      <c r="K874" t="n">
        <v>0</v>
      </c>
      <c r="L874" t="n">
        <v>0</v>
      </c>
      <c r="M874" t="n">
        <v>0</v>
      </c>
      <c r="N874" t="n">
        <v>0</v>
      </c>
      <c r="O874" t="n">
        <v>0</v>
      </c>
      <c r="P874" t="n">
        <v>0</v>
      </c>
      <c r="Q874" t="n">
        <v>0</v>
      </c>
      <c r="R874" s="2" t="inlineStr"/>
    </row>
    <row r="875" ht="15" customHeight="1">
      <c r="A875" t="inlineStr">
        <is>
          <t>A 50546-2021</t>
        </is>
      </c>
      <c r="B875" s="1" t="n">
        <v>44459</v>
      </c>
      <c r="C875" s="1" t="n">
        <v>46098</v>
      </c>
      <c r="D875" t="inlineStr">
        <is>
          <t>UPPSALA LÄN</t>
        </is>
      </c>
      <c r="E875" t="inlineStr">
        <is>
          <t>HEBY</t>
        </is>
      </c>
      <c r="G875" t="n">
        <v>4.9</v>
      </c>
      <c r="H875" t="n">
        <v>0</v>
      </c>
      <c r="I875" t="n">
        <v>0</v>
      </c>
      <c r="J875" t="n">
        <v>0</v>
      </c>
      <c r="K875" t="n">
        <v>0</v>
      </c>
      <c r="L875" t="n">
        <v>0</v>
      </c>
      <c r="M875" t="n">
        <v>0</v>
      </c>
      <c r="N875" t="n">
        <v>0</v>
      </c>
      <c r="O875" t="n">
        <v>0</v>
      </c>
      <c r="P875" t="n">
        <v>0</v>
      </c>
      <c r="Q875" t="n">
        <v>0</v>
      </c>
      <c r="R875" s="2" t="inlineStr"/>
    </row>
    <row r="876" ht="15" customHeight="1">
      <c r="A876" t="inlineStr">
        <is>
          <t>A 51396-2021</t>
        </is>
      </c>
      <c r="B876" s="1" t="n">
        <v>44461.73350694445</v>
      </c>
      <c r="C876" s="1" t="n">
        <v>46098</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50092-2022</t>
        </is>
      </c>
      <c r="B877" s="1" t="n">
        <v>44865</v>
      </c>
      <c r="C877" s="1" t="n">
        <v>46098</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31182-2022</t>
        </is>
      </c>
      <c r="B878" s="1" t="n">
        <v>44770</v>
      </c>
      <c r="C878" s="1" t="n">
        <v>46098</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13650-2022</t>
        </is>
      </c>
      <c r="B879" s="1" t="n">
        <v>44648.65048611111</v>
      </c>
      <c r="C879" s="1" t="n">
        <v>46098</v>
      </c>
      <c r="D879" t="inlineStr">
        <is>
          <t>UPPSALA LÄN</t>
        </is>
      </c>
      <c r="E879" t="inlineStr">
        <is>
          <t>TIERP</t>
        </is>
      </c>
      <c r="G879" t="n">
        <v>1.2</v>
      </c>
      <c r="H879" t="n">
        <v>0</v>
      </c>
      <c r="I879" t="n">
        <v>0</v>
      </c>
      <c r="J879" t="n">
        <v>0</v>
      </c>
      <c r="K879" t="n">
        <v>0</v>
      </c>
      <c r="L879" t="n">
        <v>0</v>
      </c>
      <c r="M879" t="n">
        <v>0</v>
      </c>
      <c r="N879" t="n">
        <v>0</v>
      </c>
      <c r="O879" t="n">
        <v>0</v>
      </c>
      <c r="P879" t="n">
        <v>0</v>
      </c>
      <c r="Q879" t="n">
        <v>0</v>
      </c>
      <c r="R879" s="2" t="inlineStr"/>
    </row>
    <row r="880" ht="15" customHeight="1">
      <c r="A880" t="inlineStr">
        <is>
          <t>A 13656-2022</t>
        </is>
      </c>
      <c r="B880" s="1" t="n">
        <v>44648.65753472222</v>
      </c>
      <c r="C880" s="1" t="n">
        <v>46098</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68127-2021</t>
        </is>
      </c>
      <c r="B881" s="1" t="n">
        <v>44526.39513888889</v>
      </c>
      <c r="C881" s="1" t="n">
        <v>46098</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5081-2022</t>
        </is>
      </c>
      <c r="B882" s="1" t="n">
        <v>44593</v>
      </c>
      <c r="C882" s="1" t="n">
        <v>46098</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26534-2022</t>
        </is>
      </c>
      <c r="B883" s="1" t="n">
        <v>44739</v>
      </c>
      <c r="C883" s="1" t="n">
        <v>46098</v>
      </c>
      <c r="D883" t="inlineStr">
        <is>
          <t>UPPSALA LÄN</t>
        </is>
      </c>
      <c r="E883" t="inlineStr">
        <is>
          <t>ÖSTHAMMAR</t>
        </is>
      </c>
      <c r="F883" t="inlineStr">
        <is>
          <t>Övriga statliga verk och myndigheter</t>
        </is>
      </c>
      <c r="G883" t="n">
        <v>0.6</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46098</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46098</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46098</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46098</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46098</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46098</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46098</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60032-2021</t>
        </is>
      </c>
      <c r="B891" s="1" t="n">
        <v>44495</v>
      </c>
      <c r="C891" s="1" t="n">
        <v>46098</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46098</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25203-2021</t>
        </is>
      </c>
      <c r="B893" s="1" t="n">
        <v>44342</v>
      </c>
      <c r="C893" s="1" t="n">
        <v>46098</v>
      </c>
      <c r="D893" t="inlineStr">
        <is>
          <t>UPPSALA LÄN</t>
        </is>
      </c>
      <c r="E893" t="inlineStr">
        <is>
          <t>HEBY</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46098</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46098</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46098</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46098</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46098</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46098</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17467-2022</t>
        </is>
      </c>
      <c r="B900" s="1" t="n">
        <v>44679</v>
      </c>
      <c r="C900" s="1" t="n">
        <v>46098</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18734-2022</t>
        </is>
      </c>
      <c r="B901" s="1" t="n">
        <v>44687.86751157408</v>
      </c>
      <c r="C901" s="1" t="n">
        <v>46098</v>
      </c>
      <c r="D901" t="inlineStr">
        <is>
          <t>UPPSALA LÄN</t>
        </is>
      </c>
      <c r="E901" t="inlineStr">
        <is>
          <t>ÖSTHAMMAR</t>
        </is>
      </c>
      <c r="F901" t="inlineStr">
        <is>
          <t>Bergvik skog öst AB</t>
        </is>
      </c>
      <c r="G901" t="n">
        <v>0.3</v>
      </c>
      <c r="H901" t="n">
        <v>0</v>
      </c>
      <c r="I901" t="n">
        <v>0</v>
      </c>
      <c r="J901" t="n">
        <v>0</v>
      </c>
      <c r="K901" t="n">
        <v>0</v>
      </c>
      <c r="L901" t="n">
        <v>0</v>
      </c>
      <c r="M901" t="n">
        <v>0</v>
      </c>
      <c r="N901" t="n">
        <v>0</v>
      </c>
      <c r="O901" t="n">
        <v>0</v>
      </c>
      <c r="P901" t="n">
        <v>0</v>
      </c>
      <c r="Q901" t="n">
        <v>0</v>
      </c>
      <c r="R901" s="2" t="inlineStr"/>
    </row>
    <row r="902" ht="15" customHeight="1">
      <c r="A902" t="inlineStr">
        <is>
          <t>A 13892-2022</t>
        </is>
      </c>
      <c r="B902" s="1" t="n">
        <v>44649</v>
      </c>
      <c r="C902" s="1" t="n">
        <v>46098</v>
      </c>
      <c r="D902" t="inlineStr">
        <is>
          <t>UPPSALA LÄN</t>
        </is>
      </c>
      <c r="E902" t="inlineStr">
        <is>
          <t>UPPSALA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46098</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46098</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46098</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46098</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46098</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29277-2022</t>
        </is>
      </c>
      <c r="B908" s="1" t="n">
        <v>44750.678125</v>
      </c>
      <c r="C908" s="1" t="n">
        <v>46098</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26789-2021</t>
        </is>
      </c>
      <c r="B909" s="1" t="n">
        <v>44349</v>
      </c>
      <c r="C909" s="1" t="n">
        <v>46098</v>
      </c>
      <c r="D909" t="inlineStr">
        <is>
          <t>UPPSALA LÄN</t>
        </is>
      </c>
      <c r="E909" t="inlineStr">
        <is>
          <t>HEBY</t>
        </is>
      </c>
      <c r="G909" t="n">
        <v>1.6</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46098</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46098</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60441-2021</t>
        </is>
      </c>
      <c r="B912" s="1" t="n">
        <v>44496</v>
      </c>
      <c r="C912" s="1" t="n">
        <v>46098</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16556-2022</t>
        </is>
      </c>
      <c r="B913" s="1" t="n">
        <v>44672.41855324074</v>
      </c>
      <c r="C913" s="1" t="n">
        <v>46098</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18330-2022</t>
        </is>
      </c>
      <c r="B914" s="1" t="n">
        <v>44685.6212037037</v>
      </c>
      <c r="C914" s="1" t="n">
        <v>46098</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59121-2021</t>
        </is>
      </c>
      <c r="B915" s="1" t="n">
        <v>44490</v>
      </c>
      <c r="C915" s="1" t="n">
        <v>46098</v>
      </c>
      <c r="D915" t="inlineStr">
        <is>
          <t>UPPSALA LÄN</t>
        </is>
      </c>
      <c r="E915" t="inlineStr">
        <is>
          <t>ENKÖPING</t>
        </is>
      </c>
      <c r="G915" t="n">
        <v>2.4</v>
      </c>
      <c r="H915" t="n">
        <v>0</v>
      </c>
      <c r="I915" t="n">
        <v>0</v>
      </c>
      <c r="J915" t="n">
        <v>0</v>
      </c>
      <c r="K915" t="n">
        <v>0</v>
      </c>
      <c r="L915" t="n">
        <v>0</v>
      </c>
      <c r="M915" t="n">
        <v>0</v>
      </c>
      <c r="N915" t="n">
        <v>0</v>
      </c>
      <c r="O915" t="n">
        <v>0</v>
      </c>
      <c r="P915" t="n">
        <v>0</v>
      </c>
      <c r="Q915" t="n">
        <v>0</v>
      </c>
      <c r="R915" s="2" t="inlineStr"/>
    </row>
    <row r="916" ht="15" customHeight="1">
      <c r="A916" t="inlineStr">
        <is>
          <t>A 53666-2021</t>
        </is>
      </c>
      <c r="B916" s="1" t="n">
        <v>44469</v>
      </c>
      <c r="C916" s="1" t="n">
        <v>46098</v>
      </c>
      <c r="D916" t="inlineStr">
        <is>
          <t>UPPSALA LÄN</t>
        </is>
      </c>
      <c r="E916" t="inlineStr">
        <is>
          <t>TIERP</t>
        </is>
      </c>
      <c r="F916" t="inlineStr">
        <is>
          <t>Bergvik skog öst AB</t>
        </is>
      </c>
      <c r="G916" t="n">
        <v>1.3</v>
      </c>
      <c r="H916" t="n">
        <v>0</v>
      </c>
      <c r="I916" t="n">
        <v>0</v>
      </c>
      <c r="J916" t="n">
        <v>0</v>
      </c>
      <c r="K916" t="n">
        <v>0</v>
      </c>
      <c r="L916" t="n">
        <v>0</v>
      </c>
      <c r="M916" t="n">
        <v>0</v>
      </c>
      <c r="N916" t="n">
        <v>0</v>
      </c>
      <c r="O916" t="n">
        <v>0</v>
      </c>
      <c r="P916" t="n">
        <v>0</v>
      </c>
      <c r="Q916" t="n">
        <v>0</v>
      </c>
      <c r="R916" s="2" t="inlineStr"/>
    </row>
    <row r="917" ht="15" customHeight="1">
      <c r="A917" t="inlineStr">
        <is>
          <t>A 18336-2022</t>
        </is>
      </c>
      <c r="B917" s="1" t="n">
        <v>44685</v>
      </c>
      <c r="C917" s="1" t="n">
        <v>46098</v>
      </c>
      <c r="D917" t="inlineStr">
        <is>
          <t>UPPSALA LÄN</t>
        </is>
      </c>
      <c r="E917" t="inlineStr">
        <is>
          <t>HEBY</t>
        </is>
      </c>
      <c r="G917" t="n">
        <v>9.6</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46098</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46098</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22021-2022</t>
        </is>
      </c>
      <c r="B920" s="1" t="n">
        <v>44711</v>
      </c>
      <c r="C920" s="1" t="n">
        <v>46098</v>
      </c>
      <c r="D920" t="inlineStr">
        <is>
          <t>UPPSALA LÄN</t>
        </is>
      </c>
      <c r="E920" t="inlineStr">
        <is>
          <t>UPPSALA</t>
        </is>
      </c>
      <c r="F920" t="inlineStr">
        <is>
          <t>Allmännings- och besparingsskogar</t>
        </is>
      </c>
      <c r="G920" t="n">
        <v>2.1</v>
      </c>
      <c r="H920" t="n">
        <v>0</v>
      </c>
      <c r="I920" t="n">
        <v>0</v>
      </c>
      <c r="J920" t="n">
        <v>0</v>
      </c>
      <c r="K920" t="n">
        <v>0</v>
      </c>
      <c r="L920" t="n">
        <v>0</v>
      </c>
      <c r="M920" t="n">
        <v>0</v>
      </c>
      <c r="N920" t="n">
        <v>0</v>
      </c>
      <c r="O920" t="n">
        <v>0</v>
      </c>
      <c r="P920" t="n">
        <v>0</v>
      </c>
      <c r="Q920" t="n">
        <v>0</v>
      </c>
      <c r="R920" s="2" t="inlineStr"/>
    </row>
    <row r="921" ht="15" customHeight="1">
      <c r="A921" t="inlineStr">
        <is>
          <t>A 62441-2021</t>
        </is>
      </c>
      <c r="B921" s="1" t="n">
        <v>44503</v>
      </c>
      <c r="C921" s="1" t="n">
        <v>46098</v>
      </c>
      <c r="D921" t="inlineStr">
        <is>
          <t>UPPSALA LÄN</t>
        </is>
      </c>
      <c r="E921" t="inlineStr">
        <is>
          <t>KNIVSTA</t>
        </is>
      </c>
      <c r="G921" t="n">
        <v>1.9</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46098</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24815-2022</t>
        </is>
      </c>
      <c r="B923" s="1" t="n">
        <v>44728</v>
      </c>
      <c r="C923" s="1" t="n">
        <v>46098</v>
      </c>
      <c r="D923" t="inlineStr">
        <is>
          <t>UPPSALA LÄN</t>
        </is>
      </c>
      <c r="E923" t="inlineStr">
        <is>
          <t>ENKÖPING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46098</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46098</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14008-2022</t>
        </is>
      </c>
      <c r="B926" s="1" t="n">
        <v>44650.66174768518</v>
      </c>
      <c r="C926" s="1" t="n">
        <v>46098</v>
      </c>
      <c r="D926" t="inlineStr">
        <is>
          <t>UPPSALA LÄN</t>
        </is>
      </c>
      <c r="E926" t="inlineStr">
        <is>
          <t>HEBY</t>
        </is>
      </c>
      <c r="F926" t="inlineStr">
        <is>
          <t>Bergvik skog öst AB</t>
        </is>
      </c>
      <c r="G926" t="n">
        <v>1.4</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46098</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46098</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46098</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46098</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46098</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46098</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46098</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46098</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46098</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16185-2022</t>
        </is>
      </c>
      <c r="B936" s="1" t="n">
        <v>44669</v>
      </c>
      <c r="C936" s="1" t="n">
        <v>46098</v>
      </c>
      <c r="D936" t="inlineStr">
        <is>
          <t>UPPSALA LÄN</t>
        </is>
      </c>
      <c r="E936" t="inlineStr">
        <is>
          <t>ÖSTHAMMAR</t>
        </is>
      </c>
      <c r="F936" t="inlineStr">
        <is>
          <t>Bergvik skog öst AB</t>
        </is>
      </c>
      <c r="G936" t="n">
        <v>0.3</v>
      </c>
      <c r="H936" t="n">
        <v>0</v>
      </c>
      <c r="I936" t="n">
        <v>0</v>
      </c>
      <c r="J936" t="n">
        <v>0</v>
      </c>
      <c r="K936" t="n">
        <v>0</v>
      </c>
      <c r="L936" t="n">
        <v>0</v>
      </c>
      <c r="M936" t="n">
        <v>0</v>
      </c>
      <c r="N936" t="n">
        <v>0</v>
      </c>
      <c r="O936" t="n">
        <v>0</v>
      </c>
      <c r="P936" t="n">
        <v>0</v>
      </c>
      <c r="Q936" t="n">
        <v>0</v>
      </c>
      <c r="R936" s="2" t="inlineStr"/>
    </row>
    <row r="937" ht="15" customHeight="1">
      <c r="A937" t="inlineStr">
        <is>
          <t>A 24316-2021</t>
        </is>
      </c>
      <c r="B937" s="1" t="n">
        <v>44337</v>
      </c>
      <c r="C937" s="1" t="n">
        <v>46098</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69597-2021</t>
        </is>
      </c>
      <c r="B938" s="1" t="n">
        <v>44532</v>
      </c>
      <c r="C938" s="1" t="n">
        <v>46098</v>
      </c>
      <c r="D938" t="inlineStr">
        <is>
          <t>UPPSALA LÄN</t>
        </is>
      </c>
      <c r="E938" t="inlineStr">
        <is>
          <t>HEBY</t>
        </is>
      </c>
      <c r="G938" t="n">
        <v>0.6</v>
      </c>
      <c r="H938" t="n">
        <v>0</v>
      </c>
      <c r="I938" t="n">
        <v>0</v>
      </c>
      <c r="J938" t="n">
        <v>0</v>
      </c>
      <c r="K938" t="n">
        <v>0</v>
      </c>
      <c r="L938" t="n">
        <v>0</v>
      </c>
      <c r="M938" t="n">
        <v>0</v>
      </c>
      <c r="N938" t="n">
        <v>0</v>
      </c>
      <c r="O938" t="n">
        <v>0</v>
      </c>
      <c r="P938" t="n">
        <v>0</v>
      </c>
      <c r="Q938" t="n">
        <v>0</v>
      </c>
      <c r="R938" s="2" t="inlineStr"/>
    </row>
    <row r="939" ht="15" customHeight="1">
      <c r="A939" t="inlineStr">
        <is>
          <t>A 16615-2021</t>
        </is>
      </c>
      <c r="B939" s="1" t="n">
        <v>44294.37555555555</v>
      </c>
      <c r="C939" s="1" t="n">
        <v>46098</v>
      </c>
      <c r="D939" t="inlineStr">
        <is>
          <t>UPPSALA LÄN</t>
        </is>
      </c>
      <c r="E939" t="inlineStr">
        <is>
          <t>UPPSALA</t>
        </is>
      </c>
      <c r="F939" t="inlineStr">
        <is>
          <t>Övriga Aktiebolag</t>
        </is>
      </c>
      <c r="G939" t="n">
        <v>1.5</v>
      </c>
      <c r="H939" t="n">
        <v>0</v>
      </c>
      <c r="I939" t="n">
        <v>0</v>
      </c>
      <c r="J939" t="n">
        <v>0</v>
      </c>
      <c r="K939" t="n">
        <v>0</v>
      </c>
      <c r="L939" t="n">
        <v>0</v>
      </c>
      <c r="M939" t="n">
        <v>0</v>
      </c>
      <c r="N939" t="n">
        <v>0</v>
      </c>
      <c r="O939" t="n">
        <v>0</v>
      </c>
      <c r="P939" t="n">
        <v>0</v>
      </c>
      <c r="Q939" t="n">
        <v>0</v>
      </c>
      <c r="R939" s="2" t="inlineStr"/>
    </row>
    <row r="940" ht="15" customHeight="1">
      <c r="A940" t="inlineStr">
        <is>
          <t>A 51606-2022</t>
        </is>
      </c>
      <c r="B940" s="1" t="n">
        <v>44871.72850694445</v>
      </c>
      <c r="C940" s="1" t="n">
        <v>46098</v>
      </c>
      <c r="D940" t="inlineStr">
        <is>
          <t>UPPSALA LÄN</t>
        </is>
      </c>
      <c r="E940" t="inlineStr">
        <is>
          <t>TIERP</t>
        </is>
      </c>
      <c r="G940" t="n">
        <v>1.9</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44753.43171296296</v>
      </c>
      <c r="C941" s="1" t="n">
        <v>46098</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22887-2022</t>
        </is>
      </c>
      <c r="B942" s="1" t="n">
        <v>44715</v>
      </c>
      <c r="C942" s="1" t="n">
        <v>46098</v>
      </c>
      <c r="D942" t="inlineStr">
        <is>
          <t>UPPSALA LÄN</t>
        </is>
      </c>
      <c r="E942" t="inlineStr">
        <is>
          <t>ÖSTHAMMAR</t>
        </is>
      </c>
      <c r="G942" t="n">
        <v>0.2</v>
      </c>
      <c r="H942" t="n">
        <v>0</v>
      </c>
      <c r="I942" t="n">
        <v>0</v>
      </c>
      <c r="J942" t="n">
        <v>0</v>
      </c>
      <c r="K942" t="n">
        <v>0</v>
      </c>
      <c r="L942" t="n">
        <v>0</v>
      </c>
      <c r="M942" t="n">
        <v>0</v>
      </c>
      <c r="N942" t="n">
        <v>0</v>
      </c>
      <c r="O942" t="n">
        <v>0</v>
      </c>
      <c r="P942" t="n">
        <v>0</v>
      </c>
      <c r="Q942" t="n">
        <v>0</v>
      </c>
      <c r="R942" s="2" t="inlineStr"/>
    </row>
    <row r="943" ht="15" customHeight="1">
      <c r="A943" t="inlineStr">
        <is>
          <t>A 52544-2021</t>
        </is>
      </c>
      <c r="B943" s="1" t="n">
        <v>44466</v>
      </c>
      <c r="C943" s="1" t="n">
        <v>46098</v>
      </c>
      <c r="D943" t="inlineStr">
        <is>
          <t>UPPSALA LÄN</t>
        </is>
      </c>
      <c r="E943" t="inlineStr">
        <is>
          <t>ÖSTHAMMAR</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1462-2022</t>
        </is>
      </c>
      <c r="B944" s="1" t="n">
        <v>44573</v>
      </c>
      <c r="C944" s="1" t="n">
        <v>46098</v>
      </c>
      <c r="D944" t="inlineStr">
        <is>
          <t>UPPSALA LÄN</t>
        </is>
      </c>
      <c r="E944" t="inlineStr">
        <is>
          <t>HEBY</t>
        </is>
      </c>
      <c r="G944" t="n">
        <v>0.7</v>
      </c>
      <c r="H944" t="n">
        <v>0</v>
      </c>
      <c r="I944" t="n">
        <v>0</v>
      </c>
      <c r="J944" t="n">
        <v>0</v>
      </c>
      <c r="K944" t="n">
        <v>0</v>
      </c>
      <c r="L944" t="n">
        <v>0</v>
      </c>
      <c r="M944" t="n">
        <v>0</v>
      </c>
      <c r="N944" t="n">
        <v>0</v>
      </c>
      <c r="O944" t="n">
        <v>0</v>
      </c>
      <c r="P944" t="n">
        <v>0</v>
      </c>
      <c r="Q944" t="n">
        <v>0</v>
      </c>
      <c r="R944" s="2" t="inlineStr"/>
    </row>
    <row r="945" ht="15" customHeight="1">
      <c r="A945" t="inlineStr">
        <is>
          <t>A 29983-2021</t>
        </is>
      </c>
      <c r="B945" s="1" t="n">
        <v>44363</v>
      </c>
      <c r="C945" s="1" t="n">
        <v>46098</v>
      </c>
      <c r="D945" t="inlineStr">
        <is>
          <t>UPPSALA LÄN</t>
        </is>
      </c>
      <c r="E945" t="inlineStr">
        <is>
          <t>ENKÖPING</t>
        </is>
      </c>
      <c r="F945" t="inlineStr">
        <is>
          <t>Kommuner</t>
        </is>
      </c>
      <c r="G945" t="n">
        <v>3.1</v>
      </c>
      <c r="H945" t="n">
        <v>0</v>
      </c>
      <c r="I945" t="n">
        <v>0</v>
      </c>
      <c r="J945" t="n">
        <v>0</v>
      </c>
      <c r="K945" t="n">
        <v>0</v>
      </c>
      <c r="L945" t="n">
        <v>0</v>
      </c>
      <c r="M945" t="n">
        <v>0</v>
      </c>
      <c r="N945" t="n">
        <v>0</v>
      </c>
      <c r="O945" t="n">
        <v>0</v>
      </c>
      <c r="P945" t="n">
        <v>0</v>
      </c>
      <c r="Q945" t="n">
        <v>0</v>
      </c>
      <c r="R945" s="2" t="inlineStr"/>
    </row>
    <row r="946" ht="15" customHeight="1">
      <c r="A946" t="inlineStr">
        <is>
          <t>A 8850-2022</t>
        </is>
      </c>
      <c r="B946" s="1" t="n">
        <v>44614.53547453704</v>
      </c>
      <c r="C946" s="1" t="n">
        <v>46098</v>
      </c>
      <c r="D946" t="inlineStr">
        <is>
          <t>UPPSALA LÄN</t>
        </is>
      </c>
      <c r="E946" t="inlineStr">
        <is>
          <t>HEBY</t>
        </is>
      </c>
      <c r="G946" t="n">
        <v>0.5</v>
      </c>
      <c r="H946" t="n">
        <v>0</v>
      </c>
      <c r="I946" t="n">
        <v>0</v>
      </c>
      <c r="J946" t="n">
        <v>0</v>
      </c>
      <c r="K946" t="n">
        <v>0</v>
      </c>
      <c r="L946" t="n">
        <v>0</v>
      </c>
      <c r="M946" t="n">
        <v>0</v>
      </c>
      <c r="N946" t="n">
        <v>0</v>
      </c>
      <c r="O946" t="n">
        <v>0</v>
      </c>
      <c r="P946" t="n">
        <v>0</v>
      </c>
      <c r="Q946" t="n">
        <v>0</v>
      </c>
      <c r="R946" s="2" t="inlineStr"/>
    </row>
    <row r="947" ht="15" customHeight="1">
      <c r="A947" t="inlineStr">
        <is>
          <t>A 34061-2022</t>
        </is>
      </c>
      <c r="B947" s="1" t="n">
        <v>44791.38336805555</v>
      </c>
      <c r="C947" s="1" t="n">
        <v>46098</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15377-2022</t>
        </is>
      </c>
      <c r="B948" s="1" t="n">
        <v>44659.57912037037</v>
      </c>
      <c r="C948" s="1" t="n">
        <v>46098</v>
      </c>
      <c r="D948" t="inlineStr">
        <is>
          <t>UPPSALA LÄN</t>
        </is>
      </c>
      <c r="E948" t="inlineStr">
        <is>
          <t>UPPSALA</t>
        </is>
      </c>
      <c r="F948" t="inlineStr">
        <is>
          <t>Bergvik skog öst AB</t>
        </is>
      </c>
      <c r="G948" t="n">
        <v>0.5</v>
      </c>
      <c r="H948" t="n">
        <v>0</v>
      </c>
      <c r="I948" t="n">
        <v>0</v>
      </c>
      <c r="J948" t="n">
        <v>0</v>
      </c>
      <c r="K948" t="n">
        <v>0</v>
      </c>
      <c r="L948" t="n">
        <v>0</v>
      </c>
      <c r="M948" t="n">
        <v>0</v>
      </c>
      <c r="N948" t="n">
        <v>0</v>
      </c>
      <c r="O948" t="n">
        <v>0</v>
      </c>
      <c r="P948" t="n">
        <v>0</v>
      </c>
      <c r="Q948" t="n">
        <v>0</v>
      </c>
      <c r="R948" s="2" t="inlineStr"/>
    </row>
    <row r="949" ht="15" customHeight="1">
      <c r="A949" t="inlineStr">
        <is>
          <t>A 28881-2022</t>
        </is>
      </c>
      <c r="B949" s="1" t="n">
        <v>44749.52354166667</v>
      </c>
      <c r="C949" s="1" t="n">
        <v>46098</v>
      </c>
      <c r="D949" t="inlineStr">
        <is>
          <t>UPPSALA LÄN</t>
        </is>
      </c>
      <c r="E949" t="inlineStr">
        <is>
          <t>TIERP</t>
        </is>
      </c>
      <c r="G949" t="n">
        <v>1.7</v>
      </c>
      <c r="H949" t="n">
        <v>0</v>
      </c>
      <c r="I949" t="n">
        <v>0</v>
      </c>
      <c r="J949" t="n">
        <v>0</v>
      </c>
      <c r="K949" t="n">
        <v>0</v>
      </c>
      <c r="L949" t="n">
        <v>0</v>
      </c>
      <c r="M949" t="n">
        <v>0</v>
      </c>
      <c r="N949" t="n">
        <v>0</v>
      </c>
      <c r="O949" t="n">
        <v>0</v>
      </c>
      <c r="P949" t="n">
        <v>0</v>
      </c>
      <c r="Q949" t="n">
        <v>0</v>
      </c>
      <c r="R949" s="2" t="inlineStr"/>
    </row>
    <row r="950" ht="15" customHeight="1">
      <c r="A950" t="inlineStr">
        <is>
          <t>A 34418-2022</t>
        </is>
      </c>
      <c r="B950" s="1" t="n">
        <v>44792</v>
      </c>
      <c r="C950" s="1" t="n">
        <v>46098</v>
      </c>
      <c r="D950" t="inlineStr">
        <is>
          <t>UPPSALA LÄN</t>
        </is>
      </c>
      <c r="E950" t="inlineStr">
        <is>
          <t>ÖSTHAMMAR</t>
        </is>
      </c>
      <c r="G950" t="n">
        <v>0.3</v>
      </c>
      <c r="H950" t="n">
        <v>0</v>
      </c>
      <c r="I950" t="n">
        <v>0</v>
      </c>
      <c r="J950" t="n">
        <v>0</v>
      </c>
      <c r="K950" t="n">
        <v>0</v>
      </c>
      <c r="L950" t="n">
        <v>0</v>
      </c>
      <c r="M950" t="n">
        <v>0</v>
      </c>
      <c r="N950" t="n">
        <v>0</v>
      </c>
      <c r="O950" t="n">
        <v>0</v>
      </c>
      <c r="P950" t="n">
        <v>0</v>
      </c>
      <c r="Q950" t="n">
        <v>0</v>
      </c>
      <c r="R950" s="2" t="inlineStr"/>
    </row>
    <row r="951" ht="15" customHeight="1">
      <c r="A951" t="inlineStr">
        <is>
          <t>A 10780-2022</t>
        </is>
      </c>
      <c r="B951" s="1" t="n">
        <v>44627.4699537037</v>
      </c>
      <c r="C951" s="1" t="n">
        <v>46098</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10785-2022</t>
        </is>
      </c>
      <c r="B952" s="1" t="n">
        <v>44627.4737962963</v>
      </c>
      <c r="C952" s="1" t="n">
        <v>46098</v>
      </c>
      <c r="D952" t="inlineStr">
        <is>
          <t>UPPSALA LÄN</t>
        </is>
      </c>
      <c r="E952" t="inlineStr">
        <is>
          <t>TIERP</t>
        </is>
      </c>
      <c r="G952" t="n">
        <v>0.4</v>
      </c>
      <c r="H952" t="n">
        <v>0</v>
      </c>
      <c r="I952" t="n">
        <v>0</v>
      </c>
      <c r="J952" t="n">
        <v>0</v>
      </c>
      <c r="K952" t="n">
        <v>0</v>
      </c>
      <c r="L952" t="n">
        <v>0</v>
      </c>
      <c r="M952" t="n">
        <v>0</v>
      </c>
      <c r="N952" t="n">
        <v>0</v>
      </c>
      <c r="O952" t="n">
        <v>0</v>
      </c>
      <c r="P952" t="n">
        <v>0</v>
      </c>
      <c r="Q952" t="n">
        <v>0</v>
      </c>
      <c r="R952" s="2" t="inlineStr"/>
    </row>
    <row r="953" ht="15" customHeight="1">
      <c r="A953" t="inlineStr">
        <is>
          <t>A 10464-2022</t>
        </is>
      </c>
      <c r="B953" s="1" t="n">
        <v>44623</v>
      </c>
      <c r="C953" s="1" t="n">
        <v>46098</v>
      </c>
      <c r="D953" t="inlineStr">
        <is>
          <t>UPPSALA LÄN</t>
        </is>
      </c>
      <c r="E953" t="inlineStr">
        <is>
          <t>UPPSALA</t>
        </is>
      </c>
      <c r="F953" t="inlineStr">
        <is>
          <t>Övriga Aktiebolag</t>
        </is>
      </c>
      <c r="G953" t="n">
        <v>0.7</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46098</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35411-2022</t>
        </is>
      </c>
      <c r="B955" s="1" t="n">
        <v>44798</v>
      </c>
      <c r="C955" s="1" t="n">
        <v>46098</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39802-2022</t>
        </is>
      </c>
      <c r="B956" s="1" t="n">
        <v>44819.52074074074</v>
      </c>
      <c r="C956" s="1" t="n">
        <v>46098</v>
      </c>
      <c r="D956" t="inlineStr">
        <is>
          <t>UPPSALA LÄN</t>
        </is>
      </c>
      <c r="E956" t="inlineStr">
        <is>
          <t>TIERP</t>
        </is>
      </c>
      <c r="G956" t="n">
        <v>5.8</v>
      </c>
      <c r="H956" t="n">
        <v>0</v>
      </c>
      <c r="I956" t="n">
        <v>0</v>
      </c>
      <c r="J956" t="n">
        <v>0</v>
      </c>
      <c r="K956" t="n">
        <v>0</v>
      </c>
      <c r="L956" t="n">
        <v>0</v>
      </c>
      <c r="M956" t="n">
        <v>0</v>
      </c>
      <c r="N956" t="n">
        <v>0</v>
      </c>
      <c r="O956" t="n">
        <v>0</v>
      </c>
      <c r="P956" t="n">
        <v>0</v>
      </c>
      <c r="Q956" t="n">
        <v>0</v>
      </c>
      <c r="R956" s="2" t="inlineStr"/>
    </row>
    <row r="957" ht="15" customHeight="1">
      <c r="A957" t="inlineStr">
        <is>
          <t>A 57003-2021</t>
        </is>
      </c>
      <c r="B957" s="1" t="n">
        <v>44482.47577546296</v>
      </c>
      <c r="C957" s="1" t="n">
        <v>46098</v>
      </c>
      <c r="D957" t="inlineStr">
        <is>
          <t>UPPSALA LÄN</t>
        </is>
      </c>
      <c r="E957" t="inlineStr">
        <is>
          <t>ÖSTHAMMAR</t>
        </is>
      </c>
      <c r="G957" t="n">
        <v>1.9</v>
      </c>
      <c r="H957" t="n">
        <v>0</v>
      </c>
      <c r="I957" t="n">
        <v>0</v>
      </c>
      <c r="J957" t="n">
        <v>0</v>
      </c>
      <c r="K957" t="n">
        <v>0</v>
      </c>
      <c r="L957" t="n">
        <v>0</v>
      </c>
      <c r="M957" t="n">
        <v>0</v>
      </c>
      <c r="N957" t="n">
        <v>0</v>
      </c>
      <c r="O957" t="n">
        <v>0</v>
      </c>
      <c r="P957" t="n">
        <v>0</v>
      </c>
      <c r="Q957" t="n">
        <v>0</v>
      </c>
      <c r="R957" s="2" t="inlineStr"/>
    </row>
    <row r="958" ht="15" customHeight="1">
      <c r="A958" t="inlineStr">
        <is>
          <t>A 37568-2022</t>
        </is>
      </c>
      <c r="B958" s="1" t="n">
        <v>44809</v>
      </c>
      <c r="C958" s="1" t="n">
        <v>46098</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15310-2022</t>
        </is>
      </c>
      <c r="B959" s="1" t="n">
        <v>44659</v>
      </c>
      <c r="C959" s="1" t="n">
        <v>46098</v>
      </c>
      <c r="D959" t="inlineStr">
        <is>
          <t>UPPSALA LÄN</t>
        </is>
      </c>
      <c r="E959" t="inlineStr">
        <is>
          <t>UPPSALA</t>
        </is>
      </c>
      <c r="F959" t="inlineStr">
        <is>
          <t>Bergvik skog öst AB</t>
        </is>
      </c>
      <c r="G959" t="n">
        <v>0.7</v>
      </c>
      <c r="H959" t="n">
        <v>0</v>
      </c>
      <c r="I959" t="n">
        <v>0</v>
      </c>
      <c r="J959" t="n">
        <v>0</v>
      </c>
      <c r="K959" t="n">
        <v>0</v>
      </c>
      <c r="L959" t="n">
        <v>0</v>
      </c>
      <c r="M959" t="n">
        <v>0</v>
      </c>
      <c r="N959" t="n">
        <v>0</v>
      </c>
      <c r="O959" t="n">
        <v>0</v>
      </c>
      <c r="P959" t="n">
        <v>0</v>
      </c>
      <c r="Q959" t="n">
        <v>0</v>
      </c>
      <c r="R959" s="2" t="inlineStr"/>
    </row>
    <row r="960" ht="15" customHeight="1">
      <c r="A960" t="inlineStr">
        <is>
          <t>A 5006-2022</t>
        </is>
      </c>
      <c r="B960" s="1" t="n">
        <v>44593</v>
      </c>
      <c r="C960" s="1" t="n">
        <v>46098</v>
      </c>
      <c r="D960" t="inlineStr">
        <is>
          <t>UPPSALA LÄN</t>
        </is>
      </c>
      <c r="E960" t="inlineStr">
        <is>
          <t>UPPSALA</t>
        </is>
      </c>
      <c r="F960" t="inlineStr">
        <is>
          <t>BillerudKorsnäs AB</t>
        </is>
      </c>
      <c r="G960" t="n">
        <v>1.4</v>
      </c>
      <c r="H960" t="n">
        <v>0</v>
      </c>
      <c r="I960" t="n">
        <v>0</v>
      </c>
      <c r="J960" t="n">
        <v>0</v>
      </c>
      <c r="K960" t="n">
        <v>0</v>
      </c>
      <c r="L960" t="n">
        <v>0</v>
      </c>
      <c r="M960" t="n">
        <v>0</v>
      </c>
      <c r="N960" t="n">
        <v>0</v>
      </c>
      <c r="O960" t="n">
        <v>0</v>
      </c>
      <c r="P960" t="n">
        <v>0</v>
      </c>
      <c r="Q960" t="n">
        <v>0</v>
      </c>
      <c r="R960" s="2" t="inlineStr"/>
    </row>
    <row r="961" ht="15" customHeight="1">
      <c r="A961" t="inlineStr">
        <is>
          <t>A 5007-2022</t>
        </is>
      </c>
      <c r="B961" s="1" t="n">
        <v>44593.61355324074</v>
      </c>
      <c r="C961" s="1" t="n">
        <v>46098</v>
      </c>
      <c r="D961" t="inlineStr">
        <is>
          <t>UPPSALA LÄN</t>
        </is>
      </c>
      <c r="E961" t="inlineStr">
        <is>
          <t>UPPSALA</t>
        </is>
      </c>
      <c r="F961" t="inlineStr">
        <is>
          <t>BillerudKorsnäs AB</t>
        </is>
      </c>
      <c r="G961" t="n">
        <v>3.6</v>
      </c>
      <c r="H961" t="n">
        <v>0</v>
      </c>
      <c r="I961" t="n">
        <v>0</v>
      </c>
      <c r="J961" t="n">
        <v>0</v>
      </c>
      <c r="K961" t="n">
        <v>0</v>
      </c>
      <c r="L961" t="n">
        <v>0</v>
      </c>
      <c r="M961" t="n">
        <v>0</v>
      </c>
      <c r="N961" t="n">
        <v>0</v>
      </c>
      <c r="O961" t="n">
        <v>0</v>
      </c>
      <c r="P961" t="n">
        <v>0</v>
      </c>
      <c r="Q961" t="n">
        <v>0</v>
      </c>
      <c r="R961" s="2" t="inlineStr"/>
    </row>
    <row r="962" ht="15" customHeight="1">
      <c r="A962" t="inlineStr">
        <is>
          <t>A 18039-2024</t>
        </is>
      </c>
      <c r="B962" s="1" t="n">
        <v>45420.36299768519</v>
      </c>
      <c r="C962" s="1" t="n">
        <v>46098</v>
      </c>
      <c r="D962" t="inlineStr">
        <is>
          <t>UPPSALA LÄN</t>
        </is>
      </c>
      <c r="E962" t="inlineStr">
        <is>
          <t>TIERP</t>
        </is>
      </c>
      <c r="G962" t="n">
        <v>2.8</v>
      </c>
      <c r="H962" t="n">
        <v>0</v>
      </c>
      <c r="I962" t="n">
        <v>0</v>
      </c>
      <c r="J962" t="n">
        <v>0</v>
      </c>
      <c r="K962" t="n">
        <v>0</v>
      </c>
      <c r="L962" t="n">
        <v>0</v>
      </c>
      <c r="M962" t="n">
        <v>0</v>
      </c>
      <c r="N962" t="n">
        <v>0</v>
      </c>
      <c r="O962" t="n">
        <v>0</v>
      </c>
      <c r="P962" t="n">
        <v>0</v>
      </c>
      <c r="Q962" t="n">
        <v>0</v>
      </c>
      <c r="R962" s="2" t="inlineStr"/>
    </row>
    <row r="963" ht="15" customHeight="1">
      <c r="A963" t="inlineStr">
        <is>
          <t>A 13456-2025</t>
        </is>
      </c>
      <c r="B963" s="1" t="n">
        <v>45736.38332175926</v>
      </c>
      <c r="C963" s="1" t="n">
        <v>46098</v>
      </c>
      <c r="D963" t="inlineStr">
        <is>
          <t>UPPSALA LÄN</t>
        </is>
      </c>
      <c r="E963" t="inlineStr">
        <is>
          <t>TIERP</t>
        </is>
      </c>
      <c r="G963" t="n">
        <v>5.7</v>
      </c>
      <c r="H963" t="n">
        <v>0</v>
      </c>
      <c r="I963" t="n">
        <v>0</v>
      </c>
      <c r="J963" t="n">
        <v>0</v>
      </c>
      <c r="K963" t="n">
        <v>0</v>
      </c>
      <c r="L963" t="n">
        <v>0</v>
      </c>
      <c r="M963" t="n">
        <v>0</v>
      </c>
      <c r="N963" t="n">
        <v>0</v>
      </c>
      <c r="O963" t="n">
        <v>0</v>
      </c>
      <c r="P963" t="n">
        <v>0</v>
      </c>
      <c r="Q963" t="n">
        <v>0</v>
      </c>
      <c r="R963" s="2" t="inlineStr"/>
    </row>
    <row r="964" ht="15" customHeight="1">
      <c r="A964" t="inlineStr">
        <is>
          <t>A 2901-2023</t>
        </is>
      </c>
      <c r="B964" s="1" t="n">
        <v>44945</v>
      </c>
      <c r="C964" s="1" t="n">
        <v>46098</v>
      </c>
      <c r="D964" t="inlineStr">
        <is>
          <t>UPPSALA LÄN</t>
        </is>
      </c>
      <c r="E964" t="inlineStr">
        <is>
          <t>TIERP</t>
        </is>
      </c>
      <c r="G964" t="n">
        <v>0.7</v>
      </c>
      <c r="H964" t="n">
        <v>0</v>
      </c>
      <c r="I964" t="n">
        <v>0</v>
      </c>
      <c r="J964" t="n">
        <v>0</v>
      </c>
      <c r="K964" t="n">
        <v>0</v>
      </c>
      <c r="L964" t="n">
        <v>0</v>
      </c>
      <c r="M964" t="n">
        <v>0</v>
      </c>
      <c r="N964" t="n">
        <v>0</v>
      </c>
      <c r="O964" t="n">
        <v>0</v>
      </c>
      <c r="P964" t="n">
        <v>0</v>
      </c>
      <c r="Q964" t="n">
        <v>0</v>
      </c>
      <c r="R964" s="2" t="inlineStr"/>
    </row>
    <row r="965" ht="15" customHeight="1">
      <c r="A965" t="inlineStr">
        <is>
          <t>A 20552-2025</t>
        </is>
      </c>
      <c r="B965" s="1" t="n">
        <v>45775.63877314814</v>
      </c>
      <c r="C965" s="1" t="n">
        <v>46098</v>
      </c>
      <c r="D965" t="inlineStr">
        <is>
          <t>UPPSALA LÄN</t>
        </is>
      </c>
      <c r="E965" t="inlineStr">
        <is>
          <t>TIERP</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58900-2023</t>
        </is>
      </c>
      <c r="B966" s="1" t="n">
        <v>45252</v>
      </c>
      <c r="C966" s="1" t="n">
        <v>46098</v>
      </c>
      <c r="D966" t="inlineStr">
        <is>
          <t>UPPSALA LÄN</t>
        </is>
      </c>
      <c r="E966" t="inlineStr">
        <is>
          <t>TIERP</t>
        </is>
      </c>
      <c r="G966" t="n">
        <v>25</v>
      </c>
      <c r="H966" t="n">
        <v>0</v>
      </c>
      <c r="I966" t="n">
        <v>0</v>
      </c>
      <c r="J966" t="n">
        <v>0</v>
      </c>
      <c r="K966" t="n">
        <v>0</v>
      </c>
      <c r="L966" t="n">
        <v>0</v>
      </c>
      <c r="M966" t="n">
        <v>0</v>
      </c>
      <c r="N966" t="n">
        <v>0</v>
      </c>
      <c r="O966" t="n">
        <v>0</v>
      </c>
      <c r="P966" t="n">
        <v>0</v>
      </c>
      <c r="Q966" t="n">
        <v>0</v>
      </c>
      <c r="R966" s="2" t="inlineStr"/>
    </row>
    <row r="967" ht="15" customHeight="1">
      <c r="A967" t="inlineStr">
        <is>
          <t>A 58947-2023</t>
        </is>
      </c>
      <c r="B967" s="1" t="n">
        <v>45252.57987268519</v>
      </c>
      <c r="C967" s="1" t="n">
        <v>46098</v>
      </c>
      <c r="D967" t="inlineStr">
        <is>
          <t>UPPSALA LÄN</t>
        </is>
      </c>
      <c r="E967" t="inlineStr">
        <is>
          <t>TIERP</t>
        </is>
      </c>
      <c r="G967" t="n">
        <v>3.1</v>
      </c>
      <c r="H967" t="n">
        <v>0</v>
      </c>
      <c r="I967" t="n">
        <v>0</v>
      </c>
      <c r="J967" t="n">
        <v>0</v>
      </c>
      <c r="K967" t="n">
        <v>0</v>
      </c>
      <c r="L967" t="n">
        <v>0</v>
      </c>
      <c r="M967" t="n">
        <v>0</v>
      </c>
      <c r="N967" t="n">
        <v>0</v>
      </c>
      <c r="O967" t="n">
        <v>0</v>
      </c>
      <c r="P967" t="n">
        <v>0</v>
      </c>
      <c r="Q967" t="n">
        <v>0</v>
      </c>
      <c r="R967" s="2" t="inlineStr"/>
    </row>
    <row r="968" ht="15" customHeight="1">
      <c r="A968" t="inlineStr">
        <is>
          <t>A 2303-2025</t>
        </is>
      </c>
      <c r="B968" s="1" t="n">
        <v>45673.5980787037</v>
      </c>
      <c r="C968" s="1" t="n">
        <v>46098</v>
      </c>
      <c r="D968" t="inlineStr">
        <is>
          <t>UPPSALA LÄN</t>
        </is>
      </c>
      <c r="E968" t="inlineStr">
        <is>
          <t>HEBY</t>
        </is>
      </c>
      <c r="G968" t="n">
        <v>6.3</v>
      </c>
      <c r="H968" t="n">
        <v>0</v>
      </c>
      <c r="I968" t="n">
        <v>0</v>
      </c>
      <c r="J968" t="n">
        <v>0</v>
      </c>
      <c r="K968" t="n">
        <v>0</v>
      </c>
      <c r="L968" t="n">
        <v>0</v>
      </c>
      <c r="M968" t="n">
        <v>0</v>
      </c>
      <c r="N968" t="n">
        <v>0</v>
      </c>
      <c r="O968" t="n">
        <v>0</v>
      </c>
      <c r="P968" t="n">
        <v>0</v>
      </c>
      <c r="Q968" t="n">
        <v>0</v>
      </c>
      <c r="R968" s="2" t="inlineStr"/>
    </row>
    <row r="969" ht="15" customHeight="1">
      <c r="A969" t="inlineStr">
        <is>
          <t>A 48486-2022</t>
        </is>
      </c>
      <c r="B969" s="1" t="n">
        <v>44858.783125</v>
      </c>
      <c r="C969" s="1" t="n">
        <v>46098</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46098</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46098</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2980-2025</t>
        </is>
      </c>
      <c r="B972" s="1" t="n">
        <v>45678</v>
      </c>
      <c r="C972" s="1" t="n">
        <v>46098</v>
      </c>
      <c r="D972" t="inlineStr">
        <is>
          <t>UPPSALA LÄN</t>
        </is>
      </c>
      <c r="E972" t="inlineStr">
        <is>
          <t>UPPSALA</t>
        </is>
      </c>
      <c r="G972" t="n">
        <v>5</v>
      </c>
      <c r="H972" t="n">
        <v>0</v>
      </c>
      <c r="I972" t="n">
        <v>0</v>
      </c>
      <c r="J972" t="n">
        <v>0</v>
      </c>
      <c r="K972" t="n">
        <v>0</v>
      </c>
      <c r="L972" t="n">
        <v>0</v>
      </c>
      <c r="M972" t="n">
        <v>0</v>
      </c>
      <c r="N972" t="n">
        <v>0</v>
      </c>
      <c r="O972" t="n">
        <v>0</v>
      </c>
      <c r="P972" t="n">
        <v>0</v>
      </c>
      <c r="Q972" t="n">
        <v>0</v>
      </c>
      <c r="R972" s="2" t="inlineStr"/>
    </row>
    <row r="973" ht="15" customHeight="1">
      <c r="A973" t="inlineStr">
        <is>
          <t>A 45-2024</t>
        </is>
      </c>
      <c r="B973" s="1" t="n">
        <v>45293</v>
      </c>
      <c r="C973" s="1" t="n">
        <v>46098</v>
      </c>
      <c r="D973" t="inlineStr">
        <is>
          <t>UPPSALA LÄN</t>
        </is>
      </c>
      <c r="E973" t="inlineStr">
        <is>
          <t>UPPSALA</t>
        </is>
      </c>
      <c r="G973" t="n">
        <v>12.5</v>
      </c>
      <c r="H973" t="n">
        <v>0</v>
      </c>
      <c r="I973" t="n">
        <v>0</v>
      </c>
      <c r="J973" t="n">
        <v>0</v>
      </c>
      <c r="K973" t="n">
        <v>0</v>
      </c>
      <c r="L973" t="n">
        <v>0</v>
      </c>
      <c r="M973" t="n">
        <v>0</v>
      </c>
      <c r="N973" t="n">
        <v>0</v>
      </c>
      <c r="O973" t="n">
        <v>0</v>
      </c>
      <c r="P973" t="n">
        <v>0</v>
      </c>
      <c r="Q973" t="n">
        <v>0</v>
      </c>
      <c r="R973" s="2" t="inlineStr"/>
    </row>
    <row r="974" ht="15" customHeight="1">
      <c r="A974" t="inlineStr">
        <is>
          <t>A 49063-2024</t>
        </is>
      </c>
      <c r="B974" s="1" t="n">
        <v>45594.59869212963</v>
      </c>
      <c r="C974" s="1" t="n">
        <v>46098</v>
      </c>
      <c r="D974" t="inlineStr">
        <is>
          <t>UPPSALA LÄN</t>
        </is>
      </c>
      <c r="E974" t="inlineStr">
        <is>
          <t>ENKÖPING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56679-2022</t>
        </is>
      </c>
      <c r="B975" s="1" t="n">
        <v>44893</v>
      </c>
      <c r="C975" s="1" t="n">
        <v>46098</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48165-2022</t>
        </is>
      </c>
      <c r="B976" s="1" t="n">
        <v>44858.36759259259</v>
      </c>
      <c r="C976" s="1" t="n">
        <v>46098</v>
      </c>
      <c r="D976" t="inlineStr">
        <is>
          <t>UPPSALA LÄN</t>
        </is>
      </c>
      <c r="E976" t="inlineStr">
        <is>
          <t>HEBY</t>
        </is>
      </c>
      <c r="G976" t="n">
        <v>1.5</v>
      </c>
      <c r="H976" t="n">
        <v>0</v>
      </c>
      <c r="I976" t="n">
        <v>0</v>
      </c>
      <c r="J976" t="n">
        <v>0</v>
      </c>
      <c r="K976" t="n">
        <v>0</v>
      </c>
      <c r="L976" t="n">
        <v>0</v>
      </c>
      <c r="M976" t="n">
        <v>0</v>
      </c>
      <c r="N976" t="n">
        <v>0</v>
      </c>
      <c r="O976" t="n">
        <v>0</v>
      </c>
      <c r="P976" t="n">
        <v>0</v>
      </c>
      <c r="Q976" t="n">
        <v>0</v>
      </c>
      <c r="R976" s="2" t="inlineStr"/>
    </row>
    <row r="977" ht="15" customHeight="1">
      <c r="A977" t="inlineStr">
        <is>
          <t>A 2085-2022</t>
        </is>
      </c>
      <c r="B977" s="1" t="n">
        <v>44576.78626157407</v>
      </c>
      <c r="C977" s="1" t="n">
        <v>46098</v>
      </c>
      <c r="D977" t="inlineStr">
        <is>
          <t>UPPSALA LÄN</t>
        </is>
      </c>
      <c r="E977" t="inlineStr">
        <is>
          <t>ÖSTHAMMAR</t>
        </is>
      </c>
      <c r="F977" t="inlineStr">
        <is>
          <t>Bergvik skog öst AB</t>
        </is>
      </c>
      <c r="G977" t="n">
        <v>1.6</v>
      </c>
      <c r="H977" t="n">
        <v>0</v>
      </c>
      <c r="I977" t="n">
        <v>0</v>
      </c>
      <c r="J977" t="n">
        <v>0</v>
      </c>
      <c r="K977" t="n">
        <v>0</v>
      </c>
      <c r="L977" t="n">
        <v>0</v>
      </c>
      <c r="M977" t="n">
        <v>0</v>
      </c>
      <c r="N977" t="n">
        <v>0</v>
      </c>
      <c r="O977" t="n">
        <v>0</v>
      </c>
      <c r="P977" t="n">
        <v>0</v>
      </c>
      <c r="Q977" t="n">
        <v>0</v>
      </c>
      <c r="R977" s="2" t="inlineStr"/>
    </row>
    <row r="978" ht="15" customHeight="1">
      <c r="A978" t="inlineStr">
        <is>
          <t>A 13853-2023</t>
        </is>
      </c>
      <c r="B978" s="1" t="n">
        <v>45007</v>
      </c>
      <c r="C978" s="1" t="n">
        <v>46098</v>
      </c>
      <c r="D978" t="inlineStr">
        <is>
          <t>UPPSALA LÄN</t>
        </is>
      </c>
      <c r="E978" t="inlineStr">
        <is>
          <t>ENKÖPING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9201-2024</t>
        </is>
      </c>
      <c r="B979" s="1" t="n">
        <v>45358</v>
      </c>
      <c r="C979" s="1" t="n">
        <v>46098</v>
      </c>
      <c r="D979" t="inlineStr">
        <is>
          <t>UPPSALA LÄN</t>
        </is>
      </c>
      <c r="E979" t="inlineStr">
        <is>
          <t>UPPSALA</t>
        </is>
      </c>
      <c r="F979" t="inlineStr">
        <is>
          <t>Allmännings- och besparingsskogar</t>
        </is>
      </c>
      <c r="G979" t="n">
        <v>6.5</v>
      </c>
      <c r="H979" t="n">
        <v>0</v>
      </c>
      <c r="I979" t="n">
        <v>0</v>
      </c>
      <c r="J979" t="n">
        <v>0</v>
      </c>
      <c r="K979" t="n">
        <v>0</v>
      </c>
      <c r="L979" t="n">
        <v>0</v>
      </c>
      <c r="M979" t="n">
        <v>0</v>
      </c>
      <c r="N979" t="n">
        <v>0</v>
      </c>
      <c r="O979" t="n">
        <v>0</v>
      </c>
      <c r="P979" t="n">
        <v>0</v>
      </c>
      <c r="Q979" t="n">
        <v>0</v>
      </c>
      <c r="R979" s="2" t="inlineStr"/>
    </row>
    <row r="980" ht="15" customHeight="1">
      <c r="A980" t="inlineStr">
        <is>
          <t>A 44430-2023</t>
        </is>
      </c>
      <c r="B980" s="1" t="n">
        <v>45189</v>
      </c>
      <c r="C980" s="1" t="n">
        <v>46098</v>
      </c>
      <c r="D980" t="inlineStr">
        <is>
          <t>UPPSALA LÄN</t>
        </is>
      </c>
      <c r="E980" t="inlineStr">
        <is>
          <t>TIERP</t>
        </is>
      </c>
      <c r="F980" t="inlineStr">
        <is>
          <t>Bergvik skog öst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46113-2023</t>
        </is>
      </c>
      <c r="B981" s="1" t="n">
        <v>45196.54938657407</v>
      </c>
      <c r="C981" s="1" t="n">
        <v>46098</v>
      </c>
      <c r="D981" t="inlineStr">
        <is>
          <t>UPPSALA LÄN</t>
        </is>
      </c>
      <c r="E981" t="inlineStr">
        <is>
          <t>ÄLVKARLEBY</t>
        </is>
      </c>
      <c r="F981" t="inlineStr">
        <is>
          <t>Bergvik skog väst AB</t>
        </is>
      </c>
      <c r="G981" t="n">
        <v>0.6</v>
      </c>
      <c r="H981" t="n">
        <v>0</v>
      </c>
      <c r="I981" t="n">
        <v>0</v>
      </c>
      <c r="J981" t="n">
        <v>0</v>
      </c>
      <c r="K981" t="n">
        <v>0</v>
      </c>
      <c r="L981" t="n">
        <v>0</v>
      </c>
      <c r="M981" t="n">
        <v>0</v>
      </c>
      <c r="N981" t="n">
        <v>0</v>
      </c>
      <c r="O981" t="n">
        <v>0</v>
      </c>
      <c r="P981" t="n">
        <v>0</v>
      </c>
      <c r="Q981" t="n">
        <v>0</v>
      </c>
      <c r="R981" s="2" t="inlineStr"/>
    </row>
    <row r="982" ht="15" customHeight="1">
      <c r="A982" t="inlineStr">
        <is>
          <t>A 31479-2023</t>
        </is>
      </c>
      <c r="B982" s="1" t="n">
        <v>45114.79793981482</v>
      </c>
      <c r="C982" s="1" t="n">
        <v>46098</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50747-2022</t>
        </is>
      </c>
      <c r="B983" s="1" t="n">
        <v>44867.40162037037</v>
      </c>
      <c r="C983" s="1" t="n">
        <v>46098</v>
      </c>
      <c r="D983" t="inlineStr">
        <is>
          <t>UPPSALA LÄN</t>
        </is>
      </c>
      <c r="E983" t="inlineStr">
        <is>
          <t>ENKÖPING</t>
        </is>
      </c>
      <c r="G983" t="n">
        <v>1.5</v>
      </c>
      <c r="H983" t="n">
        <v>0</v>
      </c>
      <c r="I983" t="n">
        <v>0</v>
      </c>
      <c r="J983" t="n">
        <v>0</v>
      </c>
      <c r="K983" t="n">
        <v>0</v>
      </c>
      <c r="L983" t="n">
        <v>0</v>
      </c>
      <c r="M983" t="n">
        <v>0</v>
      </c>
      <c r="N983" t="n">
        <v>0</v>
      </c>
      <c r="O983" t="n">
        <v>0</v>
      </c>
      <c r="P983" t="n">
        <v>0</v>
      </c>
      <c r="Q983" t="n">
        <v>0</v>
      </c>
      <c r="R983" s="2" t="inlineStr"/>
    </row>
    <row r="984" ht="15" customHeight="1">
      <c r="A984" t="inlineStr">
        <is>
          <t>A 6288-2023</t>
        </is>
      </c>
      <c r="B984" s="1" t="n">
        <v>44965.42444444444</v>
      </c>
      <c r="C984" s="1" t="n">
        <v>46098</v>
      </c>
      <c r="D984" t="inlineStr">
        <is>
          <t>UPPSALA LÄN</t>
        </is>
      </c>
      <c r="E984" t="inlineStr">
        <is>
          <t>TIERP</t>
        </is>
      </c>
      <c r="F984" t="inlineStr">
        <is>
          <t>Bergvik skog öst AB</t>
        </is>
      </c>
      <c r="G984" t="n">
        <v>5.4</v>
      </c>
      <c r="H984" t="n">
        <v>0</v>
      </c>
      <c r="I984" t="n">
        <v>0</v>
      </c>
      <c r="J984" t="n">
        <v>0</v>
      </c>
      <c r="K984" t="n">
        <v>0</v>
      </c>
      <c r="L984" t="n">
        <v>0</v>
      </c>
      <c r="M984" t="n">
        <v>0</v>
      </c>
      <c r="N984" t="n">
        <v>0</v>
      </c>
      <c r="O984" t="n">
        <v>0</v>
      </c>
      <c r="P984" t="n">
        <v>0</v>
      </c>
      <c r="Q984" t="n">
        <v>0</v>
      </c>
      <c r="R984" s="2" t="inlineStr"/>
    </row>
    <row r="985" ht="15" customHeight="1">
      <c r="A985" t="inlineStr">
        <is>
          <t>A 2212-2023</t>
        </is>
      </c>
      <c r="B985" s="1" t="n">
        <v>44942.40657407408</v>
      </c>
      <c r="C985" s="1" t="n">
        <v>46098</v>
      </c>
      <c r="D985" t="inlineStr">
        <is>
          <t>UPPSALA LÄN</t>
        </is>
      </c>
      <c r="E985" t="inlineStr">
        <is>
          <t>HEBY</t>
        </is>
      </c>
      <c r="G985" t="n">
        <v>0.6</v>
      </c>
      <c r="H985" t="n">
        <v>0</v>
      </c>
      <c r="I985" t="n">
        <v>0</v>
      </c>
      <c r="J985" t="n">
        <v>0</v>
      </c>
      <c r="K985" t="n">
        <v>0</v>
      </c>
      <c r="L985" t="n">
        <v>0</v>
      </c>
      <c r="M985" t="n">
        <v>0</v>
      </c>
      <c r="N985" t="n">
        <v>0</v>
      </c>
      <c r="O985" t="n">
        <v>0</v>
      </c>
      <c r="P985" t="n">
        <v>0</v>
      </c>
      <c r="Q985" t="n">
        <v>0</v>
      </c>
      <c r="R985" s="2" t="inlineStr"/>
    </row>
    <row r="986" ht="15" customHeight="1">
      <c r="A986" t="inlineStr">
        <is>
          <t>A 59350-2021</t>
        </is>
      </c>
      <c r="B986" s="1" t="n">
        <v>44491.3346875</v>
      </c>
      <c r="C986" s="1" t="n">
        <v>46098</v>
      </c>
      <c r="D986" t="inlineStr">
        <is>
          <t>UPPSALA LÄN</t>
        </is>
      </c>
      <c r="E986" t="inlineStr">
        <is>
          <t>TIERP</t>
        </is>
      </c>
      <c r="F986" t="inlineStr">
        <is>
          <t>Bergvik skog öst AB</t>
        </is>
      </c>
      <c r="G986" t="n">
        <v>2.5</v>
      </c>
      <c r="H986" t="n">
        <v>0</v>
      </c>
      <c r="I986" t="n">
        <v>0</v>
      </c>
      <c r="J986" t="n">
        <v>0</v>
      </c>
      <c r="K986" t="n">
        <v>0</v>
      </c>
      <c r="L986" t="n">
        <v>0</v>
      </c>
      <c r="M986" t="n">
        <v>0</v>
      </c>
      <c r="N986" t="n">
        <v>0</v>
      </c>
      <c r="O986" t="n">
        <v>0</v>
      </c>
      <c r="P986" t="n">
        <v>0</v>
      </c>
      <c r="Q986" t="n">
        <v>0</v>
      </c>
      <c r="R986" s="2" t="inlineStr"/>
    </row>
    <row r="987" ht="15" customHeight="1">
      <c r="A987" t="inlineStr">
        <is>
          <t>A 8182-2022</t>
        </is>
      </c>
      <c r="B987" s="1" t="n">
        <v>44609.66260416667</v>
      </c>
      <c r="C987" s="1" t="n">
        <v>46098</v>
      </c>
      <c r="D987" t="inlineStr">
        <is>
          <t>UPPSALA LÄN</t>
        </is>
      </c>
      <c r="E987" t="inlineStr">
        <is>
          <t>HEBY</t>
        </is>
      </c>
      <c r="G987" t="n">
        <v>0.8</v>
      </c>
      <c r="H987" t="n">
        <v>0</v>
      </c>
      <c r="I987" t="n">
        <v>0</v>
      </c>
      <c r="J987" t="n">
        <v>0</v>
      </c>
      <c r="K987" t="n">
        <v>0</v>
      </c>
      <c r="L987" t="n">
        <v>0</v>
      </c>
      <c r="M987" t="n">
        <v>0</v>
      </c>
      <c r="N987" t="n">
        <v>0</v>
      </c>
      <c r="O987" t="n">
        <v>0</v>
      </c>
      <c r="P987" t="n">
        <v>0</v>
      </c>
      <c r="Q987" t="n">
        <v>0</v>
      </c>
      <c r="R987" s="2" t="inlineStr"/>
    </row>
    <row r="988" ht="15" customHeight="1">
      <c r="A988" t="inlineStr">
        <is>
          <t>A 73622-2021</t>
        </is>
      </c>
      <c r="B988" s="1" t="n">
        <v>44552</v>
      </c>
      <c r="C988" s="1" t="n">
        <v>46098</v>
      </c>
      <c r="D988" t="inlineStr">
        <is>
          <t>UPPSALA LÄN</t>
        </is>
      </c>
      <c r="E988" t="inlineStr">
        <is>
          <t>HEBY</t>
        </is>
      </c>
      <c r="G988" t="n">
        <v>0.7</v>
      </c>
      <c r="H988" t="n">
        <v>0</v>
      </c>
      <c r="I988" t="n">
        <v>0</v>
      </c>
      <c r="J988" t="n">
        <v>0</v>
      </c>
      <c r="K988" t="n">
        <v>0</v>
      </c>
      <c r="L988" t="n">
        <v>0</v>
      </c>
      <c r="M988" t="n">
        <v>0</v>
      </c>
      <c r="N988" t="n">
        <v>0</v>
      </c>
      <c r="O988" t="n">
        <v>0</v>
      </c>
      <c r="P988" t="n">
        <v>0</v>
      </c>
      <c r="Q988" t="n">
        <v>0</v>
      </c>
      <c r="R988" s="2" t="inlineStr"/>
    </row>
    <row r="989" ht="15" customHeight="1">
      <c r="A989" t="inlineStr">
        <is>
          <t>A 74436-2021</t>
        </is>
      </c>
      <c r="B989" s="1" t="n">
        <v>44560.4502199074</v>
      </c>
      <c r="C989" s="1" t="n">
        <v>46098</v>
      </c>
      <c r="D989" t="inlineStr">
        <is>
          <t>UPPSALA LÄN</t>
        </is>
      </c>
      <c r="E989" t="inlineStr">
        <is>
          <t>ÖSTHAMMAR</t>
        </is>
      </c>
      <c r="F989" t="inlineStr">
        <is>
          <t>Bergvik skog öst AB</t>
        </is>
      </c>
      <c r="G989" t="n">
        <v>1</v>
      </c>
      <c r="H989" t="n">
        <v>0</v>
      </c>
      <c r="I989" t="n">
        <v>0</v>
      </c>
      <c r="J989" t="n">
        <v>0</v>
      </c>
      <c r="K989" t="n">
        <v>0</v>
      </c>
      <c r="L989" t="n">
        <v>0</v>
      </c>
      <c r="M989" t="n">
        <v>0</v>
      </c>
      <c r="N989" t="n">
        <v>0</v>
      </c>
      <c r="O989" t="n">
        <v>0</v>
      </c>
      <c r="P989" t="n">
        <v>0</v>
      </c>
      <c r="Q989" t="n">
        <v>0</v>
      </c>
      <c r="R989" s="2" t="inlineStr"/>
    </row>
    <row r="990" ht="15" customHeight="1">
      <c r="A990" t="inlineStr">
        <is>
          <t>A 17651-2025</t>
        </is>
      </c>
      <c r="B990" s="1" t="n">
        <v>45758.33304398148</v>
      </c>
      <c r="C990" s="1" t="n">
        <v>46098</v>
      </c>
      <c r="D990" t="inlineStr">
        <is>
          <t>UPPSALA LÄN</t>
        </is>
      </c>
      <c r="E990" t="inlineStr">
        <is>
          <t>ÖSTHAMMAR</t>
        </is>
      </c>
      <c r="F990" t="inlineStr">
        <is>
          <t>Bergvik skog väst AB</t>
        </is>
      </c>
      <c r="G990" t="n">
        <v>1.8</v>
      </c>
      <c r="H990" t="n">
        <v>0</v>
      </c>
      <c r="I990" t="n">
        <v>0</v>
      </c>
      <c r="J990" t="n">
        <v>0</v>
      </c>
      <c r="K990" t="n">
        <v>0</v>
      </c>
      <c r="L990" t="n">
        <v>0</v>
      </c>
      <c r="M990" t="n">
        <v>0</v>
      </c>
      <c r="N990" t="n">
        <v>0</v>
      </c>
      <c r="O990" t="n">
        <v>0</v>
      </c>
      <c r="P990" t="n">
        <v>0</v>
      </c>
      <c r="Q990" t="n">
        <v>0</v>
      </c>
      <c r="R990" s="2" t="inlineStr"/>
    </row>
    <row r="991" ht="15" customHeight="1">
      <c r="A991" t="inlineStr">
        <is>
          <t>A 17657-2025</t>
        </is>
      </c>
      <c r="B991" s="1" t="n">
        <v>45758.35006944444</v>
      </c>
      <c r="C991" s="1" t="n">
        <v>46098</v>
      </c>
      <c r="D991" t="inlineStr">
        <is>
          <t>UPPSALA LÄN</t>
        </is>
      </c>
      <c r="E991" t="inlineStr">
        <is>
          <t>ENKÖPING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45915-2024</t>
        </is>
      </c>
      <c r="B992" s="1" t="n">
        <v>45580</v>
      </c>
      <c r="C992" s="1" t="n">
        <v>46098</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7100-2025</t>
        </is>
      </c>
      <c r="B993" s="1" t="n">
        <v>45701.83930555556</v>
      </c>
      <c r="C993" s="1" t="n">
        <v>46098</v>
      </c>
      <c r="D993" t="inlineStr">
        <is>
          <t>UPPSALA LÄN</t>
        </is>
      </c>
      <c r="E993" t="inlineStr">
        <is>
          <t>ÖSTHAMMAR</t>
        </is>
      </c>
      <c r="G993" t="n">
        <v>4.3</v>
      </c>
      <c r="H993" t="n">
        <v>0</v>
      </c>
      <c r="I993" t="n">
        <v>0</v>
      </c>
      <c r="J993" t="n">
        <v>0</v>
      </c>
      <c r="K993" t="n">
        <v>0</v>
      </c>
      <c r="L993" t="n">
        <v>0</v>
      </c>
      <c r="M993" t="n">
        <v>0</v>
      </c>
      <c r="N993" t="n">
        <v>0</v>
      </c>
      <c r="O993" t="n">
        <v>0</v>
      </c>
      <c r="P993" t="n">
        <v>0</v>
      </c>
      <c r="Q993" t="n">
        <v>0</v>
      </c>
      <c r="R993" s="2" t="inlineStr"/>
    </row>
    <row r="994" ht="15" customHeight="1">
      <c r="A994" t="inlineStr">
        <is>
          <t>A 34078-2022</t>
        </is>
      </c>
      <c r="B994" s="1" t="n">
        <v>44791</v>
      </c>
      <c r="C994" s="1" t="n">
        <v>46098</v>
      </c>
      <c r="D994" t="inlineStr">
        <is>
          <t>UPPSALA LÄN</t>
        </is>
      </c>
      <c r="E994" t="inlineStr">
        <is>
          <t>KNIVSTA</t>
        </is>
      </c>
      <c r="F994" t="inlineStr">
        <is>
          <t>Övriga statliga verk och myndigheter</t>
        </is>
      </c>
      <c r="G994" t="n">
        <v>1.8</v>
      </c>
      <c r="H994" t="n">
        <v>0</v>
      </c>
      <c r="I994" t="n">
        <v>0</v>
      </c>
      <c r="J994" t="n">
        <v>0</v>
      </c>
      <c r="K994" t="n">
        <v>0</v>
      </c>
      <c r="L994" t="n">
        <v>0</v>
      </c>
      <c r="M994" t="n">
        <v>0</v>
      </c>
      <c r="N994" t="n">
        <v>0</v>
      </c>
      <c r="O994" t="n">
        <v>0</v>
      </c>
      <c r="P994" t="n">
        <v>0</v>
      </c>
      <c r="Q994" t="n">
        <v>0</v>
      </c>
      <c r="R994" s="2" t="inlineStr"/>
    </row>
    <row r="995" ht="15" customHeight="1">
      <c r="A995" t="inlineStr">
        <is>
          <t>A 51935-2023</t>
        </is>
      </c>
      <c r="B995" s="1" t="n">
        <v>45223</v>
      </c>
      <c r="C995" s="1" t="n">
        <v>46098</v>
      </c>
      <c r="D995" t="inlineStr">
        <is>
          <t>UPPSALA LÄN</t>
        </is>
      </c>
      <c r="E995" t="inlineStr">
        <is>
          <t>UPPSALA</t>
        </is>
      </c>
      <c r="G995" t="n">
        <v>4.8</v>
      </c>
      <c r="H995" t="n">
        <v>0</v>
      </c>
      <c r="I995" t="n">
        <v>0</v>
      </c>
      <c r="J995" t="n">
        <v>0</v>
      </c>
      <c r="K995" t="n">
        <v>0</v>
      </c>
      <c r="L995" t="n">
        <v>0</v>
      </c>
      <c r="M995" t="n">
        <v>0</v>
      </c>
      <c r="N995" t="n">
        <v>0</v>
      </c>
      <c r="O995" t="n">
        <v>0</v>
      </c>
      <c r="P995" t="n">
        <v>0</v>
      </c>
      <c r="Q995" t="n">
        <v>0</v>
      </c>
      <c r="R995" s="2" t="inlineStr"/>
    </row>
    <row r="996" ht="15" customHeight="1">
      <c r="A996" t="inlineStr">
        <is>
          <t>A 48719-2023</t>
        </is>
      </c>
      <c r="B996" s="1" t="n">
        <v>45208.70452546296</v>
      </c>
      <c r="C996" s="1" t="n">
        <v>46098</v>
      </c>
      <c r="D996" t="inlineStr">
        <is>
          <t>UPPSALA LÄN</t>
        </is>
      </c>
      <c r="E996" t="inlineStr">
        <is>
          <t>ÖSTHAMMAR</t>
        </is>
      </c>
      <c r="G996" t="n">
        <v>0.6</v>
      </c>
      <c r="H996" t="n">
        <v>0</v>
      </c>
      <c r="I996" t="n">
        <v>0</v>
      </c>
      <c r="J996" t="n">
        <v>0</v>
      </c>
      <c r="K996" t="n">
        <v>0</v>
      </c>
      <c r="L996" t="n">
        <v>0</v>
      </c>
      <c r="M996" t="n">
        <v>0</v>
      </c>
      <c r="N996" t="n">
        <v>0</v>
      </c>
      <c r="O996" t="n">
        <v>0</v>
      </c>
      <c r="P996" t="n">
        <v>0</v>
      </c>
      <c r="Q996" t="n">
        <v>0</v>
      </c>
      <c r="R996" s="2" t="inlineStr"/>
    </row>
    <row r="997" ht="15" customHeight="1">
      <c r="A997" t="inlineStr">
        <is>
          <t>A 25408-2023</t>
        </is>
      </c>
      <c r="B997" s="1" t="n">
        <v>45080</v>
      </c>
      <c r="C997" s="1" t="n">
        <v>46098</v>
      </c>
      <c r="D997" t="inlineStr">
        <is>
          <t>UPPSALA LÄN</t>
        </is>
      </c>
      <c r="E997" t="inlineStr">
        <is>
          <t>TIERP</t>
        </is>
      </c>
      <c r="G997" t="n">
        <v>0.9</v>
      </c>
      <c r="H997" t="n">
        <v>0</v>
      </c>
      <c r="I997" t="n">
        <v>0</v>
      </c>
      <c r="J997" t="n">
        <v>0</v>
      </c>
      <c r="K997" t="n">
        <v>0</v>
      </c>
      <c r="L997" t="n">
        <v>0</v>
      </c>
      <c r="M997" t="n">
        <v>0</v>
      </c>
      <c r="N997" t="n">
        <v>0</v>
      </c>
      <c r="O997" t="n">
        <v>0</v>
      </c>
      <c r="P997" t="n">
        <v>0</v>
      </c>
      <c r="Q997" t="n">
        <v>0</v>
      </c>
      <c r="R997" s="2" t="inlineStr"/>
    </row>
    <row r="998" ht="15" customHeight="1">
      <c r="A998" t="inlineStr">
        <is>
          <t>A 49568-2022</t>
        </is>
      </c>
      <c r="B998" s="1" t="n">
        <v>44862.32791666667</v>
      </c>
      <c r="C998" s="1" t="n">
        <v>46098</v>
      </c>
      <c r="D998" t="inlineStr">
        <is>
          <t>UPPSALA LÄN</t>
        </is>
      </c>
      <c r="E998" t="inlineStr">
        <is>
          <t>ENKÖPING</t>
        </is>
      </c>
      <c r="G998" t="n">
        <v>0.9</v>
      </c>
      <c r="H998" t="n">
        <v>0</v>
      </c>
      <c r="I998" t="n">
        <v>0</v>
      </c>
      <c r="J998" t="n">
        <v>0</v>
      </c>
      <c r="K998" t="n">
        <v>0</v>
      </c>
      <c r="L998" t="n">
        <v>0</v>
      </c>
      <c r="M998" t="n">
        <v>0</v>
      </c>
      <c r="N998" t="n">
        <v>0</v>
      </c>
      <c r="O998" t="n">
        <v>0</v>
      </c>
      <c r="P998" t="n">
        <v>0</v>
      </c>
      <c r="Q998" t="n">
        <v>0</v>
      </c>
      <c r="R998" s="2" t="inlineStr"/>
    </row>
    <row r="999" ht="15" customHeight="1">
      <c r="A999" t="inlineStr">
        <is>
          <t>A 31574-2022</t>
        </is>
      </c>
      <c r="B999" s="1" t="n">
        <v>44775</v>
      </c>
      <c r="C999" s="1" t="n">
        <v>46098</v>
      </c>
      <c r="D999" t="inlineStr">
        <is>
          <t>UPPSALA LÄN</t>
        </is>
      </c>
      <c r="E999" t="inlineStr">
        <is>
          <t>ÖSTHAMMAR</t>
        </is>
      </c>
      <c r="G999" t="n">
        <v>29.7</v>
      </c>
      <c r="H999" t="n">
        <v>0</v>
      </c>
      <c r="I999" t="n">
        <v>0</v>
      </c>
      <c r="J999" t="n">
        <v>0</v>
      </c>
      <c r="K999" t="n">
        <v>0</v>
      </c>
      <c r="L999" t="n">
        <v>0</v>
      </c>
      <c r="M999" t="n">
        <v>0</v>
      </c>
      <c r="N999" t="n">
        <v>0</v>
      </c>
      <c r="O999" t="n">
        <v>0</v>
      </c>
      <c r="P999" t="n">
        <v>0</v>
      </c>
      <c r="Q999" t="n">
        <v>0</v>
      </c>
      <c r="R999" s="2" t="inlineStr"/>
    </row>
    <row r="1000" ht="15" customHeight="1">
      <c r="A1000" t="inlineStr">
        <is>
          <t>A 61033-2024</t>
        </is>
      </c>
      <c r="B1000" s="1" t="n">
        <v>45645.46418981482</v>
      </c>
      <c r="C1000" s="1" t="n">
        <v>46098</v>
      </c>
      <c r="D1000" t="inlineStr">
        <is>
          <t>UPPSALA LÄN</t>
        </is>
      </c>
      <c r="E1000" t="inlineStr">
        <is>
          <t>HEBY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17747-2021</t>
        </is>
      </c>
      <c r="B1001" s="1" t="n">
        <v>44300</v>
      </c>
      <c r="C1001" s="1" t="n">
        <v>46098</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47681-2024</t>
        </is>
      </c>
      <c r="B1002" s="1" t="n">
        <v>45588</v>
      </c>
      <c r="C1002" s="1" t="n">
        <v>46098</v>
      </c>
      <c r="D1002" t="inlineStr">
        <is>
          <t>UPPSALA LÄN</t>
        </is>
      </c>
      <c r="E1002" t="inlineStr">
        <is>
          <t>ENKÖPING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54449-2024</t>
        </is>
      </c>
      <c r="B1003" s="1" t="n">
        <v>45617</v>
      </c>
      <c r="C1003" s="1" t="n">
        <v>46098</v>
      </c>
      <c r="D1003" t="inlineStr">
        <is>
          <t>UPPSALA LÄN</t>
        </is>
      </c>
      <c r="E1003" t="inlineStr">
        <is>
          <t>TIERP</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13354-2024</t>
        </is>
      </c>
      <c r="B1004" s="1" t="n">
        <v>45387.33554398148</v>
      </c>
      <c r="C1004" s="1" t="n">
        <v>46098</v>
      </c>
      <c r="D1004" t="inlineStr">
        <is>
          <t>UPPSALA LÄN</t>
        </is>
      </c>
      <c r="E1004" t="inlineStr">
        <is>
          <t>TIERP</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21862-2023</t>
        </is>
      </c>
      <c r="B1005" s="1" t="n">
        <v>45068</v>
      </c>
      <c r="C1005" s="1" t="n">
        <v>46098</v>
      </c>
      <c r="D1005" t="inlineStr">
        <is>
          <t>UPPSALA LÄN</t>
        </is>
      </c>
      <c r="E1005" t="inlineStr">
        <is>
          <t>ÖSTHAMMAR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55086-2024</t>
        </is>
      </c>
      <c r="B1006" s="1" t="n">
        <v>45621.43098379629</v>
      </c>
      <c r="C1006" s="1" t="n">
        <v>46098</v>
      </c>
      <c r="D1006" t="inlineStr">
        <is>
          <t>UPPSALA LÄN</t>
        </is>
      </c>
      <c r="E1006" t="inlineStr">
        <is>
          <t>ÖSTHAMMAR</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62695-2023</t>
        </is>
      </c>
      <c r="B1007" s="1" t="n">
        <v>45271</v>
      </c>
      <c r="C1007" s="1" t="n">
        <v>46098</v>
      </c>
      <c r="D1007" t="inlineStr">
        <is>
          <t>UPPSALA LÄN</t>
        </is>
      </c>
      <c r="E1007" t="inlineStr">
        <is>
          <t>ÖSTHAMMAR</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41979-2024</t>
        </is>
      </c>
      <c r="B1008" s="1" t="n">
        <v>45561</v>
      </c>
      <c r="C1008" s="1" t="n">
        <v>46098</v>
      </c>
      <c r="D1008" t="inlineStr">
        <is>
          <t>UPPSALA LÄN</t>
        </is>
      </c>
      <c r="E1008" t="inlineStr">
        <is>
          <t>ÄLVKARLEBY</t>
        </is>
      </c>
      <c r="F1008" t="inlineStr">
        <is>
          <t>Bergvik skog väst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1086-2025</t>
        </is>
      </c>
      <c r="B1009" s="1" t="n">
        <v>45666</v>
      </c>
      <c r="C1009" s="1" t="n">
        <v>46098</v>
      </c>
      <c r="D1009" t="inlineStr">
        <is>
          <t>UPPSALA LÄN</t>
        </is>
      </c>
      <c r="E1009" t="inlineStr">
        <is>
          <t>HEBY</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26323-2023</t>
        </is>
      </c>
      <c r="B1010" s="1" t="n">
        <v>45091.69766203704</v>
      </c>
      <c r="C1010" s="1" t="n">
        <v>46098</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29824-2023</t>
        </is>
      </c>
      <c r="B1011" s="1" t="n">
        <v>45107</v>
      </c>
      <c r="C1011" s="1" t="n">
        <v>46098</v>
      </c>
      <c r="D1011" t="inlineStr">
        <is>
          <t>UPPSALA LÄN</t>
        </is>
      </c>
      <c r="E1011" t="inlineStr">
        <is>
          <t>ÖSTHAMMAR</t>
        </is>
      </c>
      <c r="F1011" t="inlineStr">
        <is>
          <t>Naturvårdsverket</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2927-2022</t>
        </is>
      </c>
      <c r="B1012" s="1" t="n">
        <v>44581.60254629629</v>
      </c>
      <c r="C1012" s="1" t="n">
        <v>46098</v>
      </c>
      <c r="D1012" t="inlineStr">
        <is>
          <t>UPPSALA LÄN</t>
        </is>
      </c>
      <c r="E1012" t="inlineStr">
        <is>
          <t>UPPSALA</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4559-2022</t>
        </is>
      </c>
      <c r="B1013" s="1" t="n">
        <v>44591.51854166666</v>
      </c>
      <c r="C1013" s="1" t="n">
        <v>46098</v>
      </c>
      <c r="D1013" t="inlineStr">
        <is>
          <t>UPPSALA LÄN</t>
        </is>
      </c>
      <c r="E1013" t="inlineStr">
        <is>
          <t>ÖSTHAMMAR</t>
        </is>
      </c>
      <c r="F1013" t="inlineStr">
        <is>
          <t>Bergvik skog öst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19304-2024</t>
        </is>
      </c>
      <c r="B1014" s="1" t="n">
        <v>45428</v>
      </c>
      <c r="C1014" s="1" t="n">
        <v>46098</v>
      </c>
      <c r="D1014" t="inlineStr">
        <is>
          <t>UPPSALA LÄN</t>
        </is>
      </c>
      <c r="E1014" t="inlineStr">
        <is>
          <t>ÄLVKARLEBY</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6059-2025</t>
        </is>
      </c>
      <c r="B1015" s="1" t="n">
        <v>45695.8391550926</v>
      </c>
      <c r="C1015" s="1" t="n">
        <v>46098</v>
      </c>
      <c r="D1015" t="inlineStr">
        <is>
          <t>UPPSALA LÄN</t>
        </is>
      </c>
      <c r="E1015" t="inlineStr">
        <is>
          <t>UPPSALA</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47410-2025</t>
        </is>
      </c>
      <c r="B1016" s="1" t="n">
        <v>45930.61623842592</v>
      </c>
      <c r="C1016" s="1" t="n">
        <v>46098</v>
      </c>
      <c r="D1016" t="inlineStr">
        <is>
          <t>UPPSALA LÄN</t>
        </is>
      </c>
      <c r="E1016" t="inlineStr">
        <is>
          <t>HEBY</t>
        </is>
      </c>
      <c r="F1016" t="inlineStr">
        <is>
          <t>Bergvik skog väst AB</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47803-2025</t>
        </is>
      </c>
      <c r="B1017" s="1" t="n">
        <v>45931</v>
      </c>
      <c r="C1017" s="1" t="n">
        <v>46098</v>
      </c>
      <c r="D1017" t="inlineStr">
        <is>
          <t>UPPSALA LÄN</t>
        </is>
      </c>
      <c r="E1017" t="inlineStr">
        <is>
          <t>KNIVSTA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44131-2023</t>
        </is>
      </c>
      <c r="B1018" s="1" t="n">
        <v>45188</v>
      </c>
      <c r="C1018" s="1" t="n">
        <v>46098</v>
      </c>
      <c r="D1018" t="inlineStr">
        <is>
          <t>UPPSALA LÄN</t>
        </is>
      </c>
      <c r="E1018" t="inlineStr">
        <is>
          <t>ENKÖPING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32479-2025</t>
        </is>
      </c>
      <c r="B1019" s="1" t="n">
        <v>45838</v>
      </c>
      <c r="C1019" s="1" t="n">
        <v>46098</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43795-2023</t>
        </is>
      </c>
      <c r="B1020" s="1" t="n">
        <v>45182</v>
      </c>
      <c r="C1020" s="1" t="n">
        <v>46098</v>
      </c>
      <c r="D1020" t="inlineStr">
        <is>
          <t>UPPSALA LÄN</t>
        </is>
      </c>
      <c r="E1020" t="inlineStr">
        <is>
          <t>UPPSALA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10982-2023</t>
        </is>
      </c>
      <c r="B1021" s="1" t="n">
        <v>44991.62203703704</v>
      </c>
      <c r="C1021" s="1" t="n">
        <v>46098</v>
      </c>
      <c r="D1021" t="inlineStr">
        <is>
          <t>UPPSALA LÄN</t>
        </is>
      </c>
      <c r="E1021" t="inlineStr">
        <is>
          <t>ÖSTHAMMAR</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47614-2025</t>
        </is>
      </c>
      <c r="B1022" s="1" t="n">
        <v>45931.47211805556</v>
      </c>
      <c r="C1022" s="1" t="n">
        <v>46098</v>
      </c>
      <c r="D1022" t="inlineStr">
        <is>
          <t>UPPSALA LÄN</t>
        </is>
      </c>
      <c r="E1022" t="inlineStr">
        <is>
          <t>ÖSTHAMMAR</t>
        </is>
      </c>
      <c r="G1022" t="n">
        <v>22.8</v>
      </c>
      <c r="H1022" t="n">
        <v>0</v>
      </c>
      <c r="I1022" t="n">
        <v>0</v>
      </c>
      <c r="J1022" t="n">
        <v>0</v>
      </c>
      <c r="K1022" t="n">
        <v>0</v>
      </c>
      <c r="L1022" t="n">
        <v>0</v>
      </c>
      <c r="M1022" t="n">
        <v>0</v>
      </c>
      <c r="N1022" t="n">
        <v>0</v>
      </c>
      <c r="O1022" t="n">
        <v>0</v>
      </c>
      <c r="P1022" t="n">
        <v>0</v>
      </c>
      <c r="Q1022" t="n">
        <v>0</v>
      </c>
      <c r="R1022" s="2" t="inlineStr"/>
    </row>
    <row r="1023" ht="15" customHeight="1">
      <c r="A1023" t="inlineStr">
        <is>
          <t>A 47615-2025</t>
        </is>
      </c>
      <c r="B1023" s="1" t="n">
        <v>45931.47542824074</v>
      </c>
      <c r="C1023" s="1" t="n">
        <v>46098</v>
      </c>
      <c r="D1023" t="inlineStr">
        <is>
          <t>UPPSALA LÄN</t>
        </is>
      </c>
      <c r="E1023" t="inlineStr">
        <is>
          <t>ÖSTHAMMAR</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60533-2021</t>
        </is>
      </c>
      <c r="B1024" s="1" t="n">
        <v>44496</v>
      </c>
      <c r="C1024" s="1" t="n">
        <v>46098</v>
      </c>
      <c r="D1024" t="inlineStr">
        <is>
          <t>UPPSALA LÄN</t>
        </is>
      </c>
      <c r="E1024" t="inlineStr">
        <is>
          <t>ENKÖPING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60577-2021</t>
        </is>
      </c>
      <c r="B1025" s="1" t="n">
        <v>44496.57019675926</v>
      </c>
      <c r="C1025" s="1" t="n">
        <v>46098</v>
      </c>
      <c r="D1025" t="inlineStr">
        <is>
          <t>UPPSALA LÄN</t>
        </is>
      </c>
      <c r="E1025" t="inlineStr">
        <is>
          <t>ÖSTHAMMAR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21017-2023</t>
        </is>
      </c>
      <c r="B1026" s="1" t="n">
        <v>45061</v>
      </c>
      <c r="C1026" s="1" t="n">
        <v>46098</v>
      </c>
      <c r="D1026" t="inlineStr">
        <is>
          <t>UPPSALA LÄN</t>
        </is>
      </c>
      <c r="E1026" t="inlineStr">
        <is>
          <t>ENKÖPING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5989-2022</t>
        </is>
      </c>
      <c r="B1027" s="1" t="n">
        <v>44599.42277777778</v>
      </c>
      <c r="C1027" s="1" t="n">
        <v>46098</v>
      </c>
      <c r="D1027" t="inlineStr">
        <is>
          <t>UPPSALA LÄN</t>
        </is>
      </c>
      <c r="E1027" t="inlineStr">
        <is>
          <t>UPPSALA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47840-2025</t>
        </is>
      </c>
      <c r="B1028" s="1" t="n">
        <v>45932.37375</v>
      </c>
      <c r="C1028" s="1" t="n">
        <v>46098</v>
      </c>
      <c r="D1028" t="inlineStr">
        <is>
          <t>UPPSALA LÄN</t>
        </is>
      </c>
      <c r="E1028" t="inlineStr">
        <is>
          <t>UPPSALA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17595-2025</t>
        </is>
      </c>
      <c r="B1029" s="1" t="n">
        <v>45757</v>
      </c>
      <c r="C1029" s="1" t="n">
        <v>46098</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53496-2022</t>
        </is>
      </c>
      <c r="B1030" s="1" t="n">
        <v>44879.57217592592</v>
      </c>
      <c r="C1030" s="1" t="n">
        <v>46098</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47999-2025</t>
        </is>
      </c>
      <c r="B1031" s="1" t="n">
        <v>45932.62907407407</v>
      </c>
      <c r="C1031" s="1" t="n">
        <v>46098</v>
      </c>
      <c r="D1031" t="inlineStr">
        <is>
          <t>UPPSALA LÄN</t>
        </is>
      </c>
      <c r="E1031" t="inlineStr">
        <is>
          <t>UPPSALA</t>
        </is>
      </c>
      <c r="F1031" t="inlineStr">
        <is>
          <t>Allmännings- och besparingsskogar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20046-2023</t>
        </is>
      </c>
      <c r="B1032" s="1" t="n">
        <v>45054</v>
      </c>
      <c r="C1032" s="1" t="n">
        <v>46098</v>
      </c>
      <c r="D1032" t="inlineStr">
        <is>
          <t>UPPSALA LÄN</t>
        </is>
      </c>
      <c r="E1032" t="inlineStr">
        <is>
          <t>ÖSTHAMMAR</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23291-2024</t>
        </is>
      </c>
      <c r="B1033" s="1" t="n">
        <v>45453</v>
      </c>
      <c r="C1033" s="1" t="n">
        <v>46098</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59562-2024</t>
        </is>
      </c>
      <c r="B1034" s="1" t="n">
        <v>45638</v>
      </c>
      <c r="C1034" s="1" t="n">
        <v>46098</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10495-2025</t>
        </is>
      </c>
      <c r="B1035" s="1" t="n">
        <v>45721</v>
      </c>
      <c r="C1035" s="1" t="n">
        <v>46098</v>
      </c>
      <c r="D1035" t="inlineStr">
        <is>
          <t>UPPSALA LÄN</t>
        </is>
      </c>
      <c r="E1035" t="inlineStr">
        <is>
          <t>ÖSTHAMMAR</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35875-2022</t>
        </is>
      </c>
      <c r="B1036" s="1" t="n">
        <v>44802</v>
      </c>
      <c r="C1036" s="1" t="n">
        <v>46098</v>
      </c>
      <c r="D1036" t="inlineStr">
        <is>
          <t>UPPSALA LÄN</t>
        </is>
      </c>
      <c r="E1036" t="inlineStr">
        <is>
          <t>HEBY</t>
        </is>
      </c>
      <c r="G1036" t="n">
        <v>12.1</v>
      </c>
      <c r="H1036" t="n">
        <v>0</v>
      </c>
      <c r="I1036" t="n">
        <v>0</v>
      </c>
      <c r="J1036" t="n">
        <v>0</v>
      </c>
      <c r="K1036" t="n">
        <v>0</v>
      </c>
      <c r="L1036" t="n">
        <v>0</v>
      </c>
      <c r="M1036" t="n">
        <v>0</v>
      </c>
      <c r="N1036" t="n">
        <v>0</v>
      </c>
      <c r="O1036" t="n">
        <v>0</v>
      </c>
      <c r="P1036" t="n">
        <v>0</v>
      </c>
      <c r="Q1036" t="n">
        <v>0</v>
      </c>
      <c r="R1036" s="2" t="inlineStr"/>
    </row>
    <row r="1037" ht="15" customHeight="1">
      <c r="A1037" t="inlineStr">
        <is>
          <t>A 20797-2025</t>
        </is>
      </c>
      <c r="B1037" s="1" t="n">
        <v>45776.6415162037</v>
      </c>
      <c r="C1037" s="1" t="n">
        <v>46098</v>
      </c>
      <c r="D1037" t="inlineStr">
        <is>
          <t>UPPSALA LÄN</t>
        </is>
      </c>
      <c r="E1037" t="inlineStr">
        <is>
          <t>UPPSALA</t>
        </is>
      </c>
      <c r="F1037" t="inlineStr">
        <is>
          <t>Kommuner</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1791-2023</t>
        </is>
      </c>
      <c r="B1038" s="1" t="n">
        <v>44938</v>
      </c>
      <c r="C1038" s="1" t="n">
        <v>46098</v>
      </c>
      <c r="D1038" t="inlineStr">
        <is>
          <t>UPPSALA LÄN</t>
        </is>
      </c>
      <c r="E1038" t="inlineStr">
        <is>
          <t>ÖSTHAMMAR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20641-2025</t>
        </is>
      </c>
      <c r="B1039" s="1" t="n">
        <v>45776.37788194444</v>
      </c>
      <c r="C1039" s="1" t="n">
        <v>46098</v>
      </c>
      <c r="D1039" t="inlineStr">
        <is>
          <t>UPPSALA LÄN</t>
        </is>
      </c>
      <c r="E1039" t="inlineStr">
        <is>
          <t>TIERP</t>
        </is>
      </c>
      <c r="F1039" t="inlineStr">
        <is>
          <t>Bergvik skog öst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20644-2025</t>
        </is>
      </c>
      <c r="B1040" s="1" t="n">
        <v>45776.37835648148</v>
      </c>
      <c r="C1040" s="1" t="n">
        <v>46098</v>
      </c>
      <c r="D1040" t="inlineStr">
        <is>
          <t>UPPSALA LÄN</t>
        </is>
      </c>
      <c r="E1040" t="inlineStr">
        <is>
          <t>TIERP</t>
        </is>
      </c>
      <c r="F1040" t="inlineStr">
        <is>
          <t>Bergvik skog öst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32871-2024</t>
        </is>
      </c>
      <c r="B1041" s="1" t="n">
        <v>45516.66552083333</v>
      </c>
      <c r="C1041" s="1" t="n">
        <v>46098</v>
      </c>
      <c r="D1041" t="inlineStr">
        <is>
          <t>UPPSALA LÄN</t>
        </is>
      </c>
      <c r="E1041" t="inlineStr">
        <is>
          <t>TIERP</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2171-2024</t>
        </is>
      </c>
      <c r="B1042" s="1" t="n">
        <v>45309</v>
      </c>
      <c r="C1042" s="1" t="n">
        <v>46098</v>
      </c>
      <c r="D1042" t="inlineStr">
        <is>
          <t>UPPSALA LÄN</t>
        </is>
      </c>
      <c r="E1042" t="inlineStr">
        <is>
          <t>KNIVSTA</t>
        </is>
      </c>
      <c r="F1042" t="inlineStr">
        <is>
          <t>Holmen skog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35052-2024</t>
        </is>
      </c>
      <c r="B1043" s="1" t="n">
        <v>45527.6516087963</v>
      </c>
      <c r="C1043" s="1" t="n">
        <v>46098</v>
      </c>
      <c r="D1043" t="inlineStr">
        <is>
          <t>UPPSALA LÄN</t>
        </is>
      </c>
      <c r="E1043" t="inlineStr">
        <is>
          <t>ENKÖPING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20990-2025</t>
        </is>
      </c>
      <c r="B1044" s="1" t="n">
        <v>45777</v>
      </c>
      <c r="C1044" s="1" t="n">
        <v>46098</v>
      </c>
      <c r="D1044" t="inlineStr">
        <is>
          <t>UPPSALA LÄN</t>
        </is>
      </c>
      <c r="E1044" t="inlineStr">
        <is>
          <t>HEBY</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33667-2024</t>
        </is>
      </c>
      <c r="B1045" s="1" t="n">
        <v>45520</v>
      </c>
      <c r="C1045" s="1" t="n">
        <v>46098</v>
      </c>
      <c r="D1045" t="inlineStr">
        <is>
          <t>UPPSALA LÄN</t>
        </is>
      </c>
      <c r="E1045" t="inlineStr">
        <is>
          <t>UPPSALA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20886-2025</t>
        </is>
      </c>
      <c r="B1046" s="1" t="n">
        <v>45777.36902777778</v>
      </c>
      <c r="C1046" s="1" t="n">
        <v>46098</v>
      </c>
      <c r="D1046" t="inlineStr">
        <is>
          <t>UPPSALA LÄN</t>
        </is>
      </c>
      <c r="E1046" t="inlineStr">
        <is>
          <t>TIERP</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20888-2025</t>
        </is>
      </c>
      <c r="B1047" s="1" t="n">
        <v>45777.37119212963</v>
      </c>
      <c r="C1047" s="1" t="n">
        <v>46098</v>
      </c>
      <c r="D1047" t="inlineStr">
        <is>
          <t>UPPSALA LÄN</t>
        </is>
      </c>
      <c r="E1047" t="inlineStr">
        <is>
          <t>UPPSALA</t>
        </is>
      </c>
      <c r="F1047" t="inlineStr">
        <is>
          <t>Övriga statliga verk och myndigheter</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47861-2025</t>
        </is>
      </c>
      <c r="B1048" s="1" t="n">
        <v>45932.42315972222</v>
      </c>
      <c r="C1048" s="1" t="n">
        <v>46098</v>
      </c>
      <c r="D1048" t="inlineStr">
        <is>
          <t>UPPSALA LÄN</t>
        </is>
      </c>
      <c r="E1048" t="inlineStr">
        <is>
          <t>HEBY</t>
        </is>
      </c>
      <c r="F1048" t="inlineStr">
        <is>
          <t>Allmännings- och besparingsskogar</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20928-2025</t>
        </is>
      </c>
      <c r="B1049" s="1" t="n">
        <v>45777</v>
      </c>
      <c r="C1049" s="1" t="n">
        <v>46098</v>
      </c>
      <c r="D1049" t="inlineStr">
        <is>
          <t>UPPSALA LÄN</t>
        </is>
      </c>
      <c r="E1049" t="inlineStr">
        <is>
          <t>UPPSALA</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45107.55574074074</v>
      </c>
      <c r="C1050" s="1" t="n">
        <v>46098</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51008-2024</t>
        </is>
      </c>
      <c r="B1051" s="1" t="n">
        <v>45603.39041666667</v>
      </c>
      <c r="C1051" s="1" t="n">
        <v>46098</v>
      </c>
      <c r="D1051" t="inlineStr">
        <is>
          <t>UPPSALA LÄN</t>
        </is>
      </c>
      <c r="E1051" t="inlineStr">
        <is>
          <t>ENKÖPING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19697-2025</t>
        </is>
      </c>
      <c r="B1052" s="1" t="n">
        <v>45771</v>
      </c>
      <c r="C1052" s="1" t="n">
        <v>46098</v>
      </c>
      <c r="D1052" t="inlineStr">
        <is>
          <t>UPPSALA LÄN</t>
        </is>
      </c>
      <c r="E1052" t="inlineStr">
        <is>
          <t>ÄLVKARLEBY</t>
        </is>
      </c>
      <c r="F1052" t="inlineStr">
        <is>
          <t>Bergvik skog väst AB</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20686-2025</t>
        </is>
      </c>
      <c r="B1053" s="1" t="n">
        <v>45776.45263888889</v>
      </c>
      <c r="C1053" s="1" t="n">
        <v>46098</v>
      </c>
      <c r="D1053" t="inlineStr">
        <is>
          <t>UPPSALA LÄN</t>
        </is>
      </c>
      <c r="E1053" t="inlineStr">
        <is>
          <t>UPPSALA</t>
        </is>
      </c>
      <c r="F1053" t="inlineStr">
        <is>
          <t>Holmen skog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47961-2025</t>
        </is>
      </c>
      <c r="B1054" s="1" t="n">
        <v>45932.59373842592</v>
      </c>
      <c r="C1054" s="1" t="n">
        <v>46098</v>
      </c>
      <c r="D1054" t="inlineStr">
        <is>
          <t>UPPSALA LÄN</t>
        </is>
      </c>
      <c r="E1054" t="inlineStr">
        <is>
          <t>UPPSALA</t>
        </is>
      </c>
      <c r="F1054" t="inlineStr">
        <is>
          <t>Allmännings- och besparingsskogar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47978-2025</t>
        </is>
      </c>
      <c r="B1055" s="1" t="n">
        <v>45932.61177083333</v>
      </c>
      <c r="C1055" s="1" t="n">
        <v>46098</v>
      </c>
      <c r="D1055" t="inlineStr">
        <is>
          <t>UPPSALA LÄN</t>
        </is>
      </c>
      <c r="E1055" t="inlineStr">
        <is>
          <t>UPPSALA</t>
        </is>
      </c>
      <c r="F1055" t="inlineStr">
        <is>
          <t>Allmännings- och besparingsskogar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47890-2025</t>
        </is>
      </c>
      <c r="B1056" s="1" t="n">
        <v>45932.47104166666</v>
      </c>
      <c r="C1056" s="1" t="n">
        <v>46098</v>
      </c>
      <c r="D1056" t="inlineStr">
        <is>
          <t>UPPSALA LÄN</t>
        </is>
      </c>
      <c r="E1056" t="inlineStr">
        <is>
          <t>HEBY</t>
        </is>
      </c>
      <c r="F1056" t="inlineStr">
        <is>
          <t>Allmännings- och besparingsskogar</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21033-2025</t>
        </is>
      </c>
      <c r="B1057" s="1" t="n">
        <v>45777.52655092593</v>
      </c>
      <c r="C1057" s="1" t="n">
        <v>46098</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21047-2025</t>
        </is>
      </c>
      <c r="B1058" s="1" t="n">
        <v>45777.55640046296</v>
      </c>
      <c r="C1058" s="1" t="n">
        <v>46098</v>
      </c>
      <c r="D1058" t="inlineStr">
        <is>
          <t>UPPSALA LÄN</t>
        </is>
      </c>
      <c r="E1058" t="inlineStr">
        <is>
          <t>TIERP</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20874-2025</t>
        </is>
      </c>
      <c r="B1059" s="1" t="n">
        <v>45777.34894675926</v>
      </c>
      <c r="C1059" s="1" t="n">
        <v>46098</v>
      </c>
      <c r="D1059" t="inlineStr">
        <is>
          <t>UPPSALA LÄN</t>
        </is>
      </c>
      <c r="E1059" t="inlineStr">
        <is>
          <t>UPPSALA</t>
        </is>
      </c>
      <c r="F1059" t="inlineStr">
        <is>
          <t>Övriga Aktiebolag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47508-2025</t>
        </is>
      </c>
      <c r="B1060" s="1" t="n">
        <v>45930.87245370371</v>
      </c>
      <c r="C1060" s="1" t="n">
        <v>46098</v>
      </c>
      <c r="D1060" t="inlineStr">
        <is>
          <t>UPPSALA LÄN</t>
        </is>
      </c>
      <c r="E1060" t="inlineStr">
        <is>
          <t>HEBY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49796-2024</t>
        </is>
      </c>
      <c r="B1061" s="1" t="n">
        <v>45597</v>
      </c>
      <c r="C1061" s="1" t="n">
        <v>46098</v>
      </c>
      <c r="D1061" t="inlineStr">
        <is>
          <t>UPPSALA LÄN</t>
        </is>
      </c>
      <c r="E1061" t="inlineStr">
        <is>
          <t>ÖSTHAMMAR</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44847-2024</t>
        </is>
      </c>
      <c r="B1062" s="1" t="n">
        <v>45574</v>
      </c>
      <c r="C1062" s="1" t="n">
        <v>46098</v>
      </c>
      <c r="D1062" t="inlineStr">
        <is>
          <t>UPPSALA LÄN</t>
        </is>
      </c>
      <c r="E1062" t="inlineStr">
        <is>
          <t>UPPSALA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15424-2025</t>
        </is>
      </c>
      <c r="B1063" s="1" t="n">
        <v>45747.46403935185</v>
      </c>
      <c r="C1063" s="1" t="n">
        <v>46098</v>
      </c>
      <c r="D1063" t="inlineStr">
        <is>
          <t>UPPSALA LÄN</t>
        </is>
      </c>
      <c r="E1063" t="inlineStr">
        <is>
          <t>HEBY</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47506-2025</t>
        </is>
      </c>
      <c r="B1064" s="1" t="n">
        <v>45930.86828703704</v>
      </c>
      <c r="C1064" s="1" t="n">
        <v>46098</v>
      </c>
      <c r="D1064" t="inlineStr">
        <is>
          <t>UPPSALA LÄN</t>
        </is>
      </c>
      <c r="E1064" t="inlineStr">
        <is>
          <t>HEBY</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1951-2024</t>
        </is>
      </c>
      <c r="B1065" s="1" t="n">
        <v>45308.49630787037</v>
      </c>
      <c r="C1065" s="1" t="n">
        <v>46098</v>
      </c>
      <c r="D1065" t="inlineStr">
        <is>
          <t>UPPSALA LÄN</t>
        </is>
      </c>
      <c r="E1065" t="inlineStr">
        <is>
          <t>TIERP</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4343-2025</t>
        </is>
      </c>
      <c r="B1066" s="1" t="n">
        <v>45685.91146990741</v>
      </c>
      <c r="C1066" s="1" t="n">
        <v>46098</v>
      </c>
      <c r="D1066" t="inlineStr">
        <is>
          <t>UPPSALA LÄN</t>
        </is>
      </c>
      <c r="E1066" t="inlineStr">
        <is>
          <t>TIERP</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46275-2022</t>
        </is>
      </c>
      <c r="B1067" s="1" t="n">
        <v>44847</v>
      </c>
      <c r="C1067" s="1" t="n">
        <v>46098</v>
      </c>
      <c r="D1067" t="inlineStr">
        <is>
          <t>UPPSALA LÄN</t>
        </is>
      </c>
      <c r="E1067" t="inlineStr">
        <is>
          <t>TIERP</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20703-2025</t>
        </is>
      </c>
      <c r="B1068" s="1" t="n">
        <v>45776.48275462963</v>
      </c>
      <c r="C1068" s="1" t="n">
        <v>46098</v>
      </c>
      <c r="D1068" t="inlineStr">
        <is>
          <t>UPPSALA LÄN</t>
        </is>
      </c>
      <c r="E1068" t="inlineStr">
        <is>
          <t>UPPSALA</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20712-2025</t>
        </is>
      </c>
      <c r="B1069" s="1" t="n">
        <v>45776</v>
      </c>
      <c r="C1069" s="1" t="n">
        <v>46098</v>
      </c>
      <c r="D1069" t="inlineStr">
        <is>
          <t>UPPSALA LÄN</t>
        </is>
      </c>
      <c r="E1069" t="inlineStr">
        <is>
          <t>UPPSALA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47846-2025</t>
        </is>
      </c>
      <c r="B1070" s="1" t="n">
        <v>45932.38228009259</v>
      </c>
      <c r="C1070" s="1" t="n">
        <v>46098</v>
      </c>
      <c r="D1070" t="inlineStr">
        <is>
          <t>UPPSALA LÄN</t>
        </is>
      </c>
      <c r="E1070" t="inlineStr">
        <is>
          <t>HEBY</t>
        </is>
      </c>
      <c r="F1070" t="inlineStr">
        <is>
          <t>Allmännings- och besparingsskogar</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20772-2025</t>
        </is>
      </c>
      <c r="B1071" s="1" t="n">
        <v>45776</v>
      </c>
      <c r="C1071" s="1" t="n">
        <v>46098</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20858-2025</t>
        </is>
      </c>
      <c r="B1072" s="1" t="n">
        <v>45777.32731481481</v>
      </c>
      <c r="C1072" s="1" t="n">
        <v>46098</v>
      </c>
      <c r="D1072" t="inlineStr">
        <is>
          <t>UPPSALA LÄN</t>
        </is>
      </c>
      <c r="E1072" t="inlineStr">
        <is>
          <t>UPPSALA</t>
        </is>
      </c>
      <c r="F1072" t="inlineStr">
        <is>
          <t>Övriga Aktiebolag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21133-2025</t>
        </is>
      </c>
      <c r="B1073" s="1" t="n">
        <v>45778.415625</v>
      </c>
      <c r="C1073" s="1" t="n">
        <v>46098</v>
      </c>
      <c r="D1073" t="inlineStr">
        <is>
          <t>UPPSALA LÄN</t>
        </is>
      </c>
      <c r="E1073" t="inlineStr">
        <is>
          <t>ÖSTHAMMAR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21217-2025</t>
        </is>
      </c>
      <c r="B1074" s="1" t="n">
        <v>45779.49085648148</v>
      </c>
      <c r="C1074" s="1" t="n">
        <v>46098</v>
      </c>
      <c r="D1074" t="inlineStr">
        <is>
          <t>UPPSALA LÄN</t>
        </is>
      </c>
      <c r="E1074" t="inlineStr">
        <is>
          <t>UPPSALA</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39439-2025</t>
        </is>
      </c>
      <c r="B1075" s="1" t="n">
        <v>45889</v>
      </c>
      <c r="C1075" s="1" t="n">
        <v>46098</v>
      </c>
      <c r="D1075" t="inlineStr">
        <is>
          <t>UPPSALA LÄN</t>
        </is>
      </c>
      <c r="E1075" t="inlineStr">
        <is>
          <t>ENKÖPING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21281-2025</t>
        </is>
      </c>
      <c r="B1076" s="1" t="n">
        <v>45779.6665162037</v>
      </c>
      <c r="C1076" s="1" t="n">
        <v>46098</v>
      </c>
      <c r="D1076" t="inlineStr">
        <is>
          <t>UPPSALA LÄN</t>
        </is>
      </c>
      <c r="E1076" t="inlineStr">
        <is>
          <t>UPPSALA</t>
        </is>
      </c>
      <c r="F1076" t="inlineStr">
        <is>
          <t>Övriga Aktiebolag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21130-2025</t>
        </is>
      </c>
      <c r="B1077" s="1" t="n">
        <v>45778.35857638889</v>
      </c>
      <c r="C1077" s="1" t="n">
        <v>46098</v>
      </c>
      <c r="D1077" t="inlineStr">
        <is>
          <t>UPPSALA LÄN</t>
        </is>
      </c>
      <c r="E1077" t="inlineStr">
        <is>
          <t>KNIVSTA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21132-2025</t>
        </is>
      </c>
      <c r="B1078" s="1" t="n">
        <v>45778.4108912037</v>
      </c>
      <c r="C1078" s="1" t="n">
        <v>46098</v>
      </c>
      <c r="D1078" t="inlineStr">
        <is>
          <t>UPPSALA LÄN</t>
        </is>
      </c>
      <c r="E1078" t="inlineStr">
        <is>
          <t>ÖSTHAMMAR</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48523-2025</t>
        </is>
      </c>
      <c r="B1079" s="1" t="n">
        <v>45936.40495370371</v>
      </c>
      <c r="C1079" s="1" t="n">
        <v>46098</v>
      </c>
      <c r="D1079" t="inlineStr">
        <is>
          <t>UPPSALA LÄN</t>
        </is>
      </c>
      <c r="E1079" t="inlineStr">
        <is>
          <t>TIERP</t>
        </is>
      </c>
      <c r="F1079" t="inlineStr">
        <is>
          <t>Bergvik skog väst AB</t>
        </is>
      </c>
      <c r="G1079" t="n">
        <v>16.4</v>
      </c>
      <c r="H1079" t="n">
        <v>0</v>
      </c>
      <c r="I1079" t="n">
        <v>0</v>
      </c>
      <c r="J1079" t="n">
        <v>0</v>
      </c>
      <c r="K1079" t="n">
        <v>0</v>
      </c>
      <c r="L1079" t="n">
        <v>0</v>
      </c>
      <c r="M1079" t="n">
        <v>0</v>
      </c>
      <c r="N1079" t="n">
        <v>0</v>
      </c>
      <c r="O1079" t="n">
        <v>0</v>
      </c>
      <c r="P1079" t="n">
        <v>0</v>
      </c>
      <c r="Q1079" t="n">
        <v>0</v>
      </c>
      <c r="R1079" s="2" t="inlineStr"/>
    </row>
    <row r="1080" ht="15" customHeight="1">
      <c r="A1080" t="inlineStr">
        <is>
          <t>A 48654-2025</t>
        </is>
      </c>
      <c r="B1080" s="1" t="n">
        <v>45936.55887731481</v>
      </c>
      <c r="C1080" s="1" t="n">
        <v>46098</v>
      </c>
      <c r="D1080" t="inlineStr">
        <is>
          <t>UPPSALA LÄN</t>
        </is>
      </c>
      <c r="E1080" t="inlineStr">
        <is>
          <t>ÖSTHAMMAR</t>
        </is>
      </c>
      <c r="F1080" t="inlineStr">
        <is>
          <t>Övriga Aktiebolag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8958-2024</t>
        </is>
      </c>
      <c r="B1081" s="1" t="n">
        <v>45357.45214120371</v>
      </c>
      <c r="C1081" s="1" t="n">
        <v>46098</v>
      </c>
      <c r="D1081" t="inlineStr">
        <is>
          <t>UPPSALA LÄN</t>
        </is>
      </c>
      <c r="E1081" t="inlineStr">
        <is>
          <t>TIERP</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21279-2025</t>
        </is>
      </c>
      <c r="B1082" s="1" t="n">
        <v>45779.65787037037</v>
      </c>
      <c r="C1082" s="1" t="n">
        <v>46098</v>
      </c>
      <c r="D1082" t="inlineStr">
        <is>
          <t>UPPSALA LÄN</t>
        </is>
      </c>
      <c r="E1082" t="inlineStr">
        <is>
          <t>UPPSALA</t>
        </is>
      </c>
      <c r="F1082" t="inlineStr">
        <is>
          <t>Övriga Aktiebolag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15942-2022</t>
        </is>
      </c>
      <c r="B1083" s="1" t="n">
        <v>44664</v>
      </c>
      <c r="C1083" s="1" t="n">
        <v>46098</v>
      </c>
      <c r="D1083" t="inlineStr">
        <is>
          <t>UPPSALA LÄN</t>
        </is>
      </c>
      <c r="E1083" t="inlineStr">
        <is>
          <t>ENKÖPING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2974-2025</t>
        </is>
      </c>
      <c r="B1084" s="1" t="n">
        <v>45678.47168981482</v>
      </c>
      <c r="C1084" s="1" t="n">
        <v>46098</v>
      </c>
      <c r="D1084" t="inlineStr">
        <is>
          <t>UPPSALA LÄN</t>
        </is>
      </c>
      <c r="E1084" t="inlineStr">
        <is>
          <t>ENKÖPING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48674-2025</t>
        </is>
      </c>
      <c r="B1085" s="1" t="n">
        <v>45936.58931712963</v>
      </c>
      <c r="C1085" s="1" t="n">
        <v>46098</v>
      </c>
      <c r="D1085" t="inlineStr">
        <is>
          <t>UPPSALA LÄN</t>
        </is>
      </c>
      <c r="E1085" t="inlineStr">
        <is>
          <t>TIERP</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48678-2025</t>
        </is>
      </c>
      <c r="B1086" s="1" t="n">
        <v>45936.59168981481</v>
      </c>
      <c r="C1086" s="1" t="n">
        <v>46098</v>
      </c>
      <c r="D1086" t="inlineStr">
        <is>
          <t>UPPSALA LÄN</t>
        </is>
      </c>
      <c r="E1086" t="inlineStr">
        <is>
          <t>ENKÖPING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30086-2023</t>
        </is>
      </c>
      <c r="B1087" s="1" t="n">
        <v>45110.43907407407</v>
      </c>
      <c r="C1087" s="1" t="n">
        <v>46098</v>
      </c>
      <c r="D1087" t="inlineStr">
        <is>
          <t>UPPSALA LÄN</t>
        </is>
      </c>
      <c r="E1087" t="inlineStr">
        <is>
          <t>ÖSTHAMMAR</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48487-2025</t>
        </is>
      </c>
      <c r="B1088" s="1" t="n">
        <v>45936.36195601852</v>
      </c>
      <c r="C1088" s="1" t="n">
        <v>46098</v>
      </c>
      <c r="D1088" t="inlineStr">
        <is>
          <t>UPPSALA LÄN</t>
        </is>
      </c>
      <c r="E1088" t="inlineStr">
        <is>
          <t>TIERP</t>
        </is>
      </c>
      <c r="F1088" t="inlineStr">
        <is>
          <t>Bergvik skog väst AB</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48977-2025</t>
        </is>
      </c>
      <c r="B1089" s="1" t="n">
        <v>45936</v>
      </c>
      <c r="C1089" s="1" t="n">
        <v>46098</v>
      </c>
      <c r="D1089" t="inlineStr">
        <is>
          <t>UPPSALA LÄN</t>
        </is>
      </c>
      <c r="E1089" t="inlineStr">
        <is>
          <t>ÖSTHAMMAR</t>
        </is>
      </c>
      <c r="G1089" t="n">
        <v>21.1</v>
      </c>
      <c r="H1089" t="n">
        <v>0</v>
      </c>
      <c r="I1089" t="n">
        <v>0</v>
      </c>
      <c r="J1089" t="n">
        <v>0</v>
      </c>
      <c r="K1089" t="n">
        <v>0</v>
      </c>
      <c r="L1089" t="n">
        <v>0</v>
      </c>
      <c r="M1089" t="n">
        <v>0</v>
      </c>
      <c r="N1089" t="n">
        <v>0</v>
      </c>
      <c r="O1089" t="n">
        <v>0</v>
      </c>
      <c r="P1089" t="n">
        <v>0</v>
      </c>
      <c r="Q1089" t="n">
        <v>0</v>
      </c>
      <c r="R1089" s="2" t="inlineStr"/>
    </row>
    <row r="1090" ht="15" customHeight="1">
      <c r="A1090" t="inlineStr">
        <is>
          <t>A 21325-2025</t>
        </is>
      </c>
      <c r="B1090" s="1" t="n">
        <v>45782.3503587963</v>
      </c>
      <c r="C1090" s="1" t="n">
        <v>46098</v>
      </c>
      <c r="D1090" t="inlineStr">
        <is>
          <t>UPPSALA LÄN</t>
        </is>
      </c>
      <c r="E1090" t="inlineStr">
        <is>
          <t>TIERP</t>
        </is>
      </c>
      <c r="F1090" t="inlineStr">
        <is>
          <t>Bergvik skog öst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48685-2025</t>
        </is>
      </c>
      <c r="B1091" s="1" t="n">
        <v>45936.60018518518</v>
      </c>
      <c r="C1091" s="1" t="n">
        <v>46098</v>
      </c>
      <c r="D1091" t="inlineStr">
        <is>
          <t>UPPSALA LÄN</t>
        </is>
      </c>
      <c r="E1091" t="inlineStr">
        <is>
          <t>TIERP</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6997-2023</t>
        </is>
      </c>
      <c r="B1092" s="1" t="n">
        <v>44967.78984953704</v>
      </c>
      <c r="C1092" s="1" t="n">
        <v>46098</v>
      </c>
      <c r="D1092" t="inlineStr">
        <is>
          <t>UPPSALA LÄN</t>
        </is>
      </c>
      <c r="E1092" t="inlineStr">
        <is>
          <t>UPPSALA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12221-2022</t>
        </is>
      </c>
      <c r="B1093" s="1" t="n">
        <v>44637.35744212963</v>
      </c>
      <c r="C1093" s="1" t="n">
        <v>46098</v>
      </c>
      <c r="D1093" t="inlineStr">
        <is>
          <t>UPPSALA LÄN</t>
        </is>
      </c>
      <c r="E1093" t="inlineStr">
        <is>
          <t>UPPSALA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53921-2024</t>
        </is>
      </c>
      <c r="B1094" s="1" t="n">
        <v>45615</v>
      </c>
      <c r="C1094" s="1" t="n">
        <v>46098</v>
      </c>
      <c r="D1094" t="inlineStr">
        <is>
          <t>UPPSALA LÄN</t>
        </is>
      </c>
      <c r="E1094" t="inlineStr">
        <is>
          <t>UPPSALA</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12293-2022</t>
        </is>
      </c>
      <c r="B1095" s="1" t="n">
        <v>44637.56178240741</v>
      </c>
      <c r="C1095" s="1" t="n">
        <v>46098</v>
      </c>
      <c r="D1095" t="inlineStr">
        <is>
          <t>UPPSALA LÄN</t>
        </is>
      </c>
      <c r="E1095" t="inlineStr">
        <is>
          <t>UPPSALA</t>
        </is>
      </c>
      <c r="F1095" t="inlineStr">
        <is>
          <t>Kommuner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22884-2024</t>
        </is>
      </c>
      <c r="B1096" s="1" t="n">
        <v>45448</v>
      </c>
      <c r="C1096" s="1" t="n">
        <v>46098</v>
      </c>
      <c r="D1096" t="inlineStr">
        <is>
          <t>UPPSALA LÄN</t>
        </is>
      </c>
      <c r="E1096" t="inlineStr">
        <is>
          <t>ÖSTHAMMAR</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20385-2025</t>
        </is>
      </c>
      <c r="B1097" s="1" t="n">
        <v>45775.44483796296</v>
      </c>
      <c r="C1097" s="1" t="n">
        <v>46098</v>
      </c>
      <c r="D1097" t="inlineStr">
        <is>
          <t>UPPSALA LÄN</t>
        </is>
      </c>
      <c r="E1097" t="inlineStr">
        <is>
          <t>ÖSTHAMMAR</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26552-2022</t>
        </is>
      </c>
      <c r="B1098" s="1" t="n">
        <v>44739</v>
      </c>
      <c r="C1098" s="1" t="n">
        <v>46098</v>
      </c>
      <c r="D1098" t="inlineStr">
        <is>
          <t>UPPSALA LÄN</t>
        </is>
      </c>
      <c r="E1098" t="inlineStr">
        <is>
          <t>ÖSTHAMMAR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6012-2025</t>
        </is>
      </c>
      <c r="B1099" s="1" t="n">
        <v>45695.59805555556</v>
      </c>
      <c r="C1099" s="1" t="n">
        <v>46098</v>
      </c>
      <c r="D1099" t="inlineStr">
        <is>
          <t>UPPSALA LÄN</t>
        </is>
      </c>
      <c r="E1099" t="inlineStr">
        <is>
          <t>UPPSALA</t>
        </is>
      </c>
      <c r="F1099" t="inlineStr">
        <is>
          <t>Övriga Aktiebolag</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21398-2025</t>
        </is>
      </c>
      <c r="B1100" s="1" t="n">
        <v>45782.483125</v>
      </c>
      <c r="C1100" s="1" t="n">
        <v>46098</v>
      </c>
      <c r="D1100" t="inlineStr">
        <is>
          <t>UPPSALA LÄN</t>
        </is>
      </c>
      <c r="E1100" t="inlineStr">
        <is>
          <t>TIERP</t>
        </is>
      </c>
      <c r="F1100" t="inlineStr">
        <is>
          <t>Kyrkan</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24238-2024</t>
        </is>
      </c>
      <c r="B1101" s="1" t="n">
        <v>45457</v>
      </c>
      <c r="C1101" s="1" t="n">
        <v>46098</v>
      </c>
      <c r="D1101" t="inlineStr">
        <is>
          <t>UPPSALA LÄN</t>
        </is>
      </c>
      <c r="E1101" t="inlineStr">
        <is>
          <t>TIERP</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21635-2025</t>
        </is>
      </c>
      <c r="B1102" s="1" t="n">
        <v>45783.4287962963</v>
      </c>
      <c r="C1102" s="1" t="n">
        <v>46098</v>
      </c>
      <c r="D1102" t="inlineStr">
        <is>
          <t>UPPSALA LÄN</t>
        </is>
      </c>
      <c r="E1102" t="inlineStr">
        <is>
          <t>TIERP</t>
        </is>
      </c>
      <c r="F1102" t="inlineStr">
        <is>
          <t>Bergvik skog öst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48418-2025</t>
        </is>
      </c>
      <c r="B1103" s="1" t="n">
        <v>45934.55967592593</v>
      </c>
      <c r="C1103" s="1" t="n">
        <v>46098</v>
      </c>
      <c r="D1103" t="inlineStr">
        <is>
          <t>UPPSALA LÄN</t>
        </is>
      </c>
      <c r="E1103" t="inlineStr">
        <is>
          <t>UPPSALA</t>
        </is>
      </c>
      <c r="F1103" t="inlineStr">
        <is>
          <t>Bergvik skog öst AB</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48460-2025</t>
        </is>
      </c>
      <c r="B1104" s="1" t="n">
        <v>45935.94372685185</v>
      </c>
      <c r="C1104" s="1" t="n">
        <v>46098</v>
      </c>
      <c r="D1104" t="inlineStr">
        <is>
          <t>UPPSALA LÄN</t>
        </is>
      </c>
      <c r="E1104" t="inlineStr">
        <is>
          <t>ÄLVKARLEBY</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48545-2025</t>
        </is>
      </c>
      <c r="B1105" s="1" t="n">
        <v>45936.41964120371</v>
      </c>
      <c r="C1105" s="1" t="n">
        <v>46098</v>
      </c>
      <c r="D1105" t="inlineStr">
        <is>
          <t>UPPSALA LÄN</t>
        </is>
      </c>
      <c r="E1105" t="inlineStr">
        <is>
          <t>TIERP</t>
        </is>
      </c>
      <c r="F1105" t="inlineStr">
        <is>
          <t>Bergvik skog väst AB</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29753-2022</t>
        </is>
      </c>
      <c r="B1106" s="1" t="n">
        <v>44755</v>
      </c>
      <c r="C1106" s="1" t="n">
        <v>46098</v>
      </c>
      <c r="D1106" t="inlineStr">
        <is>
          <t>UPPSALA LÄN</t>
        </is>
      </c>
      <c r="E1106" t="inlineStr">
        <is>
          <t>ÖSTHAMMAR</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48550-2025</t>
        </is>
      </c>
      <c r="B1107" s="1" t="n">
        <v>45936.42704861111</v>
      </c>
      <c r="C1107" s="1" t="n">
        <v>46098</v>
      </c>
      <c r="D1107" t="inlineStr">
        <is>
          <t>UPPSALA LÄN</t>
        </is>
      </c>
      <c r="E1107" t="inlineStr">
        <is>
          <t>TIERP</t>
        </is>
      </c>
      <c r="F1107" t="inlineStr">
        <is>
          <t>Bergvik skog väst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66686-2021</t>
        </is>
      </c>
      <c r="B1108" s="1" t="n">
        <v>44519</v>
      </c>
      <c r="C1108" s="1" t="n">
        <v>46098</v>
      </c>
      <c r="D1108" t="inlineStr">
        <is>
          <t>UPPSALA LÄN</t>
        </is>
      </c>
      <c r="E1108" t="inlineStr">
        <is>
          <t>UPPSALA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48423-2025</t>
        </is>
      </c>
      <c r="B1109" s="1" t="n">
        <v>45934.68024305555</v>
      </c>
      <c r="C1109" s="1" t="n">
        <v>46098</v>
      </c>
      <c r="D1109" t="inlineStr">
        <is>
          <t>UPPSALA LÄN</t>
        </is>
      </c>
      <c r="E1109" t="inlineStr">
        <is>
          <t>ENKÖPING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12146-2023</t>
        </is>
      </c>
      <c r="B1110" s="1" t="n">
        <v>44998.47842592592</v>
      </c>
      <c r="C1110" s="1" t="n">
        <v>46098</v>
      </c>
      <c r="D1110" t="inlineStr">
        <is>
          <t>UPPSALA LÄN</t>
        </is>
      </c>
      <c r="E1110" t="inlineStr">
        <is>
          <t>HÅBO</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48684-2025</t>
        </is>
      </c>
      <c r="B1111" s="1" t="n">
        <v>45936.59858796297</v>
      </c>
      <c r="C1111" s="1" t="n">
        <v>46098</v>
      </c>
      <c r="D1111" t="inlineStr">
        <is>
          <t>UPPSALA LÄN</t>
        </is>
      </c>
      <c r="E1111" t="inlineStr">
        <is>
          <t>TIERP</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48689-2025</t>
        </is>
      </c>
      <c r="B1112" s="1" t="n">
        <v>45936.60976851852</v>
      </c>
      <c r="C1112" s="1" t="n">
        <v>46098</v>
      </c>
      <c r="D1112" t="inlineStr">
        <is>
          <t>UPPSALA LÄN</t>
        </is>
      </c>
      <c r="E1112" t="inlineStr">
        <is>
          <t>HEBY</t>
        </is>
      </c>
      <c r="G1112" t="n">
        <v>12.1</v>
      </c>
      <c r="H1112" t="n">
        <v>0</v>
      </c>
      <c r="I1112" t="n">
        <v>0</v>
      </c>
      <c r="J1112" t="n">
        <v>0</v>
      </c>
      <c r="K1112" t="n">
        <v>0</v>
      </c>
      <c r="L1112" t="n">
        <v>0</v>
      </c>
      <c r="M1112" t="n">
        <v>0</v>
      </c>
      <c r="N1112" t="n">
        <v>0</v>
      </c>
      <c r="O1112" t="n">
        <v>0</v>
      </c>
      <c r="P1112" t="n">
        <v>0</v>
      </c>
      <c r="Q1112" t="n">
        <v>0</v>
      </c>
      <c r="R1112" s="2" t="inlineStr"/>
    </row>
    <row r="1113" ht="15" customHeight="1">
      <c r="A1113" t="inlineStr">
        <is>
          <t>A 21748-2025</t>
        </is>
      </c>
      <c r="B1113" s="1" t="n">
        <v>45783.61053240741</v>
      </c>
      <c r="C1113" s="1" t="n">
        <v>46098</v>
      </c>
      <c r="D1113" t="inlineStr">
        <is>
          <t>UPPSALA LÄN</t>
        </is>
      </c>
      <c r="E1113" t="inlineStr">
        <is>
          <t>UPPSALA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48424-2025</t>
        </is>
      </c>
      <c r="B1114" s="1" t="n">
        <v>45934.69131944444</v>
      </c>
      <c r="C1114" s="1" t="n">
        <v>46098</v>
      </c>
      <c r="D1114" t="inlineStr">
        <is>
          <t>UPPSALA LÄN</t>
        </is>
      </c>
      <c r="E1114" t="inlineStr">
        <is>
          <t>ENKÖPING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27786-2023</t>
        </is>
      </c>
      <c r="B1115" s="1" t="n">
        <v>45098</v>
      </c>
      <c r="C1115" s="1" t="n">
        <v>46098</v>
      </c>
      <c r="D1115" t="inlineStr">
        <is>
          <t>UPPSALA LÄN</t>
        </is>
      </c>
      <c r="E1115" t="inlineStr">
        <is>
          <t>ENKÖPING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48494-2025</t>
        </is>
      </c>
      <c r="B1116" s="1" t="n">
        <v>45936.36921296296</v>
      </c>
      <c r="C1116" s="1" t="n">
        <v>46098</v>
      </c>
      <c r="D1116" t="inlineStr">
        <is>
          <t>UPPSALA LÄN</t>
        </is>
      </c>
      <c r="E1116" t="inlineStr">
        <is>
          <t>TIERP</t>
        </is>
      </c>
      <c r="F1116" t="inlineStr">
        <is>
          <t>Bergvik skog väst AB</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14860-2022</t>
        </is>
      </c>
      <c r="B1117" s="1" t="n">
        <v>44656</v>
      </c>
      <c r="C1117" s="1" t="n">
        <v>46098</v>
      </c>
      <c r="D1117" t="inlineStr">
        <is>
          <t>UPPSALA LÄN</t>
        </is>
      </c>
      <c r="E1117" t="inlineStr">
        <is>
          <t>TIERP</t>
        </is>
      </c>
      <c r="F1117" t="inlineStr">
        <is>
          <t>Bergvik skog öst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49073-2025</t>
        </is>
      </c>
      <c r="B1118" s="1" t="n">
        <v>45937.65512731481</v>
      </c>
      <c r="C1118" s="1" t="n">
        <v>46098</v>
      </c>
      <c r="D1118" t="inlineStr">
        <is>
          <t>UPPSALA LÄN</t>
        </is>
      </c>
      <c r="E1118" t="inlineStr">
        <is>
          <t>ENKÖPING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179-2024</t>
        </is>
      </c>
      <c r="B1119" s="1" t="n">
        <v>45294.5666550926</v>
      </c>
      <c r="C1119" s="1" t="n">
        <v>46098</v>
      </c>
      <c r="D1119" t="inlineStr">
        <is>
          <t>UPPSALA LÄN</t>
        </is>
      </c>
      <c r="E1119" t="inlineStr">
        <is>
          <t>UPPSALA</t>
        </is>
      </c>
      <c r="F1119" t="inlineStr">
        <is>
          <t>Bergvik skog öst AB</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49191-2025</t>
        </is>
      </c>
      <c r="B1120" s="1" t="n">
        <v>45938.40780092592</v>
      </c>
      <c r="C1120" s="1" t="n">
        <v>46098</v>
      </c>
      <c r="D1120" t="inlineStr">
        <is>
          <t>UPPSALA LÄN</t>
        </is>
      </c>
      <c r="E1120" t="inlineStr">
        <is>
          <t>TIERP</t>
        </is>
      </c>
      <c r="F1120" t="inlineStr">
        <is>
          <t>Bergvik skog väst AB</t>
        </is>
      </c>
      <c r="G1120" t="n">
        <v>38.9</v>
      </c>
      <c r="H1120" t="n">
        <v>0</v>
      </c>
      <c r="I1120" t="n">
        <v>0</v>
      </c>
      <c r="J1120" t="n">
        <v>0</v>
      </c>
      <c r="K1120" t="n">
        <v>0</v>
      </c>
      <c r="L1120" t="n">
        <v>0</v>
      </c>
      <c r="M1120" t="n">
        <v>0</v>
      </c>
      <c r="N1120" t="n">
        <v>0</v>
      </c>
      <c r="O1120" t="n">
        <v>0</v>
      </c>
      <c r="P1120" t="n">
        <v>0</v>
      </c>
      <c r="Q1120" t="n">
        <v>0</v>
      </c>
      <c r="R1120" s="2" t="inlineStr"/>
    </row>
    <row r="1121" ht="15" customHeight="1">
      <c r="A1121" t="inlineStr">
        <is>
          <t>A 32742-2022</t>
        </is>
      </c>
      <c r="B1121" s="1" t="n">
        <v>44783.69886574074</v>
      </c>
      <c r="C1121" s="1" t="n">
        <v>46098</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49833-2023</t>
        </is>
      </c>
      <c r="B1122" s="1" t="n">
        <v>45212.71481481481</v>
      </c>
      <c r="C1122" s="1" t="n">
        <v>46098</v>
      </c>
      <c r="D1122" t="inlineStr">
        <is>
          <t>UPPSALA LÄN</t>
        </is>
      </c>
      <c r="E1122" t="inlineStr">
        <is>
          <t>ÖSTHAMMAR</t>
        </is>
      </c>
      <c r="F1122" t="inlineStr">
        <is>
          <t>Bergvik skog öst AB</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56176-2021</t>
        </is>
      </c>
      <c r="B1123" s="1" t="n">
        <v>44477</v>
      </c>
      <c r="C1123" s="1" t="n">
        <v>46098</v>
      </c>
      <c r="D1123" t="inlineStr">
        <is>
          <t>UPPSALA LÄN</t>
        </is>
      </c>
      <c r="E1123" t="inlineStr">
        <is>
          <t>ENKÖPING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42262-2024</t>
        </is>
      </c>
      <c r="B1124" s="1" t="n">
        <v>45562</v>
      </c>
      <c r="C1124" s="1" t="n">
        <v>46098</v>
      </c>
      <c r="D1124" t="inlineStr">
        <is>
          <t>UPPSALA LÄN</t>
        </is>
      </c>
      <c r="E1124" t="inlineStr">
        <is>
          <t>ÖSTHAMMAR</t>
        </is>
      </c>
      <c r="F1124" t="inlineStr">
        <is>
          <t>Bergvik skog öst AB</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49558-2025</t>
        </is>
      </c>
      <c r="B1125" s="1" t="n">
        <v>45939.45197916667</v>
      </c>
      <c r="C1125" s="1" t="n">
        <v>46098</v>
      </c>
      <c r="D1125" t="inlineStr">
        <is>
          <t>UPPSALA LÄN</t>
        </is>
      </c>
      <c r="E1125" t="inlineStr">
        <is>
          <t>TIERP</t>
        </is>
      </c>
      <c r="F1125" t="inlineStr">
        <is>
          <t>Bergvik skog väst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21473-2025</t>
        </is>
      </c>
      <c r="B1126" s="1" t="n">
        <v>45782.59054398148</v>
      </c>
      <c r="C1126" s="1" t="n">
        <v>46098</v>
      </c>
      <c r="D1126" t="inlineStr">
        <is>
          <t>UPPSALA LÄN</t>
        </is>
      </c>
      <c r="E1126" t="inlineStr">
        <is>
          <t>TIERP</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49160-2025</t>
        </is>
      </c>
      <c r="B1127" s="1" t="n">
        <v>45938.35063657408</v>
      </c>
      <c r="C1127" s="1" t="n">
        <v>46098</v>
      </c>
      <c r="D1127" t="inlineStr">
        <is>
          <t>UPPSALA LÄN</t>
        </is>
      </c>
      <c r="E1127" t="inlineStr">
        <is>
          <t>UPPSALA</t>
        </is>
      </c>
      <c r="F1127" t="inlineStr">
        <is>
          <t>Kyrkan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5006-2022</t>
        </is>
      </c>
      <c r="B1128" s="1" t="n">
        <v>44593</v>
      </c>
      <c r="C1128" s="1" t="n">
        <v>46098</v>
      </c>
      <c r="D1128" t="inlineStr">
        <is>
          <t>UPPSALA LÄN</t>
        </is>
      </c>
      <c r="E1128" t="inlineStr">
        <is>
          <t>UPPSALA</t>
        </is>
      </c>
      <c r="F1128" t="inlineStr">
        <is>
          <t>BillerudKorsnäs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49305-2025</t>
        </is>
      </c>
      <c r="B1129" s="1" t="n">
        <v>45938.55978009259</v>
      </c>
      <c r="C1129" s="1" t="n">
        <v>46098</v>
      </c>
      <c r="D1129" t="inlineStr">
        <is>
          <t>UPPSALA LÄN</t>
        </is>
      </c>
      <c r="E1129" t="inlineStr">
        <is>
          <t>TIERP</t>
        </is>
      </c>
      <c r="F1129" t="inlineStr">
        <is>
          <t>Bergvik skog väst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45307-2023</t>
        </is>
      </c>
      <c r="B1130" s="1" t="n">
        <v>45191</v>
      </c>
      <c r="C1130" s="1" t="n">
        <v>46098</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5994-2023</t>
        </is>
      </c>
      <c r="B1131" s="1" t="n">
        <v>44964</v>
      </c>
      <c r="C1131" s="1" t="n">
        <v>46098</v>
      </c>
      <c r="D1131" t="inlineStr">
        <is>
          <t>UPPSALA LÄN</t>
        </is>
      </c>
      <c r="E1131" t="inlineStr">
        <is>
          <t>TIERP</t>
        </is>
      </c>
      <c r="F1131" t="inlineStr">
        <is>
          <t>Bergvik skog öst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48864-2022</t>
        </is>
      </c>
      <c r="B1132" s="1" t="n">
        <v>44859</v>
      </c>
      <c r="C1132" s="1" t="n">
        <v>46098</v>
      </c>
      <c r="D1132" t="inlineStr">
        <is>
          <t>UPPSALA LÄN</t>
        </is>
      </c>
      <c r="E1132" t="inlineStr">
        <is>
          <t>ENKÖPING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48857-2025</t>
        </is>
      </c>
      <c r="B1133" s="1" t="n">
        <v>45937.43621527778</v>
      </c>
      <c r="C1133" s="1" t="n">
        <v>46098</v>
      </c>
      <c r="D1133" t="inlineStr">
        <is>
          <t>UPPSALA LÄN</t>
        </is>
      </c>
      <c r="E1133" t="inlineStr">
        <is>
          <t>ÖSTHAMMAR</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48871-2025</t>
        </is>
      </c>
      <c r="B1134" s="1" t="n">
        <v>45937.4534375</v>
      </c>
      <c r="C1134" s="1" t="n">
        <v>46098</v>
      </c>
      <c r="D1134" t="inlineStr">
        <is>
          <t>UPPSALA LÄN</t>
        </is>
      </c>
      <c r="E1134" t="inlineStr">
        <is>
          <t>TIERP</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21636-2025</t>
        </is>
      </c>
      <c r="B1135" s="1" t="n">
        <v>45783.42976851852</v>
      </c>
      <c r="C1135" s="1" t="n">
        <v>46098</v>
      </c>
      <c r="D1135" t="inlineStr">
        <is>
          <t>UPPSALA LÄN</t>
        </is>
      </c>
      <c r="E1135" t="inlineStr">
        <is>
          <t>TIERP</t>
        </is>
      </c>
      <c r="F1135" t="inlineStr">
        <is>
          <t>Bergvik skog öst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33729-2023</t>
        </is>
      </c>
      <c r="B1136" s="1" t="n">
        <v>45133.31494212963</v>
      </c>
      <c r="C1136" s="1" t="n">
        <v>46098</v>
      </c>
      <c r="D1136" t="inlineStr">
        <is>
          <t>UPPSALA LÄN</t>
        </is>
      </c>
      <c r="E1136" t="inlineStr">
        <is>
          <t>HEBY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38469-2025</t>
        </is>
      </c>
      <c r="B1137" s="1" t="n">
        <v>45884</v>
      </c>
      <c r="C1137" s="1" t="n">
        <v>46098</v>
      </c>
      <c r="D1137" t="inlineStr">
        <is>
          <t>UPPSALA LÄN</t>
        </is>
      </c>
      <c r="E1137" t="inlineStr">
        <is>
          <t>UPPSALA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38479-2025</t>
        </is>
      </c>
      <c r="B1138" s="1" t="n">
        <v>45884.32216435186</v>
      </c>
      <c r="C1138" s="1" t="n">
        <v>46098</v>
      </c>
      <c r="D1138" t="inlineStr">
        <is>
          <t>UPPSALA LÄN</t>
        </is>
      </c>
      <c r="E1138" t="inlineStr">
        <is>
          <t>HEBY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38521-2025</t>
        </is>
      </c>
      <c r="B1139" s="1" t="n">
        <v>45884</v>
      </c>
      <c r="C1139" s="1" t="n">
        <v>46098</v>
      </c>
      <c r="D1139" t="inlineStr">
        <is>
          <t>UPPSALA LÄN</t>
        </is>
      </c>
      <c r="E1139" t="inlineStr">
        <is>
          <t>HEBY</t>
        </is>
      </c>
      <c r="F1139" t="inlineStr">
        <is>
          <t>Bergvik skog väst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49094-2025</t>
        </is>
      </c>
      <c r="B1140" s="1" t="n">
        <v>45937.68865740741</v>
      </c>
      <c r="C1140" s="1" t="n">
        <v>46098</v>
      </c>
      <c r="D1140" t="inlineStr">
        <is>
          <t>UPPSALA LÄN</t>
        </is>
      </c>
      <c r="E1140" t="inlineStr">
        <is>
          <t>UPPSALA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38951-2025</t>
        </is>
      </c>
      <c r="B1141" s="1" t="n">
        <v>45887.66127314815</v>
      </c>
      <c r="C1141" s="1" t="n">
        <v>46098</v>
      </c>
      <c r="D1141" t="inlineStr">
        <is>
          <t>UPPSALA LÄN</t>
        </is>
      </c>
      <c r="E1141" t="inlineStr">
        <is>
          <t>TIERP</t>
        </is>
      </c>
      <c r="F1141" t="inlineStr">
        <is>
          <t>Bergvik skog öst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49524-2025</t>
        </is>
      </c>
      <c r="B1142" s="1" t="n">
        <v>45939.39984953704</v>
      </c>
      <c r="C1142" s="1" t="n">
        <v>46098</v>
      </c>
      <c r="D1142" t="inlineStr">
        <is>
          <t>UPPSALA LÄN</t>
        </is>
      </c>
      <c r="E1142" t="inlineStr">
        <is>
          <t>TIERP</t>
        </is>
      </c>
      <c r="F1142" t="inlineStr">
        <is>
          <t>Bergvik skog väst AB</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32928-2025</t>
        </is>
      </c>
      <c r="B1143" s="1" t="n">
        <v>45839</v>
      </c>
      <c r="C1143" s="1" t="n">
        <v>46098</v>
      </c>
      <c r="D1143" t="inlineStr">
        <is>
          <t>UPPSALA LÄN</t>
        </is>
      </c>
      <c r="E1143" t="inlineStr">
        <is>
          <t>UPPSALA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49270-2025</t>
        </is>
      </c>
      <c r="B1144" s="1" t="n">
        <v>45938.50260416666</v>
      </c>
      <c r="C1144" s="1" t="n">
        <v>46098</v>
      </c>
      <c r="D1144" t="inlineStr">
        <is>
          <t>UPPSALA LÄN</t>
        </is>
      </c>
      <c r="E1144" t="inlineStr">
        <is>
          <t>TIERP</t>
        </is>
      </c>
      <c r="F1144" t="inlineStr">
        <is>
          <t>Bergvik skog väst AB</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38474-2025</t>
        </is>
      </c>
      <c r="B1145" s="1" t="n">
        <v>45884.31611111111</v>
      </c>
      <c r="C1145" s="1" t="n">
        <v>46098</v>
      </c>
      <c r="D1145" t="inlineStr">
        <is>
          <t>UPPSALA LÄN</t>
        </is>
      </c>
      <c r="E1145" t="inlineStr">
        <is>
          <t>HEBY</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48596-2025</t>
        </is>
      </c>
      <c r="B1146" s="1" t="n">
        <v>45936</v>
      </c>
      <c r="C1146" s="1" t="n">
        <v>46098</v>
      </c>
      <c r="D1146" t="inlineStr">
        <is>
          <t>UPPSALA LÄN</t>
        </is>
      </c>
      <c r="E1146" t="inlineStr">
        <is>
          <t>TIERP</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48598-2025</t>
        </is>
      </c>
      <c r="B1147" s="1" t="n">
        <v>45936</v>
      </c>
      <c r="C1147" s="1" t="n">
        <v>46098</v>
      </c>
      <c r="D1147" t="inlineStr">
        <is>
          <t>UPPSALA LÄN</t>
        </is>
      </c>
      <c r="E1147" t="inlineStr">
        <is>
          <t>TIERP</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21889-2025</t>
        </is>
      </c>
      <c r="B1148" s="1" t="n">
        <v>45784.43336805556</v>
      </c>
      <c r="C1148" s="1" t="n">
        <v>46098</v>
      </c>
      <c r="D1148" t="inlineStr">
        <is>
          <t>UPPSALA LÄN</t>
        </is>
      </c>
      <c r="E1148" t="inlineStr">
        <is>
          <t>TIERP</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48808-2025</t>
        </is>
      </c>
      <c r="B1149" s="1" t="n">
        <v>45937.35484953703</v>
      </c>
      <c r="C1149" s="1" t="n">
        <v>46098</v>
      </c>
      <c r="D1149" t="inlineStr">
        <is>
          <t>UPPSALA LÄN</t>
        </is>
      </c>
      <c r="E1149" t="inlineStr">
        <is>
          <t>TIERP</t>
        </is>
      </c>
      <c r="F1149" t="inlineStr">
        <is>
          <t>Bergvik skog väst AB</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48854-2025</t>
        </is>
      </c>
      <c r="B1150" s="1" t="n">
        <v>45937.43274305556</v>
      </c>
      <c r="C1150" s="1" t="n">
        <v>46098</v>
      </c>
      <c r="D1150" t="inlineStr">
        <is>
          <t>UPPSALA LÄN</t>
        </is>
      </c>
      <c r="E1150" t="inlineStr">
        <is>
          <t>ÖSTHAMMAR</t>
        </is>
      </c>
      <c r="F1150" t="inlineStr">
        <is>
          <t>Övriga Aktiebolag</t>
        </is>
      </c>
      <c r="G1150" t="n">
        <v>18.9</v>
      </c>
      <c r="H1150" t="n">
        <v>0</v>
      </c>
      <c r="I1150" t="n">
        <v>0</v>
      </c>
      <c r="J1150" t="n">
        <v>0</v>
      </c>
      <c r="K1150" t="n">
        <v>0</v>
      </c>
      <c r="L1150" t="n">
        <v>0</v>
      </c>
      <c r="M1150" t="n">
        <v>0</v>
      </c>
      <c r="N1150" t="n">
        <v>0</v>
      </c>
      <c r="O1150" t="n">
        <v>0</v>
      </c>
      <c r="P1150" t="n">
        <v>0</v>
      </c>
      <c r="Q1150" t="n">
        <v>0</v>
      </c>
      <c r="R1150" s="2" t="inlineStr"/>
    </row>
    <row r="1151" ht="15" customHeight="1">
      <c r="A1151" t="inlineStr">
        <is>
          <t>A 31108-2021</t>
        </is>
      </c>
      <c r="B1151" s="1" t="n">
        <v>44368</v>
      </c>
      <c r="C1151" s="1" t="n">
        <v>46098</v>
      </c>
      <c r="D1151" t="inlineStr">
        <is>
          <t>UPPSALA LÄN</t>
        </is>
      </c>
      <c r="E1151" t="inlineStr">
        <is>
          <t>HEBY</t>
        </is>
      </c>
      <c r="F1151" t="inlineStr">
        <is>
          <t>Bergvik skog öst AB</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22083-2025</t>
        </is>
      </c>
      <c r="B1152" s="1" t="n">
        <v>45785</v>
      </c>
      <c r="C1152" s="1" t="n">
        <v>46098</v>
      </c>
      <c r="D1152" t="inlineStr">
        <is>
          <t>UPPSALA LÄN</t>
        </is>
      </c>
      <c r="E1152" t="inlineStr">
        <is>
          <t>TIERP</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49164-2025</t>
        </is>
      </c>
      <c r="B1153" s="1" t="n">
        <v>45938.3615625</v>
      </c>
      <c r="C1153" s="1" t="n">
        <v>46098</v>
      </c>
      <c r="D1153" t="inlineStr">
        <is>
          <t>UPPSALA LÄN</t>
        </is>
      </c>
      <c r="E1153" t="inlineStr">
        <is>
          <t>UPPSALA</t>
        </is>
      </c>
      <c r="F1153" t="inlineStr">
        <is>
          <t>Kyrkan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22018-2025</t>
        </is>
      </c>
      <c r="B1154" s="1" t="n">
        <v>45784.80497685185</v>
      </c>
      <c r="C1154" s="1" t="n">
        <v>46098</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49620-2025</t>
        </is>
      </c>
      <c r="B1155" s="1" t="n">
        <v>45939.58928240741</v>
      </c>
      <c r="C1155" s="1" t="n">
        <v>46098</v>
      </c>
      <c r="D1155" t="inlineStr">
        <is>
          <t>UPPSALA LÄN</t>
        </is>
      </c>
      <c r="E1155" t="inlineStr">
        <is>
          <t>ÖSTHAMMAR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49214-2025</t>
        </is>
      </c>
      <c r="B1156" s="1" t="n">
        <v>45938</v>
      </c>
      <c r="C1156" s="1" t="n">
        <v>46098</v>
      </c>
      <c r="D1156" t="inlineStr">
        <is>
          <t>UPPSALA LÄN</t>
        </is>
      </c>
      <c r="E1156" t="inlineStr">
        <is>
          <t>TIERP</t>
        </is>
      </c>
      <c r="F1156" t="inlineStr">
        <is>
          <t>Bergvik skog väst AB</t>
        </is>
      </c>
      <c r="G1156" t="n">
        <v>15.7</v>
      </c>
      <c r="H1156" t="n">
        <v>0</v>
      </c>
      <c r="I1156" t="n">
        <v>0</v>
      </c>
      <c r="J1156" t="n">
        <v>0</v>
      </c>
      <c r="K1156" t="n">
        <v>0</v>
      </c>
      <c r="L1156" t="n">
        <v>0</v>
      </c>
      <c r="M1156" t="n">
        <v>0</v>
      </c>
      <c r="N1156" t="n">
        <v>0</v>
      </c>
      <c r="O1156" t="n">
        <v>0</v>
      </c>
      <c r="P1156" t="n">
        <v>0</v>
      </c>
      <c r="Q1156" t="n">
        <v>0</v>
      </c>
      <c r="R1156" s="2" t="inlineStr"/>
    </row>
    <row r="1157" ht="15" customHeight="1">
      <c r="A1157" t="inlineStr">
        <is>
          <t>A 49538-2025</t>
        </is>
      </c>
      <c r="B1157" s="1" t="n">
        <v>45939.42364583333</v>
      </c>
      <c r="C1157" s="1" t="n">
        <v>46098</v>
      </c>
      <c r="D1157" t="inlineStr">
        <is>
          <t>UPPSALA LÄN</t>
        </is>
      </c>
      <c r="E1157" t="inlineStr">
        <is>
          <t>TIERP</t>
        </is>
      </c>
      <c r="F1157" t="inlineStr">
        <is>
          <t>Bergvik skog väst AB</t>
        </is>
      </c>
      <c r="G1157" t="n">
        <v>20.3</v>
      </c>
      <c r="H1157" t="n">
        <v>0</v>
      </c>
      <c r="I1157" t="n">
        <v>0</v>
      </c>
      <c r="J1157" t="n">
        <v>0</v>
      </c>
      <c r="K1157" t="n">
        <v>0</v>
      </c>
      <c r="L1157" t="n">
        <v>0</v>
      </c>
      <c r="M1157" t="n">
        <v>0</v>
      </c>
      <c r="N1157" t="n">
        <v>0</v>
      </c>
      <c r="O1157" t="n">
        <v>0</v>
      </c>
      <c r="P1157" t="n">
        <v>0</v>
      </c>
      <c r="Q1157" t="n">
        <v>0</v>
      </c>
      <c r="R1157" s="2" t="inlineStr"/>
    </row>
    <row r="1158" ht="15" customHeight="1">
      <c r="A1158" t="inlineStr">
        <is>
          <t>A 37781-2022</t>
        </is>
      </c>
      <c r="B1158" s="1" t="n">
        <v>44810</v>
      </c>
      <c r="C1158" s="1" t="n">
        <v>46098</v>
      </c>
      <c r="D1158" t="inlineStr">
        <is>
          <t>UPPSALA LÄN</t>
        </is>
      </c>
      <c r="E1158" t="inlineStr">
        <is>
          <t>HEBY</t>
        </is>
      </c>
      <c r="F1158" t="inlineStr">
        <is>
          <t>Bergvik skog väst AB</t>
        </is>
      </c>
      <c r="G1158" t="n">
        <v>21.6</v>
      </c>
      <c r="H1158" t="n">
        <v>0</v>
      </c>
      <c r="I1158" t="n">
        <v>0</v>
      </c>
      <c r="J1158" t="n">
        <v>0</v>
      </c>
      <c r="K1158" t="n">
        <v>0</v>
      </c>
      <c r="L1158" t="n">
        <v>0</v>
      </c>
      <c r="M1158" t="n">
        <v>0</v>
      </c>
      <c r="N1158" t="n">
        <v>0</v>
      </c>
      <c r="O1158" t="n">
        <v>0</v>
      </c>
      <c r="P1158" t="n">
        <v>0</v>
      </c>
      <c r="Q1158" t="n">
        <v>0</v>
      </c>
      <c r="R1158" s="2" t="inlineStr"/>
    </row>
    <row r="1159" ht="15" customHeight="1">
      <c r="A1159" t="inlineStr">
        <is>
          <t>A 43103-2025</t>
        </is>
      </c>
      <c r="B1159" s="1" t="n">
        <v>45909</v>
      </c>
      <c r="C1159" s="1" t="n">
        <v>46098</v>
      </c>
      <c r="D1159" t="inlineStr">
        <is>
          <t>UPPSALA LÄN</t>
        </is>
      </c>
      <c r="E1159" t="inlineStr">
        <is>
          <t>ENKÖPING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49463-2025</t>
        </is>
      </c>
      <c r="B1160" s="1" t="n">
        <v>45939.32621527778</v>
      </c>
      <c r="C1160" s="1" t="n">
        <v>46098</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21936-2025</t>
        </is>
      </c>
      <c r="B1161" s="1" t="n">
        <v>45784.57266203704</v>
      </c>
      <c r="C1161" s="1" t="n">
        <v>46098</v>
      </c>
      <c r="D1161" t="inlineStr">
        <is>
          <t>UPPSALA LÄN</t>
        </is>
      </c>
      <c r="E1161" t="inlineStr">
        <is>
          <t>UPPSALA</t>
        </is>
      </c>
      <c r="F1161" t="inlineStr">
        <is>
          <t>Bergvik skog öst AB</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49090-2025</t>
        </is>
      </c>
      <c r="B1162" s="1" t="n">
        <v>45937</v>
      </c>
      <c r="C1162" s="1" t="n">
        <v>46098</v>
      </c>
      <c r="D1162" t="inlineStr">
        <is>
          <t>UPPSALA LÄN</t>
        </is>
      </c>
      <c r="E1162" t="inlineStr">
        <is>
          <t>KNIVSTA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22223-2025</t>
        </is>
      </c>
      <c r="B1163" s="1" t="n">
        <v>45785</v>
      </c>
      <c r="C1163" s="1" t="n">
        <v>46098</v>
      </c>
      <c r="D1163" t="inlineStr">
        <is>
          <t>UPPSALA LÄN</t>
        </is>
      </c>
      <c r="E1163" t="inlineStr">
        <is>
          <t>ÄLVKARLEBY</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47020-2025</t>
        </is>
      </c>
      <c r="B1164" s="1" t="n">
        <v>45929.5775</v>
      </c>
      <c r="C1164" s="1" t="n">
        <v>46098</v>
      </c>
      <c r="D1164" t="inlineStr">
        <is>
          <t>UPPSALA LÄN</t>
        </is>
      </c>
      <c r="E1164" t="inlineStr">
        <is>
          <t>ÖSTHAMMAR</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49080-2025</t>
        </is>
      </c>
      <c r="B1165" s="1" t="n">
        <v>45937</v>
      </c>
      <c r="C1165" s="1" t="n">
        <v>46098</v>
      </c>
      <c r="D1165" t="inlineStr">
        <is>
          <t>UPPSALA LÄN</t>
        </is>
      </c>
      <c r="E1165" t="inlineStr">
        <is>
          <t>UPPSALA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49098-2025</t>
        </is>
      </c>
      <c r="B1166" s="1" t="n">
        <v>45937</v>
      </c>
      <c r="C1166" s="1" t="n">
        <v>46098</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22156-2025</t>
        </is>
      </c>
      <c r="B1167" s="1" t="n">
        <v>45785.57512731481</v>
      </c>
      <c r="C1167" s="1" t="n">
        <v>46098</v>
      </c>
      <c r="D1167" t="inlineStr">
        <is>
          <t>UPPSALA LÄN</t>
        </is>
      </c>
      <c r="E1167" t="inlineStr">
        <is>
          <t>ENKÖPING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17211-2025</t>
        </is>
      </c>
      <c r="B1168" s="1" t="n">
        <v>45756.44024305556</v>
      </c>
      <c r="C1168" s="1" t="n">
        <v>46098</v>
      </c>
      <c r="D1168" t="inlineStr">
        <is>
          <t>UPPSALA LÄN</t>
        </is>
      </c>
      <c r="E1168" t="inlineStr">
        <is>
          <t>UPPSALA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22150-2025</t>
        </is>
      </c>
      <c r="B1169" s="1" t="n">
        <v>45785.56398148148</v>
      </c>
      <c r="C1169" s="1" t="n">
        <v>46098</v>
      </c>
      <c r="D1169" t="inlineStr">
        <is>
          <t>UPPSALA LÄN</t>
        </is>
      </c>
      <c r="E1169" t="inlineStr">
        <is>
          <t>ENKÖPING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14437-2024</t>
        </is>
      </c>
      <c r="B1170" s="1" t="n">
        <v>45394</v>
      </c>
      <c r="C1170" s="1" t="n">
        <v>46098</v>
      </c>
      <c r="D1170" t="inlineStr">
        <is>
          <t>UPPSALA LÄN</t>
        </is>
      </c>
      <c r="E1170" t="inlineStr">
        <is>
          <t>HEBY</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49068-2025</t>
        </is>
      </c>
      <c r="B1171" s="1" t="n">
        <v>45937.64766203704</v>
      </c>
      <c r="C1171" s="1" t="n">
        <v>46098</v>
      </c>
      <c r="D1171" t="inlineStr">
        <is>
          <t>UPPSALA LÄN</t>
        </is>
      </c>
      <c r="E1171" t="inlineStr">
        <is>
          <t>ENKÖPING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50110-2025</t>
        </is>
      </c>
      <c r="B1172" s="1" t="n">
        <v>45943.54231481482</v>
      </c>
      <c r="C1172" s="1" t="n">
        <v>46098</v>
      </c>
      <c r="D1172" t="inlineStr">
        <is>
          <t>UPPSALA LÄN</t>
        </is>
      </c>
      <c r="E1172" t="inlineStr">
        <is>
          <t>TIERP</t>
        </is>
      </c>
      <c r="F1172" t="inlineStr">
        <is>
          <t>Bergvik skog väst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50138-2025</t>
        </is>
      </c>
      <c r="B1173" s="1" t="n">
        <v>45943.5653125</v>
      </c>
      <c r="C1173" s="1" t="n">
        <v>46098</v>
      </c>
      <c r="D1173" t="inlineStr">
        <is>
          <t>UPPSALA LÄN</t>
        </is>
      </c>
      <c r="E1173" t="inlineStr">
        <is>
          <t>ÄLVKARLEBY</t>
        </is>
      </c>
      <c r="F1173" t="inlineStr">
        <is>
          <t>Bergvik skog väst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69344-2021</t>
        </is>
      </c>
      <c r="B1174" s="1" t="n">
        <v>44531</v>
      </c>
      <c r="C1174" s="1" t="n">
        <v>46098</v>
      </c>
      <c r="D1174" t="inlineStr">
        <is>
          <t>UPPSALA LÄN</t>
        </is>
      </c>
      <c r="E1174" t="inlineStr">
        <is>
          <t>ENKÖPING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38831-2025</t>
        </is>
      </c>
      <c r="B1175" s="1" t="n">
        <v>45887.52802083334</v>
      </c>
      <c r="C1175" s="1" t="n">
        <v>46098</v>
      </c>
      <c r="D1175" t="inlineStr">
        <is>
          <t>UPPSALA LÄN</t>
        </is>
      </c>
      <c r="E1175" t="inlineStr">
        <is>
          <t>TIERP</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40701-2024</t>
        </is>
      </c>
      <c r="B1176" s="1" t="n">
        <v>45558.42498842593</v>
      </c>
      <c r="C1176" s="1" t="n">
        <v>46098</v>
      </c>
      <c r="D1176" t="inlineStr">
        <is>
          <t>UPPSALA LÄN</t>
        </is>
      </c>
      <c r="E1176" t="inlineStr">
        <is>
          <t>UPPSALA</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758-2022</t>
        </is>
      </c>
      <c r="B1177" s="1" t="n">
        <v>44569.69358796296</v>
      </c>
      <c r="C1177" s="1" t="n">
        <v>46098</v>
      </c>
      <c r="D1177" t="inlineStr">
        <is>
          <t>UPPSALA LÄN</t>
        </is>
      </c>
      <c r="E1177" t="inlineStr">
        <is>
          <t>UPPSALA</t>
        </is>
      </c>
      <c r="F1177" t="inlineStr">
        <is>
          <t>Holmen skog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36954-2024</t>
        </is>
      </c>
      <c r="B1178" s="1" t="n">
        <v>45538.71109953704</v>
      </c>
      <c r="C1178" s="1" t="n">
        <v>46098</v>
      </c>
      <c r="D1178" t="inlineStr">
        <is>
          <t>UPPSALA LÄN</t>
        </is>
      </c>
      <c r="E1178" t="inlineStr">
        <is>
          <t>ÖSTHAMMAR</t>
        </is>
      </c>
      <c r="F1178" t="inlineStr">
        <is>
          <t>Bergvik skog öst AB</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49986-2025</t>
        </is>
      </c>
      <c r="B1179" s="1" t="n">
        <v>45942.79476851852</v>
      </c>
      <c r="C1179" s="1" t="n">
        <v>46098</v>
      </c>
      <c r="D1179" t="inlineStr">
        <is>
          <t>UPPSALA LÄN</t>
        </is>
      </c>
      <c r="E1179" t="inlineStr">
        <is>
          <t>UPPSALA</t>
        </is>
      </c>
      <c r="F1179" t="inlineStr">
        <is>
          <t>Bergvik skog öst AB</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59570-2023</t>
        </is>
      </c>
      <c r="B1180" s="1" t="n">
        <v>45254</v>
      </c>
      <c r="C1180" s="1" t="n">
        <v>46098</v>
      </c>
      <c r="D1180" t="inlineStr">
        <is>
          <t>UPPSALA LÄN</t>
        </is>
      </c>
      <c r="E1180" t="inlineStr">
        <is>
          <t>UPPSALA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30087-2024</t>
        </is>
      </c>
      <c r="B1181" s="1" t="n">
        <v>45489.39447916667</v>
      </c>
      <c r="C1181" s="1" t="n">
        <v>46098</v>
      </c>
      <c r="D1181" t="inlineStr">
        <is>
          <t>UPPSALA LÄN</t>
        </is>
      </c>
      <c r="E1181" t="inlineStr">
        <is>
          <t>ENKÖPING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45520.51063657407</v>
      </c>
      <c r="C1182" s="1" t="n">
        <v>46098</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10650-2024</t>
        </is>
      </c>
      <c r="B1183" s="1" t="n">
        <v>45368.64787037037</v>
      </c>
      <c r="C1183" s="1" t="n">
        <v>46098</v>
      </c>
      <c r="D1183" t="inlineStr">
        <is>
          <t>UPPSALA LÄN</t>
        </is>
      </c>
      <c r="E1183" t="inlineStr">
        <is>
          <t>UPPSALA</t>
        </is>
      </c>
      <c r="F1183" t="inlineStr">
        <is>
          <t>Bergvik skog öst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43655-2024</t>
        </is>
      </c>
      <c r="B1184" s="1" t="n">
        <v>45569</v>
      </c>
      <c r="C1184" s="1" t="n">
        <v>46098</v>
      </c>
      <c r="D1184" t="inlineStr">
        <is>
          <t>UPPSALA LÄN</t>
        </is>
      </c>
      <c r="E1184" t="inlineStr">
        <is>
          <t>ÖSTHAMMAR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49773-2025</t>
        </is>
      </c>
      <c r="B1185" s="1" t="n">
        <v>45940.37303240741</v>
      </c>
      <c r="C1185" s="1" t="n">
        <v>46098</v>
      </c>
      <c r="D1185" t="inlineStr">
        <is>
          <t>UPPSALA LÄN</t>
        </is>
      </c>
      <c r="E1185" t="inlineStr">
        <is>
          <t>ÖSTHAMMAR</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54776-2024</t>
        </is>
      </c>
      <c r="B1186" s="1" t="n">
        <v>45618</v>
      </c>
      <c r="C1186" s="1" t="n">
        <v>46098</v>
      </c>
      <c r="D1186" t="inlineStr">
        <is>
          <t>UPPSALA LÄN</t>
        </is>
      </c>
      <c r="E1186" t="inlineStr">
        <is>
          <t>ENKÖPING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6242-2025</t>
        </is>
      </c>
      <c r="B1187" s="1" t="n">
        <v>45697</v>
      </c>
      <c r="C1187" s="1" t="n">
        <v>46098</v>
      </c>
      <c r="D1187" t="inlineStr">
        <is>
          <t>UPPSALA LÄN</t>
        </is>
      </c>
      <c r="E1187" t="inlineStr">
        <is>
          <t>ENKÖPING</t>
        </is>
      </c>
      <c r="G1187" t="n">
        <v>17.9</v>
      </c>
      <c r="H1187" t="n">
        <v>0</v>
      </c>
      <c r="I1187" t="n">
        <v>0</v>
      </c>
      <c r="J1187" t="n">
        <v>0</v>
      </c>
      <c r="K1187" t="n">
        <v>0</v>
      </c>
      <c r="L1187" t="n">
        <v>0</v>
      </c>
      <c r="M1187" t="n">
        <v>0</v>
      </c>
      <c r="N1187" t="n">
        <v>0</v>
      </c>
      <c r="O1187" t="n">
        <v>0</v>
      </c>
      <c r="P1187" t="n">
        <v>0</v>
      </c>
      <c r="Q1187" t="n">
        <v>0</v>
      </c>
      <c r="R1187" s="2" t="inlineStr"/>
    </row>
    <row r="1188" ht="15" customHeight="1">
      <c r="A1188" t="inlineStr">
        <is>
          <t>A 22488-2025</t>
        </is>
      </c>
      <c r="B1188" s="1" t="n">
        <v>45786.64865740741</v>
      </c>
      <c r="C1188" s="1" t="n">
        <v>46098</v>
      </c>
      <c r="D1188" t="inlineStr">
        <is>
          <t>UPPSALA LÄN</t>
        </is>
      </c>
      <c r="E1188" t="inlineStr">
        <is>
          <t>ÖSTHAMMAR</t>
        </is>
      </c>
      <c r="F1188" t="inlineStr">
        <is>
          <t>Bergvik skog öst AB</t>
        </is>
      </c>
      <c r="G1188" t="n">
        <v>14.9</v>
      </c>
      <c r="H1188" t="n">
        <v>0</v>
      </c>
      <c r="I1188" t="n">
        <v>0</v>
      </c>
      <c r="J1188" t="n">
        <v>0</v>
      </c>
      <c r="K1188" t="n">
        <v>0</v>
      </c>
      <c r="L1188" t="n">
        <v>0</v>
      </c>
      <c r="M1188" t="n">
        <v>0</v>
      </c>
      <c r="N1188" t="n">
        <v>0</v>
      </c>
      <c r="O1188" t="n">
        <v>0</v>
      </c>
      <c r="P1188" t="n">
        <v>0</v>
      </c>
      <c r="Q1188" t="n">
        <v>0</v>
      </c>
      <c r="R1188" s="2" t="inlineStr"/>
    </row>
    <row r="1189" ht="15" customHeight="1">
      <c r="A1189" t="inlineStr">
        <is>
          <t>A 22729-2025</t>
        </is>
      </c>
      <c r="B1189" s="1" t="n">
        <v>45789.57790509259</v>
      </c>
      <c r="C1189" s="1" t="n">
        <v>46098</v>
      </c>
      <c r="D1189" t="inlineStr">
        <is>
          <t>UPPSALA LÄN</t>
        </is>
      </c>
      <c r="E1189" t="inlineStr">
        <is>
          <t>ENKÖPING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49989-2025</t>
        </is>
      </c>
      <c r="B1190" s="1" t="n">
        <v>45942.8396412037</v>
      </c>
      <c r="C1190" s="1" t="n">
        <v>46098</v>
      </c>
      <c r="D1190" t="inlineStr">
        <is>
          <t>UPPSALA LÄN</t>
        </is>
      </c>
      <c r="E1190" t="inlineStr">
        <is>
          <t>UPPSALA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14518-2025</t>
        </is>
      </c>
      <c r="B1191" s="1" t="n">
        <v>45741</v>
      </c>
      <c r="C1191" s="1" t="n">
        <v>46098</v>
      </c>
      <c r="D1191" t="inlineStr">
        <is>
          <t>UPPSALA LÄN</t>
        </is>
      </c>
      <c r="E1191" t="inlineStr">
        <is>
          <t>ENKÖPING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22677-2025</t>
        </is>
      </c>
      <c r="B1192" s="1" t="n">
        <v>45789.49515046296</v>
      </c>
      <c r="C1192" s="1" t="n">
        <v>46098</v>
      </c>
      <c r="D1192" t="inlineStr">
        <is>
          <t>UPPSALA LÄN</t>
        </is>
      </c>
      <c r="E1192" t="inlineStr">
        <is>
          <t>ENKÖPING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50113-2025</t>
        </is>
      </c>
      <c r="B1193" s="1" t="n">
        <v>45943.54452546296</v>
      </c>
      <c r="C1193" s="1" t="n">
        <v>46098</v>
      </c>
      <c r="D1193" t="inlineStr">
        <is>
          <t>UPPSALA LÄN</t>
        </is>
      </c>
      <c r="E1193" t="inlineStr">
        <is>
          <t>ÄLVKARLEBY</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37073-2024</t>
        </is>
      </c>
      <c r="B1194" s="1" t="n">
        <v>45539.47310185185</v>
      </c>
      <c r="C1194" s="1" t="n">
        <v>46098</v>
      </c>
      <c r="D1194" t="inlineStr">
        <is>
          <t>UPPSALA LÄN</t>
        </is>
      </c>
      <c r="E1194" t="inlineStr">
        <is>
          <t>HEBY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21032-2022</t>
        </is>
      </c>
      <c r="B1195" s="1" t="n">
        <v>44704</v>
      </c>
      <c r="C1195" s="1" t="n">
        <v>46098</v>
      </c>
      <c r="D1195" t="inlineStr">
        <is>
          <t>UPPSALA LÄN</t>
        </is>
      </c>
      <c r="E1195" t="inlineStr">
        <is>
          <t>TIERP</t>
        </is>
      </c>
      <c r="F1195" t="inlineStr">
        <is>
          <t>Bergvik skog öst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42459-2024</t>
        </is>
      </c>
      <c r="B1196" s="1" t="n">
        <v>45565</v>
      </c>
      <c r="C1196" s="1" t="n">
        <v>46098</v>
      </c>
      <c r="D1196" t="inlineStr">
        <is>
          <t>UPPSALA LÄN</t>
        </is>
      </c>
      <c r="E1196" t="inlineStr">
        <is>
          <t>ENKÖPING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49988-2025</t>
        </is>
      </c>
      <c r="B1197" s="1" t="n">
        <v>45942.80318287037</v>
      </c>
      <c r="C1197" s="1" t="n">
        <v>46098</v>
      </c>
      <c r="D1197" t="inlineStr">
        <is>
          <t>UPPSALA LÄN</t>
        </is>
      </c>
      <c r="E1197" t="inlineStr">
        <is>
          <t>UPPSALA</t>
        </is>
      </c>
      <c r="F1197" t="inlineStr">
        <is>
          <t>Bergvik skog öst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14595-2023</t>
        </is>
      </c>
      <c r="B1198" s="1" t="n">
        <v>45013.57858796296</v>
      </c>
      <c r="C1198" s="1" t="n">
        <v>46098</v>
      </c>
      <c r="D1198" t="inlineStr">
        <is>
          <t>UPPSALA LÄN</t>
        </is>
      </c>
      <c r="E1198" t="inlineStr">
        <is>
          <t>ÖSTHAMMAR</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26328-2025</t>
        </is>
      </c>
      <c r="B1199" s="1" t="n">
        <v>45805.67305555556</v>
      </c>
      <c r="C1199" s="1" t="n">
        <v>46098</v>
      </c>
      <c r="D1199" t="inlineStr">
        <is>
          <t>UPPSALA LÄN</t>
        </is>
      </c>
      <c r="E1199" t="inlineStr">
        <is>
          <t>ÖSTHAMMAR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22679-2025</t>
        </is>
      </c>
      <c r="B1200" s="1" t="n">
        <v>45789.49747685185</v>
      </c>
      <c r="C1200" s="1" t="n">
        <v>46098</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22770-2025</t>
        </is>
      </c>
      <c r="B1201" s="1" t="n">
        <v>45789.63454861111</v>
      </c>
      <c r="C1201" s="1" t="n">
        <v>46098</v>
      </c>
      <c r="D1201" t="inlineStr">
        <is>
          <t>UPPSALA LÄN</t>
        </is>
      </c>
      <c r="E1201" t="inlineStr">
        <is>
          <t>ENKÖPING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22800-2025</t>
        </is>
      </c>
      <c r="B1202" s="1" t="n">
        <v>45789.6669212963</v>
      </c>
      <c r="C1202" s="1" t="n">
        <v>46098</v>
      </c>
      <c r="D1202" t="inlineStr">
        <is>
          <t>UPPSALA LÄN</t>
        </is>
      </c>
      <c r="E1202" t="inlineStr">
        <is>
          <t>ENKÖPING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32483-2024</t>
        </is>
      </c>
      <c r="B1203" s="1" t="n">
        <v>45513.36644675926</v>
      </c>
      <c r="C1203" s="1" t="n">
        <v>46098</v>
      </c>
      <c r="D1203" t="inlineStr">
        <is>
          <t>UPPSALA LÄN</t>
        </is>
      </c>
      <c r="E1203" t="inlineStr">
        <is>
          <t>ÖSTHAMMAR</t>
        </is>
      </c>
      <c r="F1203" t="inlineStr">
        <is>
          <t>Kyrkan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50206-2025</t>
        </is>
      </c>
      <c r="B1204" s="1" t="n">
        <v>45943.66027777778</v>
      </c>
      <c r="C1204" s="1" t="n">
        <v>46098</v>
      </c>
      <c r="D1204" t="inlineStr">
        <is>
          <t>UPPSALA LÄN</t>
        </is>
      </c>
      <c r="E1204" t="inlineStr">
        <is>
          <t>HEBY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13213-2022</t>
        </is>
      </c>
      <c r="B1205" s="1" t="n">
        <v>44644</v>
      </c>
      <c r="C1205" s="1" t="n">
        <v>46098</v>
      </c>
      <c r="D1205" t="inlineStr">
        <is>
          <t>UPPSALA LÄN</t>
        </is>
      </c>
      <c r="E1205" t="inlineStr">
        <is>
          <t>HEBY</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49937-2025</t>
        </is>
      </c>
      <c r="B1206" s="1" t="n">
        <v>45940.67084490741</v>
      </c>
      <c r="C1206" s="1" t="n">
        <v>46098</v>
      </c>
      <c r="D1206" t="inlineStr">
        <is>
          <t>UPPSALA LÄN</t>
        </is>
      </c>
      <c r="E1206" t="inlineStr">
        <is>
          <t>UPPSALA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49940-2025</t>
        </is>
      </c>
      <c r="B1207" s="1" t="n">
        <v>45940.67305555556</v>
      </c>
      <c r="C1207" s="1" t="n">
        <v>46098</v>
      </c>
      <c r="D1207" t="inlineStr">
        <is>
          <t>UPPSALA LÄN</t>
        </is>
      </c>
      <c r="E1207" t="inlineStr">
        <is>
          <t>UPPSALA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8699-2024</t>
        </is>
      </c>
      <c r="B1208" s="1" t="n">
        <v>45355</v>
      </c>
      <c r="C1208" s="1" t="n">
        <v>46098</v>
      </c>
      <c r="D1208" t="inlineStr">
        <is>
          <t>UPPSALA LÄN</t>
        </is>
      </c>
      <c r="E1208" t="inlineStr">
        <is>
          <t>HEBY</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38575-2024</t>
        </is>
      </c>
      <c r="B1209" s="1" t="n">
        <v>45546.64221064815</v>
      </c>
      <c r="C1209" s="1" t="n">
        <v>46098</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43685-2024</t>
        </is>
      </c>
      <c r="B1210" s="1" t="n">
        <v>45569</v>
      </c>
      <c r="C1210" s="1" t="n">
        <v>46098</v>
      </c>
      <c r="D1210" t="inlineStr">
        <is>
          <t>UPPSALA LÄN</t>
        </is>
      </c>
      <c r="E1210" t="inlineStr">
        <is>
          <t>ÖSTHAMMAR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13601-2024</t>
        </is>
      </c>
      <c r="B1211" s="1" t="n">
        <v>45390.31896990741</v>
      </c>
      <c r="C1211" s="1" t="n">
        <v>46098</v>
      </c>
      <c r="D1211" t="inlineStr">
        <is>
          <t>UPPSALA LÄN</t>
        </is>
      </c>
      <c r="E1211" t="inlineStr">
        <is>
          <t>HEBY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46925-2024</t>
        </is>
      </c>
      <c r="B1212" s="1" t="n">
        <v>45584.60038194444</v>
      </c>
      <c r="C1212" s="1" t="n">
        <v>46098</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50117-2025</t>
        </is>
      </c>
      <c r="B1213" s="1" t="n">
        <v>45943.54678240741</v>
      </c>
      <c r="C1213" s="1" t="n">
        <v>46098</v>
      </c>
      <c r="D1213" t="inlineStr">
        <is>
          <t>UPPSALA LÄN</t>
        </is>
      </c>
      <c r="E1213" t="inlineStr">
        <is>
          <t>TIERP</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44796-2024</t>
        </is>
      </c>
      <c r="B1214" s="1" t="n">
        <v>45574</v>
      </c>
      <c r="C1214" s="1" t="n">
        <v>46098</v>
      </c>
      <c r="D1214" t="inlineStr">
        <is>
          <t>UPPSALA LÄN</t>
        </is>
      </c>
      <c r="E1214" t="inlineStr">
        <is>
          <t>ÖSTHAMMAR</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50232-2025</t>
        </is>
      </c>
      <c r="B1215" s="1" t="n">
        <v>45943.70756944444</v>
      </c>
      <c r="C1215" s="1" t="n">
        <v>46098</v>
      </c>
      <c r="D1215" t="inlineStr">
        <is>
          <t>UPPSALA LÄN</t>
        </is>
      </c>
      <c r="E1215" t="inlineStr">
        <is>
          <t>UPPSALA</t>
        </is>
      </c>
      <c r="F1215" t="inlineStr">
        <is>
          <t>Holmen skog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49829-2025</t>
        </is>
      </c>
      <c r="B1216" s="1" t="n">
        <v>45940.45038194444</v>
      </c>
      <c r="C1216" s="1" t="n">
        <v>46098</v>
      </c>
      <c r="D1216" t="inlineStr">
        <is>
          <t>UPPSALA LÄN</t>
        </is>
      </c>
      <c r="E1216" t="inlineStr">
        <is>
          <t>UPPSALA</t>
        </is>
      </c>
      <c r="F1216" t="inlineStr">
        <is>
          <t>Bergvik skog öst AB</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22333-2025</t>
        </is>
      </c>
      <c r="B1217" s="1" t="n">
        <v>45786.43655092592</v>
      </c>
      <c r="C1217" s="1" t="n">
        <v>46098</v>
      </c>
      <c r="D1217" t="inlineStr">
        <is>
          <t>UPPSALA LÄN</t>
        </is>
      </c>
      <c r="E1217" t="inlineStr">
        <is>
          <t>HEBY</t>
        </is>
      </c>
      <c r="F1217" t="inlineStr">
        <is>
          <t>Kyrkan</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50077-2025</t>
        </is>
      </c>
      <c r="B1218" s="1" t="n">
        <v>45943.46789351852</v>
      </c>
      <c r="C1218" s="1" t="n">
        <v>46098</v>
      </c>
      <c r="D1218" t="inlineStr">
        <is>
          <t>UPPSALA LÄN</t>
        </is>
      </c>
      <c r="E1218" t="inlineStr">
        <is>
          <t>HEBY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6981-2025</t>
        </is>
      </c>
      <c r="B1219" s="1" t="n">
        <v>45701</v>
      </c>
      <c r="C1219" s="1" t="n">
        <v>46098</v>
      </c>
      <c r="D1219" t="inlineStr">
        <is>
          <t>UPPSALA LÄN</t>
        </is>
      </c>
      <c r="E1219" t="inlineStr">
        <is>
          <t>ENKÖPING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49990-2025</t>
        </is>
      </c>
      <c r="B1220" s="1" t="n">
        <v>45942.84414351852</v>
      </c>
      <c r="C1220" s="1" t="n">
        <v>46098</v>
      </c>
      <c r="D1220" t="inlineStr">
        <is>
          <t>UPPSALA LÄN</t>
        </is>
      </c>
      <c r="E1220" t="inlineStr">
        <is>
          <t>UPPSALA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44027-2024</t>
        </is>
      </c>
      <c r="B1221" s="1" t="n">
        <v>45572</v>
      </c>
      <c r="C1221" s="1" t="n">
        <v>46098</v>
      </c>
      <c r="D1221" t="inlineStr">
        <is>
          <t>UPPSALA LÄN</t>
        </is>
      </c>
      <c r="E1221" t="inlineStr">
        <is>
          <t>ÖSTHAMMAR</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22334-2025</t>
        </is>
      </c>
      <c r="B1222" s="1" t="n">
        <v>45786.4380787037</v>
      </c>
      <c r="C1222" s="1" t="n">
        <v>46098</v>
      </c>
      <c r="D1222" t="inlineStr">
        <is>
          <t>UPPSALA LÄN</t>
        </is>
      </c>
      <c r="E1222" t="inlineStr">
        <is>
          <t>HEBY</t>
        </is>
      </c>
      <c r="F1222" t="inlineStr">
        <is>
          <t>Kyrkan</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22786-2025</t>
        </is>
      </c>
      <c r="B1223" s="1" t="n">
        <v>45789.64643518518</v>
      </c>
      <c r="C1223" s="1" t="n">
        <v>46098</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35001-2024</t>
        </is>
      </c>
      <c r="B1224" s="1" t="n">
        <v>45527</v>
      </c>
      <c r="C1224" s="1" t="n">
        <v>46098</v>
      </c>
      <c r="D1224" t="inlineStr">
        <is>
          <t>UPPSALA LÄN</t>
        </is>
      </c>
      <c r="E1224" t="inlineStr">
        <is>
          <t>TIERP</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49987-2025</t>
        </is>
      </c>
      <c r="B1225" s="1" t="n">
        <v>45942.80185185185</v>
      </c>
      <c r="C1225" s="1" t="n">
        <v>46098</v>
      </c>
      <c r="D1225" t="inlineStr">
        <is>
          <t>UPPSALA LÄN</t>
        </is>
      </c>
      <c r="E1225" t="inlineStr">
        <is>
          <t>UPPSALA</t>
        </is>
      </c>
      <c r="F1225" t="inlineStr">
        <is>
          <t>Bergvik skog öst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39044-2025</t>
        </is>
      </c>
      <c r="B1226" s="1" t="n">
        <v>45888.43912037037</v>
      </c>
      <c r="C1226" s="1" t="n">
        <v>46098</v>
      </c>
      <c r="D1226" t="inlineStr">
        <is>
          <t>UPPSALA LÄN</t>
        </is>
      </c>
      <c r="E1226" t="inlineStr">
        <is>
          <t>TIERP</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5931-2022</t>
        </is>
      </c>
      <c r="B1227" s="1" t="n">
        <v>44598.82700231481</v>
      </c>
      <c r="C1227" s="1" t="n">
        <v>46098</v>
      </c>
      <c r="D1227" t="inlineStr">
        <is>
          <t>UPPSALA LÄN</t>
        </is>
      </c>
      <c r="E1227" t="inlineStr">
        <is>
          <t>ÖSTHAMMAR</t>
        </is>
      </c>
      <c r="F1227" t="inlineStr">
        <is>
          <t>Bergvik skog öst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68123-2021</t>
        </is>
      </c>
      <c r="B1228" s="1" t="n">
        <v>44526.39126157408</v>
      </c>
      <c r="C1228" s="1" t="n">
        <v>46098</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26208-2023</t>
        </is>
      </c>
      <c r="B1229" s="1" t="n">
        <v>45091</v>
      </c>
      <c r="C1229" s="1" t="n">
        <v>46098</v>
      </c>
      <c r="D1229" t="inlineStr">
        <is>
          <t>UPPSALA LÄN</t>
        </is>
      </c>
      <c r="E1229" t="inlineStr">
        <is>
          <t>UPPSALA</t>
        </is>
      </c>
      <c r="F1229" t="inlineStr">
        <is>
          <t>Holmen skog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11260-2024</t>
        </is>
      </c>
      <c r="B1230" s="1" t="n">
        <v>45371.67368055556</v>
      </c>
      <c r="C1230" s="1" t="n">
        <v>46098</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39409-2025</t>
        </is>
      </c>
      <c r="B1231" s="1" t="n">
        <v>45889</v>
      </c>
      <c r="C1231" s="1" t="n">
        <v>46098</v>
      </c>
      <c r="D1231" t="inlineStr">
        <is>
          <t>UPPSALA LÄN</t>
        </is>
      </c>
      <c r="E1231" t="inlineStr">
        <is>
          <t>HEBY</t>
        </is>
      </c>
      <c r="F1231" t="inlineStr">
        <is>
          <t>Bergvik skog väst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22680-2025</t>
        </is>
      </c>
      <c r="B1232" s="1" t="n">
        <v>45789.5005787037</v>
      </c>
      <c r="C1232" s="1" t="n">
        <v>46098</v>
      </c>
      <c r="D1232" t="inlineStr">
        <is>
          <t>UPPSALA LÄN</t>
        </is>
      </c>
      <c r="E1232" t="inlineStr">
        <is>
          <t>ENKÖPING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22802-2025</t>
        </is>
      </c>
      <c r="B1233" s="1" t="n">
        <v>45789.6686574074</v>
      </c>
      <c r="C1233" s="1" t="n">
        <v>46098</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3973-2025</t>
        </is>
      </c>
      <c r="B1234" s="1" t="n">
        <v>45684</v>
      </c>
      <c r="C1234" s="1" t="n">
        <v>46098</v>
      </c>
      <c r="D1234" t="inlineStr">
        <is>
          <t>UPPSALA LÄN</t>
        </is>
      </c>
      <c r="E1234" t="inlineStr">
        <is>
          <t>UPPSALA</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43683-2024</t>
        </is>
      </c>
      <c r="B1235" s="1" t="n">
        <v>45569.57518518518</v>
      </c>
      <c r="C1235" s="1" t="n">
        <v>46098</v>
      </c>
      <c r="D1235" t="inlineStr">
        <is>
          <t>UPPSALA LÄN</t>
        </is>
      </c>
      <c r="E1235" t="inlineStr">
        <is>
          <t>ÖSTHAMMAR</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50255-2025</t>
        </is>
      </c>
      <c r="B1236" s="1" t="n">
        <v>45944.34373842592</v>
      </c>
      <c r="C1236" s="1" t="n">
        <v>46098</v>
      </c>
      <c r="D1236" t="inlineStr">
        <is>
          <t>UPPSALA LÄN</t>
        </is>
      </c>
      <c r="E1236" t="inlineStr">
        <is>
          <t>HEBY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16324-2024</t>
        </is>
      </c>
      <c r="B1237" s="1" t="n">
        <v>45407.49721064815</v>
      </c>
      <c r="C1237" s="1" t="n">
        <v>46098</v>
      </c>
      <c r="D1237" t="inlineStr">
        <is>
          <t>UPPSALA LÄN</t>
        </is>
      </c>
      <c r="E1237" t="inlineStr">
        <is>
          <t>UPPSALA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62084-2023</t>
        </is>
      </c>
      <c r="B1238" s="1" t="n">
        <v>45266.82302083333</v>
      </c>
      <c r="C1238" s="1" t="n">
        <v>46098</v>
      </c>
      <c r="D1238" t="inlineStr">
        <is>
          <t>UPPSALA LÄN</t>
        </is>
      </c>
      <c r="E1238" t="inlineStr">
        <is>
          <t>HEBY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794-2024</t>
        </is>
      </c>
      <c r="B1239" s="1" t="n">
        <v>45300.58149305556</v>
      </c>
      <c r="C1239" s="1" t="n">
        <v>46098</v>
      </c>
      <c r="D1239" t="inlineStr">
        <is>
          <t>UPPSALA LÄN</t>
        </is>
      </c>
      <c r="E1239" t="inlineStr">
        <is>
          <t>KNIVSTA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43993-2024</t>
        </is>
      </c>
      <c r="B1240" s="1" t="n">
        <v>45572.52690972222</v>
      </c>
      <c r="C1240" s="1" t="n">
        <v>46098</v>
      </c>
      <c r="D1240" t="inlineStr">
        <is>
          <t>UPPSALA LÄN</t>
        </is>
      </c>
      <c r="E1240" t="inlineStr">
        <is>
          <t>ÖSTHAMMAR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42276-2024</t>
        </is>
      </c>
      <c r="B1241" s="1" t="n">
        <v>45562</v>
      </c>
      <c r="C1241" s="1" t="n">
        <v>46098</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42131-2023</t>
        </is>
      </c>
      <c r="B1242" s="1" t="n">
        <v>45177.79766203704</v>
      </c>
      <c r="C1242" s="1" t="n">
        <v>46098</v>
      </c>
      <c r="D1242" t="inlineStr">
        <is>
          <t>UPPSALA LÄN</t>
        </is>
      </c>
      <c r="E1242" t="inlineStr">
        <is>
          <t>UPPSALA</t>
        </is>
      </c>
      <c r="F1242" t="inlineStr">
        <is>
          <t>Allmännings- och besparingsskogar</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50591-2025</t>
        </is>
      </c>
      <c r="B1243" s="1" t="n">
        <v>45944</v>
      </c>
      <c r="C1243" s="1" t="n">
        <v>46098</v>
      </c>
      <c r="D1243" t="inlineStr">
        <is>
          <t>UPPSALA LÄN</t>
        </is>
      </c>
      <c r="E1243" t="inlineStr">
        <is>
          <t>UPPSALA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56564-2024</t>
        </is>
      </c>
      <c r="B1244" s="1" t="n">
        <v>45625.58501157408</v>
      </c>
      <c r="C1244" s="1" t="n">
        <v>46098</v>
      </c>
      <c r="D1244" t="inlineStr">
        <is>
          <t>UPPSALA LÄN</t>
        </is>
      </c>
      <c r="E1244" t="inlineStr">
        <is>
          <t>UPPSALA</t>
        </is>
      </c>
      <c r="F1244" t="inlineStr">
        <is>
          <t>Övriga Aktiebolag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50398-2025</t>
        </is>
      </c>
      <c r="B1245" s="1" t="n">
        <v>45944.62854166667</v>
      </c>
      <c r="C1245" s="1" t="n">
        <v>46098</v>
      </c>
      <c r="D1245" t="inlineStr">
        <is>
          <t>UPPSALA LÄN</t>
        </is>
      </c>
      <c r="E1245" t="inlineStr">
        <is>
          <t>ÄLVKARLEBY</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22769-2025</t>
        </is>
      </c>
      <c r="B1246" s="1" t="n">
        <v>45789.63409722222</v>
      </c>
      <c r="C1246" s="1" t="n">
        <v>46098</v>
      </c>
      <c r="D1246" t="inlineStr">
        <is>
          <t>UPPSALA LÄN</t>
        </is>
      </c>
      <c r="E1246" t="inlineStr">
        <is>
          <t>TIERP</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39092-2025</t>
        </is>
      </c>
      <c r="B1247" s="1" t="n">
        <v>45888.49290509259</v>
      </c>
      <c r="C1247" s="1" t="n">
        <v>46098</v>
      </c>
      <c r="D1247" t="inlineStr">
        <is>
          <t>UPPSALA LÄN</t>
        </is>
      </c>
      <c r="E1247" t="inlineStr">
        <is>
          <t>TIERP</t>
        </is>
      </c>
      <c r="F1247" t="inlineStr">
        <is>
          <t>Bergvik skog öst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50371-2025</t>
        </is>
      </c>
      <c r="B1248" s="1" t="n">
        <v>45944.58696759259</v>
      </c>
      <c r="C1248" s="1" t="n">
        <v>46098</v>
      </c>
      <c r="D1248" t="inlineStr">
        <is>
          <t>UPPSALA LÄN</t>
        </is>
      </c>
      <c r="E1248" t="inlineStr">
        <is>
          <t>ÄLVKARLEBY</t>
        </is>
      </c>
      <c r="F1248" t="inlineStr">
        <is>
          <t>Bergvik skog väst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22793-2025</t>
        </is>
      </c>
      <c r="B1249" s="1" t="n">
        <v>45789.65693287037</v>
      </c>
      <c r="C1249" s="1" t="n">
        <v>46098</v>
      </c>
      <c r="D1249" t="inlineStr">
        <is>
          <t>UPPSALA LÄN</t>
        </is>
      </c>
      <c r="E1249" t="inlineStr">
        <is>
          <t>ENKÖPING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22795-2025</t>
        </is>
      </c>
      <c r="B1250" s="1" t="n">
        <v>45789.65944444444</v>
      </c>
      <c r="C1250" s="1" t="n">
        <v>46098</v>
      </c>
      <c r="D1250" t="inlineStr">
        <is>
          <t>UPPSALA LÄN</t>
        </is>
      </c>
      <c r="E1250" t="inlineStr">
        <is>
          <t>ENKÖPING</t>
        </is>
      </c>
      <c r="G1250" t="n">
        <v>10.4</v>
      </c>
      <c r="H1250" t="n">
        <v>0</v>
      </c>
      <c r="I1250" t="n">
        <v>0</v>
      </c>
      <c r="J1250" t="n">
        <v>0</v>
      </c>
      <c r="K1250" t="n">
        <v>0</v>
      </c>
      <c r="L1250" t="n">
        <v>0</v>
      </c>
      <c r="M1250" t="n">
        <v>0</v>
      </c>
      <c r="N1250" t="n">
        <v>0</v>
      </c>
      <c r="O1250" t="n">
        <v>0</v>
      </c>
      <c r="P1250" t="n">
        <v>0</v>
      </c>
      <c r="Q1250" t="n">
        <v>0</v>
      </c>
      <c r="R1250" s="2" t="inlineStr"/>
    </row>
    <row r="1251" ht="15" customHeight="1">
      <c r="A1251" t="inlineStr">
        <is>
          <t>A 9194-2025</t>
        </is>
      </c>
      <c r="B1251" s="1" t="n">
        <v>45714.46084490741</v>
      </c>
      <c r="C1251" s="1" t="n">
        <v>46098</v>
      </c>
      <c r="D1251" t="inlineStr">
        <is>
          <t>UPPSALA LÄN</t>
        </is>
      </c>
      <c r="E1251" t="inlineStr">
        <is>
          <t>HEBY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22725-2025</t>
        </is>
      </c>
      <c r="B1252" s="1" t="n">
        <v>45789.57371527778</v>
      </c>
      <c r="C1252" s="1" t="n">
        <v>46098</v>
      </c>
      <c r="D1252" t="inlineStr">
        <is>
          <t>UPPSALA LÄN</t>
        </is>
      </c>
      <c r="E1252" t="inlineStr">
        <is>
          <t>ENKÖPING</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22492-2025</t>
        </is>
      </c>
      <c r="B1253" s="1" t="n">
        <v>45786.65072916666</v>
      </c>
      <c r="C1253" s="1" t="n">
        <v>46098</v>
      </c>
      <c r="D1253" t="inlineStr">
        <is>
          <t>UPPSALA LÄN</t>
        </is>
      </c>
      <c r="E1253" t="inlineStr">
        <is>
          <t>ÖSTHAMMAR</t>
        </is>
      </c>
      <c r="F1253" t="inlineStr">
        <is>
          <t>Bergvik skog öst AB</t>
        </is>
      </c>
      <c r="G1253" t="n">
        <v>16.6</v>
      </c>
      <c r="H1253" t="n">
        <v>0</v>
      </c>
      <c r="I1253" t="n">
        <v>0</v>
      </c>
      <c r="J1253" t="n">
        <v>0</v>
      </c>
      <c r="K1253" t="n">
        <v>0</v>
      </c>
      <c r="L1253" t="n">
        <v>0</v>
      </c>
      <c r="M1253" t="n">
        <v>0</v>
      </c>
      <c r="N1253" t="n">
        <v>0</v>
      </c>
      <c r="O1253" t="n">
        <v>0</v>
      </c>
      <c r="P1253" t="n">
        <v>0</v>
      </c>
      <c r="Q1253" t="n">
        <v>0</v>
      </c>
      <c r="R1253" s="2" t="inlineStr"/>
    </row>
    <row r="1254" ht="15" customHeight="1">
      <c r="A1254" t="inlineStr">
        <is>
          <t>A 22455-2025</t>
        </is>
      </c>
      <c r="B1254" s="1" t="n">
        <v>45786.60577546297</v>
      </c>
      <c r="C1254" s="1" t="n">
        <v>46098</v>
      </c>
      <c r="D1254" t="inlineStr">
        <is>
          <t>UPPSALA LÄN</t>
        </is>
      </c>
      <c r="E1254" t="inlineStr">
        <is>
          <t>HEBY</t>
        </is>
      </c>
      <c r="F1254" t="inlineStr">
        <is>
          <t>Kyrkan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41112-2025</t>
        </is>
      </c>
      <c r="B1255" s="1" t="n">
        <v>45898.46040509259</v>
      </c>
      <c r="C1255" s="1" t="n">
        <v>46098</v>
      </c>
      <c r="D1255" t="inlineStr">
        <is>
          <t>UPPSALA LÄN</t>
        </is>
      </c>
      <c r="E1255" t="inlineStr">
        <is>
          <t>UPPSALA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22460-2025</t>
        </is>
      </c>
      <c r="B1256" s="1" t="n">
        <v>45786.60734953704</v>
      </c>
      <c r="C1256" s="1" t="n">
        <v>46098</v>
      </c>
      <c r="D1256" t="inlineStr">
        <is>
          <t>UPPSALA LÄN</t>
        </is>
      </c>
      <c r="E1256" t="inlineStr">
        <is>
          <t>HEBY</t>
        </is>
      </c>
      <c r="F1256" t="inlineStr">
        <is>
          <t>Kyrkan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8090-2022</t>
        </is>
      </c>
      <c r="B1257" s="1" t="n">
        <v>44608</v>
      </c>
      <c r="C1257" s="1" t="n">
        <v>46098</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22483-2025</t>
        </is>
      </c>
      <c r="B1258" s="1" t="n">
        <v>45786.64141203704</v>
      </c>
      <c r="C1258" s="1" t="n">
        <v>46098</v>
      </c>
      <c r="D1258" t="inlineStr">
        <is>
          <t>UPPSALA LÄN</t>
        </is>
      </c>
      <c r="E1258" t="inlineStr">
        <is>
          <t>ÖSTHAMMAR</t>
        </is>
      </c>
      <c r="F1258" t="inlineStr">
        <is>
          <t>Bergvik skog öst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17091-2023</t>
        </is>
      </c>
      <c r="B1259" s="1" t="n">
        <v>45034.53554398148</v>
      </c>
      <c r="C1259" s="1" t="n">
        <v>46098</v>
      </c>
      <c r="D1259" t="inlineStr">
        <is>
          <t>UPPSALA LÄN</t>
        </is>
      </c>
      <c r="E1259" t="inlineStr">
        <is>
          <t>KNIVSTA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59589-2022</t>
        </is>
      </c>
      <c r="B1260" s="1" t="n">
        <v>44907</v>
      </c>
      <c r="C1260" s="1" t="n">
        <v>46098</v>
      </c>
      <c r="D1260" t="inlineStr">
        <is>
          <t>UPPSALA LÄN</t>
        </is>
      </c>
      <c r="E1260" t="inlineStr">
        <is>
          <t>TIERP</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13447-2023</t>
        </is>
      </c>
      <c r="B1261" s="1" t="n">
        <v>45005</v>
      </c>
      <c r="C1261" s="1" t="n">
        <v>46098</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59291-2023</t>
        </is>
      </c>
      <c r="B1262" s="1" t="n">
        <v>45253.57559027777</v>
      </c>
      <c r="C1262" s="1" t="n">
        <v>46098</v>
      </c>
      <c r="D1262" t="inlineStr">
        <is>
          <t>UPPSALA LÄN</t>
        </is>
      </c>
      <c r="E1262" t="inlineStr">
        <is>
          <t>ÖSTHAMMAR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4980-2024</t>
        </is>
      </c>
      <c r="B1263" s="1" t="n">
        <v>45329</v>
      </c>
      <c r="C1263" s="1" t="n">
        <v>46098</v>
      </c>
      <c r="D1263" t="inlineStr">
        <is>
          <t>UPPSALA LÄN</t>
        </is>
      </c>
      <c r="E1263" t="inlineStr">
        <is>
          <t>UPPSALA</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39842-2025</t>
        </is>
      </c>
      <c r="B1264" s="1" t="n">
        <v>45891.57488425926</v>
      </c>
      <c r="C1264" s="1" t="n">
        <v>46098</v>
      </c>
      <c r="D1264" t="inlineStr">
        <is>
          <t>UPPSALA LÄN</t>
        </is>
      </c>
      <c r="E1264" t="inlineStr">
        <is>
          <t>TIERP</t>
        </is>
      </c>
      <c r="F1264" t="inlineStr">
        <is>
          <t>Bergvik skog öst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750-2022</t>
        </is>
      </c>
      <c r="B1265" s="1" t="n">
        <v>44569.49344907407</v>
      </c>
      <c r="C1265" s="1" t="n">
        <v>46098</v>
      </c>
      <c r="D1265" t="inlineStr">
        <is>
          <t>UPPSALA LÄN</t>
        </is>
      </c>
      <c r="E1265" t="inlineStr">
        <is>
          <t>UPPSALA</t>
        </is>
      </c>
      <c r="F1265" t="inlineStr">
        <is>
          <t>Holmen skog AB</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46751-2024</t>
        </is>
      </c>
      <c r="B1266" s="1" t="n">
        <v>45583.48449074074</v>
      </c>
      <c r="C1266" s="1" t="n">
        <v>46098</v>
      </c>
      <c r="D1266" t="inlineStr">
        <is>
          <t>UPPSALA LÄN</t>
        </is>
      </c>
      <c r="E1266" t="inlineStr">
        <is>
          <t>UPPSALA</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50657-2025</t>
        </is>
      </c>
      <c r="B1267" s="1" t="n">
        <v>45945</v>
      </c>
      <c r="C1267" s="1" t="n">
        <v>46098</v>
      </c>
      <c r="D1267" t="inlineStr">
        <is>
          <t>UPPSALA LÄN</t>
        </is>
      </c>
      <c r="E1267" t="inlineStr">
        <is>
          <t>HEBY</t>
        </is>
      </c>
      <c r="F1267" t="inlineStr">
        <is>
          <t>Bergvik skog väst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50335-2025</t>
        </is>
      </c>
      <c r="B1268" s="1" t="n">
        <v>45944.47350694444</v>
      </c>
      <c r="C1268" s="1" t="n">
        <v>46098</v>
      </c>
      <c r="D1268" t="inlineStr">
        <is>
          <t>UPPSALA LÄN</t>
        </is>
      </c>
      <c r="E1268" t="inlineStr">
        <is>
          <t>TIERP</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61261-2022</t>
        </is>
      </c>
      <c r="B1269" s="1" t="n">
        <v>44915.59645833333</v>
      </c>
      <c r="C1269" s="1" t="n">
        <v>46098</v>
      </c>
      <c r="D1269" t="inlineStr">
        <is>
          <t>UPPSALA LÄN</t>
        </is>
      </c>
      <c r="E1269" t="inlineStr">
        <is>
          <t>ÖSTHAMMAR</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60125-2024</t>
        </is>
      </c>
      <c r="B1270" s="1" t="n">
        <v>45642</v>
      </c>
      <c r="C1270" s="1" t="n">
        <v>46098</v>
      </c>
      <c r="D1270" t="inlineStr">
        <is>
          <t>UPPSALA LÄN</t>
        </is>
      </c>
      <c r="E1270" t="inlineStr">
        <is>
          <t>ENKÖPING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50897-2025</t>
        </is>
      </c>
      <c r="B1271" s="1" t="n">
        <v>45946.64121527778</v>
      </c>
      <c r="C1271" s="1" t="n">
        <v>46098</v>
      </c>
      <c r="D1271" t="inlineStr">
        <is>
          <t>UPPSALA LÄN</t>
        </is>
      </c>
      <c r="E1271" t="inlineStr">
        <is>
          <t>UPPSALA</t>
        </is>
      </c>
      <c r="F1271" t="inlineStr">
        <is>
          <t>Bergvik skog öst AB</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23198-2025</t>
        </is>
      </c>
      <c r="B1272" s="1" t="n">
        <v>45791.45799768518</v>
      </c>
      <c r="C1272" s="1" t="n">
        <v>46098</v>
      </c>
      <c r="D1272" t="inlineStr">
        <is>
          <t>UPPSALA LÄN</t>
        </is>
      </c>
      <c r="E1272" t="inlineStr">
        <is>
          <t>TIERP</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51162-2025</t>
        </is>
      </c>
      <c r="B1273" s="1" t="n">
        <v>45947.58820601852</v>
      </c>
      <c r="C1273" s="1" t="n">
        <v>46098</v>
      </c>
      <c r="D1273" t="inlineStr">
        <is>
          <t>UPPSALA LÄN</t>
        </is>
      </c>
      <c r="E1273" t="inlineStr">
        <is>
          <t>ENKÖPING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50802-2025</t>
        </is>
      </c>
      <c r="B1274" s="1" t="n">
        <v>45946.49408564815</v>
      </c>
      <c r="C1274" s="1" t="n">
        <v>46098</v>
      </c>
      <c r="D1274" t="inlineStr">
        <is>
          <t>UPPSALA LÄN</t>
        </is>
      </c>
      <c r="E1274" t="inlineStr">
        <is>
          <t>HEBY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49048-2025</t>
        </is>
      </c>
      <c r="B1275" s="1" t="n">
        <v>45937</v>
      </c>
      <c r="C1275" s="1" t="n">
        <v>46098</v>
      </c>
      <c r="D1275" t="inlineStr">
        <is>
          <t>UPPSALA LÄN</t>
        </is>
      </c>
      <c r="E1275" t="inlineStr">
        <is>
          <t>TIERP</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39792-2025</t>
        </is>
      </c>
      <c r="B1276" s="1" t="n">
        <v>45891.4865625</v>
      </c>
      <c r="C1276" s="1" t="n">
        <v>46098</v>
      </c>
      <c r="D1276" t="inlineStr">
        <is>
          <t>UPPSALA LÄN</t>
        </is>
      </c>
      <c r="E1276" t="inlineStr">
        <is>
          <t>UPPSALA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51116-2025</t>
        </is>
      </c>
      <c r="B1277" s="1" t="n">
        <v>45947.52800925926</v>
      </c>
      <c r="C1277" s="1" t="n">
        <v>46098</v>
      </c>
      <c r="D1277" t="inlineStr">
        <is>
          <t>UPPSALA LÄN</t>
        </is>
      </c>
      <c r="E1277" t="inlineStr">
        <is>
          <t>TIERP</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51133-2025</t>
        </is>
      </c>
      <c r="B1278" s="1" t="n">
        <v>45947.55598379629</v>
      </c>
      <c r="C1278" s="1" t="n">
        <v>46098</v>
      </c>
      <c r="D1278" t="inlineStr">
        <is>
          <t>UPPSALA LÄN</t>
        </is>
      </c>
      <c r="E1278" t="inlineStr">
        <is>
          <t>ENKÖPING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51156-2025</t>
        </is>
      </c>
      <c r="B1279" s="1" t="n">
        <v>45947.57833333333</v>
      </c>
      <c r="C1279" s="1" t="n">
        <v>46098</v>
      </c>
      <c r="D1279" t="inlineStr">
        <is>
          <t>UPPSALA LÄN</t>
        </is>
      </c>
      <c r="E1279" t="inlineStr">
        <is>
          <t>ÖSTHAMMAR</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51158-2025</t>
        </is>
      </c>
      <c r="B1280" s="1" t="n">
        <v>45947.58105324074</v>
      </c>
      <c r="C1280" s="1" t="n">
        <v>46098</v>
      </c>
      <c r="D1280" t="inlineStr">
        <is>
          <t>UPPSALA LÄN</t>
        </is>
      </c>
      <c r="E1280" t="inlineStr">
        <is>
          <t>UPPSALA</t>
        </is>
      </c>
      <c r="F1280" t="inlineStr">
        <is>
          <t>Övriga Aktiebolag</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23370-2025</t>
        </is>
      </c>
      <c r="B1281" s="1" t="n">
        <v>45791.70907407408</v>
      </c>
      <c r="C1281" s="1" t="n">
        <v>46098</v>
      </c>
      <c r="D1281" t="inlineStr">
        <is>
          <t>UPPSALA LÄN</t>
        </is>
      </c>
      <c r="E1281" t="inlineStr">
        <is>
          <t>HÅBO</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39777-2025</t>
        </is>
      </c>
      <c r="B1282" s="1" t="n">
        <v>45891.46827546296</v>
      </c>
      <c r="C1282" s="1" t="n">
        <v>46098</v>
      </c>
      <c r="D1282" t="inlineStr">
        <is>
          <t>UPPSALA LÄN</t>
        </is>
      </c>
      <c r="E1282" t="inlineStr">
        <is>
          <t>UPPSALA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50951-2025</t>
        </is>
      </c>
      <c r="B1283" s="1" t="n">
        <v>45946.76038194444</v>
      </c>
      <c r="C1283" s="1" t="n">
        <v>46098</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50954-2025</t>
        </is>
      </c>
      <c r="B1284" s="1" t="n">
        <v>45946.7803125</v>
      </c>
      <c r="C1284" s="1" t="n">
        <v>46098</v>
      </c>
      <c r="D1284" t="inlineStr">
        <is>
          <t>UPPSALA LÄN</t>
        </is>
      </c>
      <c r="E1284" t="inlineStr">
        <is>
          <t>HEBY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50706-2025</t>
        </is>
      </c>
      <c r="B1285" s="1" t="n">
        <v>45946.30063657407</v>
      </c>
      <c r="C1285" s="1" t="n">
        <v>46098</v>
      </c>
      <c r="D1285" t="inlineStr">
        <is>
          <t>UPPSALA LÄN</t>
        </is>
      </c>
      <c r="E1285" t="inlineStr">
        <is>
          <t>UPPSALA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50708-2025</t>
        </is>
      </c>
      <c r="B1286" s="1" t="n">
        <v>45946.31299768519</v>
      </c>
      <c r="C1286" s="1" t="n">
        <v>46098</v>
      </c>
      <c r="D1286" t="inlineStr">
        <is>
          <t>UPPSALA LÄN</t>
        </is>
      </c>
      <c r="E1286" t="inlineStr">
        <is>
          <t>UPPSALA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50730-2025</t>
        </is>
      </c>
      <c r="B1287" s="1" t="n">
        <v>45946.36325231481</v>
      </c>
      <c r="C1287" s="1" t="n">
        <v>46098</v>
      </c>
      <c r="D1287" t="inlineStr">
        <is>
          <t>UPPSALA LÄN</t>
        </is>
      </c>
      <c r="E1287" t="inlineStr">
        <is>
          <t>TIERP</t>
        </is>
      </c>
      <c r="F1287" t="inlineStr">
        <is>
          <t>Bergvik skog öst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51012-2025</t>
        </is>
      </c>
      <c r="B1288" s="1" t="n">
        <v>45947.38002314815</v>
      </c>
      <c r="C1288" s="1" t="n">
        <v>46098</v>
      </c>
      <c r="D1288" t="inlineStr">
        <is>
          <t>UPPSALA LÄN</t>
        </is>
      </c>
      <c r="E1288" t="inlineStr">
        <is>
          <t>TIERP</t>
        </is>
      </c>
      <c r="G1288" t="n">
        <v>26.8</v>
      </c>
      <c r="H1288" t="n">
        <v>0</v>
      </c>
      <c r="I1288" t="n">
        <v>0</v>
      </c>
      <c r="J1288" t="n">
        <v>0</v>
      </c>
      <c r="K1288" t="n">
        <v>0</v>
      </c>
      <c r="L1288" t="n">
        <v>0</v>
      </c>
      <c r="M1288" t="n">
        <v>0</v>
      </c>
      <c r="N1288" t="n">
        <v>0</v>
      </c>
      <c r="O1288" t="n">
        <v>0</v>
      </c>
      <c r="P1288" t="n">
        <v>0</v>
      </c>
      <c r="Q1288" t="n">
        <v>0</v>
      </c>
      <c r="R1288" s="2" t="inlineStr"/>
    </row>
    <row r="1289" ht="15" customHeight="1">
      <c r="A1289" t="inlineStr">
        <is>
          <t>A 50832-2025</t>
        </is>
      </c>
      <c r="B1289" s="1" t="n">
        <v>45946.55498842592</v>
      </c>
      <c r="C1289" s="1" t="n">
        <v>46098</v>
      </c>
      <c r="D1289" t="inlineStr">
        <is>
          <t>UPPSALA LÄN</t>
        </is>
      </c>
      <c r="E1289" t="inlineStr">
        <is>
          <t>TIERP</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51237-2025</t>
        </is>
      </c>
      <c r="B1290" s="1" t="n">
        <v>45947.69307870371</v>
      </c>
      <c r="C1290" s="1" t="n">
        <v>46098</v>
      </c>
      <c r="D1290" t="inlineStr">
        <is>
          <t>UPPSALA LÄN</t>
        </is>
      </c>
      <c r="E1290" t="inlineStr">
        <is>
          <t>ÄLVKARLEBY</t>
        </is>
      </c>
      <c r="F1290" t="inlineStr">
        <is>
          <t>Bergvik skog väst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22930-2025</t>
        </is>
      </c>
      <c r="B1291" s="1" t="n">
        <v>45790.44972222222</v>
      </c>
      <c r="C1291" s="1" t="n">
        <v>46098</v>
      </c>
      <c r="D1291" t="inlineStr">
        <is>
          <t>UPPSALA LÄN</t>
        </is>
      </c>
      <c r="E1291" t="inlineStr">
        <is>
          <t>UPPSALA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51180-2025</t>
        </is>
      </c>
      <c r="B1292" s="1" t="n">
        <v>45947.61815972222</v>
      </c>
      <c r="C1292" s="1" t="n">
        <v>46098</v>
      </c>
      <c r="D1292" t="inlineStr">
        <is>
          <t>UPPSALA LÄN</t>
        </is>
      </c>
      <c r="E1292" t="inlineStr">
        <is>
          <t>HEBY</t>
        </is>
      </c>
      <c r="F1292" t="inlineStr">
        <is>
          <t>Allmännings- och besparingsskogar</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50869-2025</t>
        </is>
      </c>
      <c r="B1293" s="1" t="n">
        <v>45946.60259259259</v>
      </c>
      <c r="C1293" s="1" t="n">
        <v>46098</v>
      </c>
      <c r="D1293" t="inlineStr">
        <is>
          <t>UPPSALA LÄN</t>
        </is>
      </c>
      <c r="E1293" t="inlineStr">
        <is>
          <t>ÄLVKARLEBY</t>
        </is>
      </c>
      <c r="F1293" t="inlineStr">
        <is>
          <t>Bergvik skog väst AB</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50879-2025</t>
        </is>
      </c>
      <c r="B1294" s="1" t="n">
        <v>45946.62524305555</v>
      </c>
      <c r="C1294" s="1" t="n">
        <v>46098</v>
      </c>
      <c r="D1294" t="inlineStr">
        <is>
          <t>UPPSALA LÄN</t>
        </is>
      </c>
      <c r="E1294" t="inlineStr">
        <is>
          <t>TIERP</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39721-2025</t>
        </is>
      </c>
      <c r="B1295" s="1" t="n">
        <v>45891.33204861111</v>
      </c>
      <c r="C1295" s="1" t="n">
        <v>46098</v>
      </c>
      <c r="D1295" t="inlineStr">
        <is>
          <t>UPPSALA LÄN</t>
        </is>
      </c>
      <c r="E1295" t="inlineStr">
        <is>
          <t>UPPSALA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50949-2025</t>
        </is>
      </c>
      <c r="B1296" s="1" t="n">
        <v>45946.75140046296</v>
      </c>
      <c r="C1296" s="1" t="n">
        <v>46098</v>
      </c>
      <c r="D1296" t="inlineStr">
        <is>
          <t>UPPSALA LÄN</t>
        </is>
      </c>
      <c r="E1296" t="inlineStr">
        <is>
          <t>UPPSALA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39856-2025</t>
        </is>
      </c>
      <c r="B1297" s="1" t="n">
        <v>45891.58877314815</v>
      </c>
      <c r="C1297" s="1" t="n">
        <v>46098</v>
      </c>
      <c r="D1297" t="inlineStr">
        <is>
          <t>UPPSALA LÄN</t>
        </is>
      </c>
      <c r="E1297" t="inlineStr">
        <is>
          <t>TIERP</t>
        </is>
      </c>
      <c r="F1297" t="inlineStr">
        <is>
          <t>Bergvik skog öst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23204-2025</t>
        </is>
      </c>
      <c r="B1298" s="1" t="n">
        <v>45791.46357638889</v>
      </c>
      <c r="C1298" s="1" t="n">
        <v>46098</v>
      </c>
      <c r="D1298" t="inlineStr">
        <is>
          <t>UPPSALA LÄN</t>
        </is>
      </c>
      <c r="E1298" t="inlineStr">
        <is>
          <t>TIERP</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50820-2025</t>
        </is>
      </c>
      <c r="B1299" s="1" t="n">
        <v>45946.53392361111</v>
      </c>
      <c r="C1299" s="1" t="n">
        <v>46098</v>
      </c>
      <c r="D1299" t="inlineStr">
        <is>
          <t>UPPSALA LÄN</t>
        </is>
      </c>
      <c r="E1299" t="inlineStr">
        <is>
          <t>TIERP</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51044-2025</t>
        </is>
      </c>
      <c r="B1300" s="1" t="n">
        <v>45947.4264699074</v>
      </c>
      <c r="C1300" s="1" t="n">
        <v>46098</v>
      </c>
      <c r="D1300" t="inlineStr">
        <is>
          <t>UPPSALA LÄN</t>
        </is>
      </c>
      <c r="E1300" t="inlineStr">
        <is>
          <t>TIERP</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51066-2025</t>
        </is>
      </c>
      <c r="B1301" s="1" t="n">
        <v>45947.45293981482</v>
      </c>
      <c r="C1301" s="1" t="n">
        <v>46098</v>
      </c>
      <c r="D1301" t="inlineStr">
        <is>
          <t>UPPSALA LÄN</t>
        </is>
      </c>
      <c r="E1301" t="inlineStr">
        <is>
          <t>TIERP</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11339-2025</t>
        </is>
      </c>
      <c r="B1302" s="1" t="n">
        <v>45726</v>
      </c>
      <c r="C1302" s="1" t="n">
        <v>46098</v>
      </c>
      <c r="D1302" t="inlineStr">
        <is>
          <t>UPPSALA LÄN</t>
        </is>
      </c>
      <c r="E1302" t="inlineStr">
        <is>
          <t>UPPSALA</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39148-2022</t>
        </is>
      </c>
      <c r="B1303" s="1" t="n">
        <v>44816</v>
      </c>
      <c r="C1303" s="1" t="n">
        <v>46098</v>
      </c>
      <c r="D1303" t="inlineStr">
        <is>
          <t>UPPSALA LÄN</t>
        </is>
      </c>
      <c r="E1303" t="inlineStr">
        <is>
          <t>UPPSALA</t>
        </is>
      </c>
      <c r="F1303" t="inlineStr">
        <is>
          <t>Övriga statliga verk och myndigheter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23201-2025</t>
        </is>
      </c>
      <c r="B1304" s="1" t="n">
        <v>45791.4603587963</v>
      </c>
      <c r="C1304" s="1" t="n">
        <v>46098</v>
      </c>
      <c r="D1304" t="inlineStr">
        <is>
          <t>UPPSALA LÄN</t>
        </is>
      </c>
      <c r="E1304" t="inlineStr">
        <is>
          <t>TIERP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51085-2025</t>
        </is>
      </c>
      <c r="B1305" s="1" t="n">
        <v>45947.46891203704</v>
      </c>
      <c r="C1305" s="1" t="n">
        <v>46098</v>
      </c>
      <c r="D1305" t="inlineStr">
        <is>
          <t>UPPSALA LÄN</t>
        </is>
      </c>
      <c r="E1305" t="inlineStr">
        <is>
          <t>TIERP</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51090-2025</t>
        </is>
      </c>
      <c r="B1306" s="1" t="n">
        <v>45947.4724537037</v>
      </c>
      <c r="C1306" s="1" t="n">
        <v>46098</v>
      </c>
      <c r="D1306" t="inlineStr">
        <is>
          <t>UPPSALA LÄN</t>
        </is>
      </c>
      <c r="E1306" t="inlineStr">
        <is>
          <t>UPPSALA</t>
        </is>
      </c>
      <c r="F1306" t="inlineStr">
        <is>
          <t>Övriga Aktiebolag</t>
        </is>
      </c>
      <c r="G1306" t="n">
        <v>17.5</v>
      </c>
      <c r="H1306" t="n">
        <v>0</v>
      </c>
      <c r="I1306" t="n">
        <v>0</v>
      </c>
      <c r="J1306" t="n">
        <v>0</v>
      </c>
      <c r="K1306" t="n">
        <v>0</v>
      </c>
      <c r="L1306" t="n">
        <v>0</v>
      </c>
      <c r="M1306" t="n">
        <v>0</v>
      </c>
      <c r="N1306" t="n">
        <v>0</v>
      </c>
      <c r="O1306" t="n">
        <v>0</v>
      </c>
      <c r="P1306" t="n">
        <v>0</v>
      </c>
      <c r="Q1306" t="n">
        <v>0</v>
      </c>
      <c r="R1306" s="2" t="inlineStr"/>
    </row>
    <row r="1307" ht="15" customHeight="1">
      <c r="A1307" t="inlineStr">
        <is>
          <t>A 5729-2025</t>
        </is>
      </c>
      <c r="B1307" s="1" t="n">
        <v>45694.49037037037</v>
      </c>
      <c r="C1307" s="1" t="n">
        <v>46098</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50713-2025</t>
        </is>
      </c>
      <c r="B1308" s="1" t="n">
        <v>45946.34517361111</v>
      </c>
      <c r="C1308" s="1" t="n">
        <v>46098</v>
      </c>
      <c r="D1308" t="inlineStr">
        <is>
          <t>UPPSALA LÄN</t>
        </is>
      </c>
      <c r="E1308" t="inlineStr">
        <is>
          <t>TIERP</t>
        </is>
      </c>
      <c r="F1308" t="inlineStr">
        <is>
          <t>Bergvik skog öst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10468-2025</t>
        </is>
      </c>
      <c r="B1309" s="1" t="n">
        <v>45720</v>
      </c>
      <c r="C1309" s="1" t="n">
        <v>46098</v>
      </c>
      <c r="D1309" t="inlineStr">
        <is>
          <t>UPPSALA LÄN</t>
        </is>
      </c>
      <c r="E1309" t="inlineStr">
        <is>
          <t>ENKÖPING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23305-2025</t>
        </is>
      </c>
      <c r="B1310" s="1" t="n">
        <v>45791.60127314815</v>
      </c>
      <c r="C1310" s="1" t="n">
        <v>46098</v>
      </c>
      <c r="D1310" t="inlineStr">
        <is>
          <t>UPPSALA LÄN</t>
        </is>
      </c>
      <c r="E1310" t="inlineStr">
        <is>
          <t>ÖSTHAMMAR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51379-2025</t>
        </is>
      </c>
      <c r="B1311" s="1" t="n">
        <v>45950.45677083333</v>
      </c>
      <c r="C1311" s="1" t="n">
        <v>46098</v>
      </c>
      <c r="D1311" t="inlineStr">
        <is>
          <t>UPPSALA LÄN</t>
        </is>
      </c>
      <c r="E1311" t="inlineStr">
        <is>
          <t>ÖSTHAMMAR</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51433-2025</t>
        </is>
      </c>
      <c r="B1312" s="1" t="n">
        <v>45950.55603009259</v>
      </c>
      <c r="C1312" s="1" t="n">
        <v>46098</v>
      </c>
      <c r="D1312" t="inlineStr">
        <is>
          <t>UPPSALA LÄN</t>
        </is>
      </c>
      <c r="E1312" t="inlineStr">
        <is>
          <t>UPPSALA</t>
        </is>
      </c>
      <c r="F1312" t="inlineStr">
        <is>
          <t>Bergvik skog öst AB</t>
        </is>
      </c>
      <c r="G1312" t="n">
        <v>14.7</v>
      </c>
      <c r="H1312" t="n">
        <v>0</v>
      </c>
      <c r="I1312" t="n">
        <v>0</v>
      </c>
      <c r="J1312" t="n">
        <v>0</v>
      </c>
      <c r="K1312" t="n">
        <v>0</v>
      </c>
      <c r="L1312" t="n">
        <v>0</v>
      </c>
      <c r="M1312" t="n">
        <v>0</v>
      </c>
      <c r="N1312" t="n">
        <v>0</v>
      </c>
      <c r="O1312" t="n">
        <v>0</v>
      </c>
      <c r="P1312" t="n">
        <v>0</v>
      </c>
      <c r="Q1312" t="n">
        <v>0</v>
      </c>
      <c r="R1312" s="2" t="inlineStr"/>
    </row>
    <row r="1313" ht="15" customHeight="1">
      <c r="A1313" t="inlineStr">
        <is>
          <t>A 51255-2025</t>
        </is>
      </c>
      <c r="B1313" s="1" t="n">
        <v>45949.00917824074</v>
      </c>
      <c r="C1313" s="1" t="n">
        <v>46098</v>
      </c>
      <c r="D1313" t="inlineStr">
        <is>
          <t>UPPSALA LÄN</t>
        </is>
      </c>
      <c r="E1313" t="inlineStr">
        <is>
          <t>ÖSTHAMMAR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22951-2025</t>
        </is>
      </c>
      <c r="B1314" s="1" t="n">
        <v>45790.51040509259</v>
      </c>
      <c r="C1314" s="1" t="n">
        <v>46098</v>
      </c>
      <c r="D1314" t="inlineStr">
        <is>
          <t>UPPSALA LÄN</t>
        </is>
      </c>
      <c r="E1314" t="inlineStr">
        <is>
          <t>UPPSALA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51708-2025</t>
        </is>
      </c>
      <c r="B1315" s="1" t="n">
        <v>45951.56679398148</v>
      </c>
      <c r="C1315" s="1" t="n">
        <v>46098</v>
      </c>
      <c r="D1315" t="inlineStr">
        <is>
          <t>UPPSALA LÄN</t>
        </is>
      </c>
      <c r="E1315" t="inlineStr">
        <is>
          <t>ÖSTHAMMAR</t>
        </is>
      </c>
      <c r="F1315" t="inlineStr">
        <is>
          <t>Bergvik skog öst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51266-2025</t>
        </is>
      </c>
      <c r="B1316" s="1" t="n">
        <v>45949.71568287037</v>
      </c>
      <c r="C1316" s="1" t="n">
        <v>46098</v>
      </c>
      <c r="D1316" t="inlineStr">
        <is>
          <t>UPPSALA LÄN</t>
        </is>
      </c>
      <c r="E1316" t="inlineStr">
        <is>
          <t>ÖSTHAMMAR</t>
        </is>
      </c>
      <c r="F1316" t="inlineStr">
        <is>
          <t>Bergvik skog öst AB</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25419-2022</t>
        </is>
      </c>
      <c r="B1317" s="1" t="n">
        <v>44732</v>
      </c>
      <c r="C1317" s="1" t="n">
        <v>46098</v>
      </c>
      <c r="D1317" t="inlineStr">
        <is>
          <t>UPPSALA LÄN</t>
        </is>
      </c>
      <c r="E1317" t="inlineStr">
        <is>
          <t>HEBY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14187-2022</t>
        </is>
      </c>
      <c r="B1318" s="1" t="n">
        <v>44651.5625</v>
      </c>
      <c r="C1318" s="1" t="n">
        <v>46098</v>
      </c>
      <c r="D1318" t="inlineStr">
        <is>
          <t>UPPSALA LÄN</t>
        </is>
      </c>
      <c r="E1318" t="inlineStr">
        <is>
          <t>ÖSTHAMMAR</t>
        </is>
      </c>
      <c r="F1318" t="inlineStr">
        <is>
          <t>Övriga Aktiebolag</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22981-2025</t>
        </is>
      </c>
      <c r="B1319" s="1" t="n">
        <v>45790.56964120371</v>
      </c>
      <c r="C1319" s="1" t="n">
        <v>46098</v>
      </c>
      <c r="D1319" t="inlineStr">
        <is>
          <t>UPPSALA LÄN</t>
        </is>
      </c>
      <c r="E1319" t="inlineStr">
        <is>
          <t>ENKÖPING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51331-2025</t>
        </is>
      </c>
      <c r="B1320" s="1" t="n">
        <v>45950.41685185185</v>
      </c>
      <c r="C1320" s="1" t="n">
        <v>46098</v>
      </c>
      <c r="D1320" t="inlineStr">
        <is>
          <t>UPPSALA LÄN</t>
        </is>
      </c>
      <c r="E1320" t="inlineStr">
        <is>
          <t>TIERP</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23796-2025</t>
        </is>
      </c>
      <c r="B1321" s="1" t="n">
        <v>45793.5515162037</v>
      </c>
      <c r="C1321" s="1" t="n">
        <v>46098</v>
      </c>
      <c r="D1321" t="inlineStr">
        <is>
          <t>UPPSALA LÄN</t>
        </is>
      </c>
      <c r="E1321" t="inlineStr">
        <is>
          <t>TIERP</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51254-2025</t>
        </is>
      </c>
      <c r="B1322" s="1" t="n">
        <v>45948.99313657408</v>
      </c>
      <c r="C1322" s="1" t="n">
        <v>46098</v>
      </c>
      <c r="D1322" t="inlineStr">
        <is>
          <t>UPPSALA LÄN</t>
        </is>
      </c>
      <c r="E1322" t="inlineStr">
        <is>
          <t>ÖSTHAMMAR</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51333-2025</t>
        </is>
      </c>
      <c r="B1323" s="1" t="n">
        <v>45950.42271990741</v>
      </c>
      <c r="C1323" s="1" t="n">
        <v>46098</v>
      </c>
      <c r="D1323" t="inlineStr">
        <is>
          <t>UPPSALA LÄN</t>
        </is>
      </c>
      <c r="E1323" t="inlineStr">
        <is>
          <t>HEBY</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13093-2022</t>
        </is>
      </c>
      <c r="B1324" s="1" t="n">
        <v>44643.93269675926</v>
      </c>
      <c r="C1324" s="1" t="n">
        <v>46098</v>
      </c>
      <c r="D1324" t="inlineStr">
        <is>
          <t>UPPSALA LÄN</t>
        </is>
      </c>
      <c r="E1324" t="inlineStr">
        <is>
          <t>ÖSTHAMMAR</t>
        </is>
      </c>
      <c r="F1324" t="inlineStr">
        <is>
          <t>Bergvik skog öst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50163-2024</t>
        </is>
      </c>
      <c r="B1325" s="1" t="n">
        <v>45599</v>
      </c>
      <c r="C1325" s="1" t="n">
        <v>46098</v>
      </c>
      <c r="D1325" t="inlineStr">
        <is>
          <t>UPPSALA LÄN</t>
        </is>
      </c>
      <c r="E1325" t="inlineStr">
        <is>
          <t>HEBY</t>
        </is>
      </c>
      <c r="F1325" t="inlineStr">
        <is>
          <t>Bergvik skog väst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39529-2025</t>
        </is>
      </c>
      <c r="B1326" s="1" t="n">
        <v>45890</v>
      </c>
      <c r="C1326" s="1" t="n">
        <v>46098</v>
      </c>
      <c r="D1326" t="inlineStr">
        <is>
          <t>UPPSALA LÄN</t>
        </is>
      </c>
      <c r="E1326" t="inlineStr">
        <is>
          <t>UPPSALA</t>
        </is>
      </c>
      <c r="F1326" t="inlineStr">
        <is>
          <t>Allmännings- och besparingsskogar</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26017-2025</t>
        </is>
      </c>
      <c r="B1327" s="1" t="n">
        <v>45804</v>
      </c>
      <c r="C1327" s="1" t="n">
        <v>46098</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39892-2025</t>
        </is>
      </c>
      <c r="B1328" s="1" t="n">
        <v>45891.6290162037</v>
      </c>
      <c r="C1328" s="1" t="n">
        <v>46098</v>
      </c>
      <c r="D1328" t="inlineStr">
        <is>
          <t>UPPSALA LÄN</t>
        </is>
      </c>
      <c r="E1328" t="inlineStr">
        <is>
          <t>HEBY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51493-2025</t>
        </is>
      </c>
      <c r="B1329" s="1" t="n">
        <v>45950</v>
      </c>
      <c r="C1329" s="1" t="n">
        <v>46098</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51505-2025</t>
        </is>
      </c>
      <c r="B1330" s="1" t="n">
        <v>45950</v>
      </c>
      <c r="C1330" s="1" t="n">
        <v>46098</v>
      </c>
      <c r="D1330" t="inlineStr">
        <is>
          <t>UPPSALA LÄN</t>
        </is>
      </c>
      <c r="E1330" t="inlineStr">
        <is>
          <t>UPPSALA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39831-2025</t>
        </is>
      </c>
      <c r="B1331" s="1" t="n">
        <v>45891.55961805556</v>
      </c>
      <c r="C1331" s="1" t="n">
        <v>46098</v>
      </c>
      <c r="D1331" t="inlineStr">
        <is>
          <t>UPPSALA LÄN</t>
        </is>
      </c>
      <c r="E1331" t="inlineStr">
        <is>
          <t>HEBY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51265-2025</t>
        </is>
      </c>
      <c r="B1332" s="1" t="n">
        <v>45949.70971064815</v>
      </c>
      <c r="C1332" s="1" t="n">
        <v>46098</v>
      </c>
      <c r="D1332" t="inlineStr">
        <is>
          <t>UPPSALA LÄN</t>
        </is>
      </c>
      <c r="E1332" t="inlineStr">
        <is>
          <t>ÖSTHAMMAR</t>
        </is>
      </c>
      <c r="F1332" t="inlineStr">
        <is>
          <t>Bergvik skog öst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51275-2025</t>
        </is>
      </c>
      <c r="B1333" s="1" t="n">
        <v>45949</v>
      </c>
      <c r="C1333" s="1" t="n">
        <v>46098</v>
      </c>
      <c r="D1333" t="inlineStr">
        <is>
          <t>UPPSALA LÄN</t>
        </is>
      </c>
      <c r="E1333" t="inlineStr">
        <is>
          <t>UPPSALA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40163-2025</t>
        </is>
      </c>
      <c r="B1334" s="1" t="n">
        <v>45894.6178125</v>
      </c>
      <c r="C1334" s="1" t="n">
        <v>46098</v>
      </c>
      <c r="D1334" t="inlineStr">
        <is>
          <t>UPPSALA LÄN</t>
        </is>
      </c>
      <c r="E1334" t="inlineStr">
        <is>
          <t>TIERP</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40164-2025</t>
        </is>
      </c>
      <c r="B1335" s="1" t="n">
        <v>45894.62137731481</v>
      </c>
      <c r="C1335" s="1" t="n">
        <v>46098</v>
      </c>
      <c r="D1335" t="inlineStr">
        <is>
          <t>UPPSALA LÄN</t>
        </is>
      </c>
      <c r="E1335" t="inlineStr">
        <is>
          <t>TIERP</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51685-2025</t>
        </is>
      </c>
      <c r="B1336" s="1" t="n">
        <v>45951.52226851852</v>
      </c>
      <c r="C1336" s="1" t="n">
        <v>46098</v>
      </c>
      <c r="D1336" t="inlineStr">
        <is>
          <t>UPPSALA LÄN</t>
        </is>
      </c>
      <c r="E1336" t="inlineStr">
        <is>
          <t>HEBY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40384-2025</t>
        </is>
      </c>
      <c r="B1337" s="1" t="n">
        <v>45895.54085648148</v>
      </c>
      <c r="C1337" s="1" t="n">
        <v>46098</v>
      </c>
      <c r="D1337" t="inlineStr">
        <is>
          <t>UPPSALA LÄN</t>
        </is>
      </c>
      <c r="E1337" t="inlineStr">
        <is>
          <t>ÖSTHAMMAR</t>
        </is>
      </c>
      <c r="G1337" t="n">
        <v>8.699999999999999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11744-2023</t>
        </is>
      </c>
      <c r="B1338" s="1" t="n">
        <v>44993</v>
      </c>
      <c r="C1338" s="1" t="n">
        <v>46098</v>
      </c>
      <c r="D1338" t="inlineStr">
        <is>
          <t>UPPSALA LÄN</t>
        </is>
      </c>
      <c r="E1338" t="inlineStr">
        <is>
          <t>UPPSALA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8624-2025</t>
        </is>
      </c>
      <c r="B1339" s="1" t="n">
        <v>45711.52333333333</v>
      </c>
      <c r="C1339" s="1" t="n">
        <v>46098</v>
      </c>
      <c r="D1339" t="inlineStr">
        <is>
          <t>UPPSALA LÄN</t>
        </is>
      </c>
      <c r="E1339" t="inlineStr">
        <is>
          <t>ÖSTHAMMAR</t>
        </is>
      </c>
      <c r="F1339" t="inlineStr">
        <is>
          <t>Bergvik skog väst AB</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52106-2025</t>
        </is>
      </c>
      <c r="B1340" s="1" t="n">
        <v>45952.68802083333</v>
      </c>
      <c r="C1340" s="1" t="n">
        <v>46098</v>
      </c>
      <c r="D1340" t="inlineStr">
        <is>
          <t>UPPSALA LÄN</t>
        </is>
      </c>
      <c r="E1340" t="inlineStr">
        <is>
          <t>HEBY</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40377-2025</t>
        </is>
      </c>
      <c r="B1341" s="1" t="n">
        <v>45895.53020833333</v>
      </c>
      <c r="C1341" s="1" t="n">
        <v>46098</v>
      </c>
      <c r="D1341" t="inlineStr">
        <is>
          <t>UPPSALA LÄN</t>
        </is>
      </c>
      <c r="E1341" t="inlineStr">
        <is>
          <t>ÖSTHAMMAR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52332-2025</t>
        </is>
      </c>
      <c r="B1342" s="1" t="n">
        <v>45953.67853009259</v>
      </c>
      <c r="C1342" s="1" t="n">
        <v>46098</v>
      </c>
      <c r="D1342" t="inlineStr">
        <is>
          <t>UPPSALA LÄN</t>
        </is>
      </c>
      <c r="E1342" t="inlineStr">
        <is>
          <t>ÖSTHAMMAR</t>
        </is>
      </c>
      <c r="F1342" t="inlineStr">
        <is>
          <t>Bergvik skog öst AB</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40382-2025</t>
        </is>
      </c>
      <c r="B1343" s="1" t="n">
        <v>45895.53689814815</v>
      </c>
      <c r="C1343" s="1" t="n">
        <v>46098</v>
      </c>
      <c r="D1343" t="inlineStr">
        <is>
          <t>UPPSALA LÄN</t>
        </is>
      </c>
      <c r="E1343" t="inlineStr">
        <is>
          <t>ÖSTHAMMAR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52267-2025</t>
        </is>
      </c>
      <c r="B1344" s="1" t="n">
        <v>45953.53460648148</v>
      </c>
      <c r="C1344" s="1" t="n">
        <v>46098</v>
      </c>
      <c r="D1344" t="inlineStr">
        <is>
          <t>UPPSALA LÄN</t>
        </is>
      </c>
      <c r="E1344" t="inlineStr">
        <is>
          <t>UPPSALA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52109-2025</t>
        </is>
      </c>
      <c r="B1345" s="1" t="n">
        <v>45952.69247685185</v>
      </c>
      <c r="C1345" s="1" t="n">
        <v>46098</v>
      </c>
      <c r="D1345" t="inlineStr">
        <is>
          <t>UPPSALA LÄN</t>
        </is>
      </c>
      <c r="E1345" t="inlineStr">
        <is>
          <t>HEBY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40460-2025</t>
        </is>
      </c>
      <c r="B1346" s="1" t="n">
        <v>45895.65013888889</v>
      </c>
      <c r="C1346" s="1" t="n">
        <v>46098</v>
      </c>
      <c r="D1346" t="inlineStr">
        <is>
          <t>UPPSALA LÄN</t>
        </is>
      </c>
      <c r="E1346" t="inlineStr">
        <is>
          <t>ÖSTHAMMAR</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40462-2025</t>
        </is>
      </c>
      <c r="B1347" s="1" t="n">
        <v>45895.65179398148</v>
      </c>
      <c r="C1347" s="1" t="n">
        <v>46098</v>
      </c>
      <c r="D1347" t="inlineStr">
        <is>
          <t>UPPSALA LÄN</t>
        </is>
      </c>
      <c r="E1347" t="inlineStr">
        <is>
          <t>ÖSTHAMMAR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30319-2024</t>
        </is>
      </c>
      <c r="B1348" s="1" t="n">
        <v>45490</v>
      </c>
      <c r="C1348" s="1" t="n">
        <v>46098</v>
      </c>
      <c r="D1348" t="inlineStr">
        <is>
          <t>UPPSALA LÄN</t>
        </is>
      </c>
      <c r="E1348" t="inlineStr">
        <is>
          <t>UPPSALA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1584-2025</t>
        </is>
      </c>
      <c r="B1349" s="1" t="n">
        <v>45670</v>
      </c>
      <c r="C1349" s="1" t="n">
        <v>46098</v>
      </c>
      <c r="D1349" t="inlineStr">
        <is>
          <t>UPPSALA LÄN</t>
        </is>
      </c>
      <c r="E1349" t="inlineStr">
        <is>
          <t>ÖSTHAMMAR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30972-2024</t>
        </is>
      </c>
      <c r="B1350" s="1" t="n">
        <v>45499.47106481482</v>
      </c>
      <c r="C1350" s="1" t="n">
        <v>46098</v>
      </c>
      <c r="D1350" t="inlineStr">
        <is>
          <t>UPPSALA LÄN</t>
        </is>
      </c>
      <c r="E1350" t="inlineStr">
        <is>
          <t>ÖSTHAMMAR</t>
        </is>
      </c>
      <c r="F1350" t="inlineStr">
        <is>
          <t>Bergvik skog öst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45956-2024</t>
        </is>
      </c>
      <c r="B1351" s="1" t="n">
        <v>45580</v>
      </c>
      <c r="C1351" s="1" t="n">
        <v>46098</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3234-2023</t>
        </is>
      </c>
      <c r="B1352" s="1" t="n">
        <v>44946.81241898148</v>
      </c>
      <c r="C1352" s="1" t="n">
        <v>46098</v>
      </c>
      <c r="D1352" t="inlineStr">
        <is>
          <t>UPPSALA LÄN</t>
        </is>
      </c>
      <c r="E1352" t="inlineStr">
        <is>
          <t>HEBY</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4740-2024</t>
        </is>
      </c>
      <c r="B1353" s="1" t="n">
        <v>45328</v>
      </c>
      <c r="C1353" s="1" t="n">
        <v>46098</v>
      </c>
      <c r="D1353" t="inlineStr">
        <is>
          <t>UPPSALA LÄN</t>
        </is>
      </c>
      <c r="E1353" t="inlineStr">
        <is>
          <t>HEBY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10831-2024</t>
        </is>
      </c>
      <c r="B1354" s="1" t="n">
        <v>45369</v>
      </c>
      <c r="C1354" s="1" t="n">
        <v>46098</v>
      </c>
      <c r="D1354" t="inlineStr">
        <is>
          <t>UPPSALA LÄN</t>
        </is>
      </c>
      <c r="E1354" t="inlineStr">
        <is>
          <t>ENKÖPING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45885-2023</t>
        </is>
      </c>
      <c r="B1355" s="1" t="n">
        <v>45195.64807870371</v>
      </c>
      <c r="C1355" s="1" t="n">
        <v>46098</v>
      </c>
      <c r="D1355" t="inlineStr">
        <is>
          <t>UPPSALA LÄN</t>
        </is>
      </c>
      <c r="E1355" t="inlineStr">
        <is>
          <t>UPPSALA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33734-2023</t>
        </is>
      </c>
      <c r="B1356" s="1" t="n">
        <v>45133.32862268519</v>
      </c>
      <c r="C1356" s="1" t="n">
        <v>46098</v>
      </c>
      <c r="D1356" t="inlineStr">
        <is>
          <t>UPPSALA LÄN</t>
        </is>
      </c>
      <c r="E1356" t="inlineStr">
        <is>
          <t>HEBY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48948-2023</t>
        </is>
      </c>
      <c r="B1357" s="1" t="n">
        <v>45209.58063657407</v>
      </c>
      <c r="C1357" s="1" t="n">
        <v>46098</v>
      </c>
      <c r="D1357" t="inlineStr">
        <is>
          <t>UPPSALA LÄN</t>
        </is>
      </c>
      <c r="E1357" t="inlineStr">
        <is>
          <t>HEBY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24160-2024</t>
        </is>
      </c>
      <c r="B1358" s="1" t="n">
        <v>45456</v>
      </c>
      <c r="C1358" s="1" t="n">
        <v>46098</v>
      </c>
      <c r="D1358" t="inlineStr">
        <is>
          <t>UPPSALA LÄN</t>
        </is>
      </c>
      <c r="E1358" t="inlineStr">
        <is>
          <t>ÖSTHAMMAR</t>
        </is>
      </c>
      <c r="F1358" t="inlineStr">
        <is>
          <t>Bergvik skog öst AB</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42213-2025</t>
        </is>
      </c>
      <c r="B1359" s="1" t="n">
        <v>45904.50652777778</v>
      </c>
      <c r="C1359" s="1" t="n">
        <v>46098</v>
      </c>
      <c r="D1359" t="inlineStr">
        <is>
          <t>UPPSALA LÄN</t>
        </is>
      </c>
      <c r="E1359" t="inlineStr">
        <is>
          <t>ÖSTHAMMAR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8879-2025</t>
        </is>
      </c>
      <c r="B1360" s="1" t="n">
        <v>45713</v>
      </c>
      <c r="C1360" s="1" t="n">
        <v>46098</v>
      </c>
      <c r="D1360" t="inlineStr">
        <is>
          <t>UPPSALA LÄN</t>
        </is>
      </c>
      <c r="E1360" t="inlineStr">
        <is>
          <t>TIERP</t>
        </is>
      </c>
      <c r="F1360" t="inlineStr">
        <is>
          <t>Bergvik skog öst AB</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39746-2025</t>
        </is>
      </c>
      <c r="B1361" s="1" t="n">
        <v>45891</v>
      </c>
      <c r="C1361" s="1" t="n">
        <v>46098</v>
      </c>
      <c r="D1361" t="inlineStr">
        <is>
          <t>UPPSALA LÄN</t>
        </is>
      </c>
      <c r="E1361" t="inlineStr">
        <is>
          <t>ENKÖPING</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24415-2025</t>
        </is>
      </c>
      <c r="B1362" s="1" t="n">
        <v>45797.67381944445</v>
      </c>
      <c r="C1362" s="1" t="n">
        <v>46098</v>
      </c>
      <c r="D1362" t="inlineStr">
        <is>
          <t>UPPSALA LÄN</t>
        </is>
      </c>
      <c r="E1362" t="inlineStr">
        <is>
          <t>ÖSTHAMMAR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33677-2023</t>
        </is>
      </c>
      <c r="B1363" s="1" t="n">
        <v>45119</v>
      </c>
      <c r="C1363" s="1" t="n">
        <v>46098</v>
      </c>
      <c r="D1363" t="inlineStr">
        <is>
          <t>UPPSALA LÄN</t>
        </is>
      </c>
      <c r="E1363" t="inlineStr">
        <is>
          <t>TIERP</t>
        </is>
      </c>
      <c r="F1363" t="inlineStr">
        <is>
          <t>Bergvik skog väst AB</t>
        </is>
      </c>
      <c r="G1363" t="n">
        <v>57.7</v>
      </c>
      <c r="H1363" t="n">
        <v>0</v>
      </c>
      <c r="I1363" t="n">
        <v>0</v>
      </c>
      <c r="J1363" t="n">
        <v>0</v>
      </c>
      <c r="K1363" t="n">
        <v>0</v>
      </c>
      <c r="L1363" t="n">
        <v>0</v>
      </c>
      <c r="M1363" t="n">
        <v>0</v>
      </c>
      <c r="N1363" t="n">
        <v>0</v>
      </c>
      <c r="O1363" t="n">
        <v>0</v>
      </c>
      <c r="P1363" t="n">
        <v>0</v>
      </c>
      <c r="Q1363" t="n">
        <v>0</v>
      </c>
      <c r="R1363" s="2" t="inlineStr"/>
    </row>
    <row r="1364" ht="15" customHeight="1">
      <c r="A1364" t="inlineStr">
        <is>
          <t>A 40016-2025</t>
        </is>
      </c>
      <c r="B1364" s="1" t="n">
        <v>45894.34747685185</v>
      </c>
      <c r="C1364" s="1" t="n">
        <v>46098</v>
      </c>
      <c r="D1364" t="inlineStr">
        <is>
          <t>UPPSALA LÄN</t>
        </is>
      </c>
      <c r="E1364" t="inlineStr">
        <is>
          <t>ÖSTHAMMAR</t>
        </is>
      </c>
      <c r="F1364" t="inlineStr">
        <is>
          <t>Kyrkan</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40044-2025</t>
        </is>
      </c>
      <c r="B1365" s="1" t="n">
        <v>45894.40133101852</v>
      </c>
      <c r="C1365" s="1" t="n">
        <v>46098</v>
      </c>
      <c r="D1365" t="inlineStr">
        <is>
          <t>UPPSALA LÄN</t>
        </is>
      </c>
      <c r="E1365" t="inlineStr">
        <is>
          <t>ÖSTHAMMAR</t>
        </is>
      </c>
      <c r="F1365" t="inlineStr">
        <is>
          <t>Kyrkan</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8020-2022</t>
        </is>
      </c>
      <c r="B1366" s="1" t="n">
        <v>44609</v>
      </c>
      <c r="C1366" s="1" t="n">
        <v>46098</v>
      </c>
      <c r="D1366" t="inlineStr">
        <is>
          <t>UPPSALA LÄN</t>
        </is>
      </c>
      <c r="E1366" t="inlineStr">
        <is>
          <t>ENKÖPING</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74090-2021</t>
        </is>
      </c>
      <c r="B1367" s="1" t="n">
        <v>44557</v>
      </c>
      <c r="C1367" s="1" t="n">
        <v>46098</v>
      </c>
      <c r="D1367" t="inlineStr">
        <is>
          <t>UPPSALA LÄN</t>
        </is>
      </c>
      <c r="E1367" t="inlineStr">
        <is>
          <t>ENKÖPING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20903-2024</t>
        </is>
      </c>
      <c r="B1368" s="1" t="n">
        <v>45439</v>
      </c>
      <c r="C1368" s="1" t="n">
        <v>46098</v>
      </c>
      <c r="D1368" t="inlineStr">
        <is>
          <t>UPPSALA LÄN</t>
        </is>
      </c>
      <c r="E1368" t="inlineStr">
        <is>
          <t>UPPSALA</t>
        </is>
      </c>
      <c r="F1368" t="inlineStr">
        <is>
          <t>Holmen skog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32867-2023</t>
        </is>
      </c>
      <c r="B1369" s="1" t="n">
        <v>45112</v>
      </c>
      <c r="C1369" s="1" t="n">
        <v>46098</v>
      </c>
      <c r="D1369" t="inlineStr">
        <is>
          <t>UPPSALA LÄN</t>
        </is>
      </c>
      <c r="E1369" t="inlineStr">
        <is>
          <t>HEBY</t>
        </is>
      </c>
      <c r="F1369" t="inlineStr">
        <is>
          <t>Bergvik skog väst AB</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34805-2024</t>
        </is>
      </c>
      <c r="B1370" s="1" t="n">
        <v>45526</v>
      </c>
      <c r="C1370" s="1" t="n">
        <v>46098</v>
      </c>
      <c r="D1370" t="inlineStr">
        <is>
          <t>UPPSALA LÄN</t>
        </is>
      </c>
      <c r="E1370" t="inlineStr">
        <is>
          <t>ENKÖPING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17729-2023</t>
        </is>
      </c>
      <c r="B1371" s="1" t="n">
        <v>45037</v>
      </c>
      <c r="C1371" s="1" t="n">
        <v>46098</v>
      </c>
      <c r="D1371" t="inlineStr">
        <is>
          <t>UPPSALA LÄN</t>
        </is>
      </c>
      <c r="E1371" t="inlineStr">
        <is>
          <t>ENKÖPING</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48736-2023</t>
        </is>
      </c>
      <c r="B1372" s="1" t="n">
        <v>45203</v>
      </c>
      <c r="C1372" s="1" t="n">
        <v>46098</v>
      </c>
      <c r="D1372" t="inlineStr">
        <is>
          <t>UPPSALA LÄN</t>
        </is>
      </c>
      <c r="E1372" t="inlineStr">
        <is>
          <t>TIERP</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4314-2025</t>
        </is>
      </c>
      <c r="B1373" s="1" t="n">
        <v>45685.70260416667</v>
      </c>
      <c r="C1373" s="1" t="n">
        <v>46098</v>
      </c>
      <c r="D1373" t="inlineStr">
        <is>
          <t>UPPSALA LÄN</t>
        </is>
      </c>
      <c r="E1373" t="inlineStr">
        <is>
          <t>TIERP</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52269-2025</t>
        </is>
      </c>
      <c r="B1374" s="1" t="n">
        <v>45953.53765046296</v>
      </c>
      <c r="C1374" s="1" t="n">
        <v>46098</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5876-2024</t>
        </is>
      </c>
      <c r="B1375" s="1" t="n">
        <v>45335.66331018518</v>
      </c>
      <c r="C1375" s="1" t="n">
        <v>46098</v>
      </c>
      <c r="D1375" t="inlineStr">
        <is>
          <t>UPPSALA LÄN</t>
        </is>
      </c>
      <c r="E1375" t="inlineStr">
        <is>
          <t>UPPSALA</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40416-2025</t>
        </is>
      </c>
      <c r="B1376" s="1" t="n">
        <v>45895.57736111111</v>
      </c>
      <c r="C1376" s="1" t="n">
        <v>46098</v>
      </c>
      <c r="D1376" t="inlineStr">
        <is>
          <t>UPPSALA LÄN</t>
        </is>
      </c>
      <c r="E1376" t="inlineStr">
        <is>
          <t>ÖSTHAMMAR</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52429-2025</t>
        </is>
      </c>
      <c r="B1377" s="1" t="n">
        <v>45954.38475694445</v>
      </c>
      <c r="C1377" s="1" t="n">
        <v>46098</v>
      </c>
      <c r="D1377" t="inlineStr">
        <is>
          <t>UPPSALA LÄN</t>
        </is>
      </c>
      <c r="E1377" t="inlineStr">
        <is>
          <t>UPPSALA</t>
        </is>
      </c>
      <c r="G1377" t="n">
        <v>16.6</v>
      </c>
      <c r="H1377" t="n">
        <v>0</v>
      </c>
      <c r="I1377" t="n">
        <v>0</v>
      </c>
      <c r="J1377" t="n">
        <v>0</v>
      </c>
      <c r="K1377" t="n">
        <v>0</v>
      </c>
      <c r="L1377" t="n">
        <v>0</v>
      </c>
      <c r="M1377" t="n">
        <v>0</v>
      </c>
      <c r="N1377" t="n">
        <v>0</v>
      </c>
      <c r="O1377" t="n">
        <v>0</v>
      </c>
      <c r="P1377" t="n">
        <v>0</v>
      </c>
      <c r="Q1377" t="n">
        <v>0</v>
      </c>
      <c r="R1377" s="2" t="inlineStr"/>
    </row>
    <row r="1378" ht="15" customHeight="1">
      <c r="A1378" t="inlineStr">
        <is>
          <t>A 23968-2025</t>
        </is>
      </c>
      <c r="B1378" s="1" t="n">
        <v>45796</v>
      </c>
      <c r="C1378" s="1" t="n">
        <v>46098</v>
      </c>
      <c r="D1378" t="inlineStr">
        <is>
          <t>UPPSALA LÄN</t>
        </is>
      </c>
      <c r="E1378" t="inlineStr">
        <is>
          <t>ÖSTHAMMAR</t>
        </is>
      </c>
      <c r="F1378" t="inlineStr">
        <is>
          <t>Bergvik skog öst AB</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52477-2025</t>
        </is>
      </c>
      <c r="B1379" s="1" t="n">
        <v>45954.46980324074</v>
      </c>
      <c r="C1379" s="1" t="n">
        <v>46098</v>
      </c>
      <c r="D1379" t="inlineStr">
        <is>
          <t>UPPSALA LÄN</t>
        </is>
      </c>
      <c r="E1379" t="inlineStr">
        <is>
          <t>ÄLVKARLEBY</t>
        </is>
      </c>
      <c r="F1379" t="inlineStr">
        <is>
          <t>Bergvik skog väst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53164-2025</t>
        </is>
      </c>
      <c r="B1380" s="1" t="n">
        <v>45957</v>
      </c>
      <c r="C1380" s="1" t="n">
        <v>46098</v>
      </c>
      <c r="D1380" t="inlineStr">
        <is>
          <t>UPPSALA LÄN</t>
        </is>
      </c>
      <c r="E1380" t="inlineStr">
        <is>
          <t>TIERP</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24381-2025</t>
        </is>
      </c>
      <c r="B1381" s="1" t="n">
        <v>45797</v>
      </c>
      <c r="C1381" s="1" t="n">
        <v>46098</v>
      </c>
      <c r="D1381" t="inlineStr">
        <is>
          <t>UPPSALA LÄN</t>
        </is>
      </c>
      <c r="E1381" t="inlineStr">
        <is>
          <t>HEBY</t>
        </is>
      </c>
      <c r="F1381" t="inlineStr">
        <is>
          <t>Kyrkan</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53244-2025</t>
        </is>
      </c>
      <c r="B1382" s="1" t="n">
        <v>45957</v>
      </c>
      <c r="C1382" s="1" t="n">
        <v>46098</v>
      </c>
      <c r="D1382" t="inlineStr">
        <is>
          <t>UPPSALA LÄN</t>
        </is>
      </c>
      <c r="E1382" t="inlineStr">
        <is>
          <t>UPPSALA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41556-2023</t>
        </is>
      </c>
      <c r="B1383" s="1" t="n">
        <v>45175.58421296296</v>
      </c>
      <c r="C1383" s="1" t="n">
        <v>46098</v>
      </c>
      <c r="D1383" t="inlineStr">
        <is>
          <t>UPPSALA LÄN</t>
        </is>
      </c>
      <c r="E1383" t="inlineStr">
        <is>
          <t>HEBY</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52963-2025</t>
        </is>
      </c>
      <c r="B1384" s="1" t="n">
        <v>45957.66506944445</v>
      </c>
      <c r="C1384" s="1" t="n">
        <v>46098</v>
      </c>
      <c r="D1384" t="inlineStr">
        <is>
          <t>UPPSALA LÄN</t>
        </is>
      </c>
      <c r="E1384" t="inlineStr">
        <is>
          <t>UPPSALA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5211-2024</t>
        </is>
      </c>
      <c r="B1385" s="1" t="n">
        <v>45330</v>
      </c>
      <c r="C1385" s="1" t="n">
        <v>46098</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59098-2024</t>
        </is>
      </c>
      <c r="B1386" s="1" t="n">
        <v>45636</v>
      </c>
      <c r="C1386" s="1" t="n">
        <v>46098</v>
      </c>
      <c r="D1386" t="inlineStr">
        <is>
          <t>UPPSALA LÄN</t>
        </is>
      </c>
      <c r="E1386" t="inlineStr">
        <is>
          <t>UPPSALA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40610-2025</t>
        </is>
      </c>
      <c r="B1387" s="1" t="n">
        <v>45896.57368055556</v>
      </c>
      <c r="C1387" s="1" t="n">
        <v>46098</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52844-2025</t>
        </is>
      </c>
      <c r="B1388" s="1" t="n">
        <v>45957.48424768518</v>
      </c>
      <c r="C1388" s="1" t="n">
        <v>46098</v>
      </c>
      <c r="D1388" t="inlineStr">
        <is>
          <t>UPPSALA LÄN</t>
        </is>
      </c>
      <c r="E1388" t="inlineStr">
        <is>
          <t>TIERP</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24268-2025</t>
        </is>
      </c>
      <c r="B1389" s="1" t="n">
        <v>45797.42777777778</v>
      </c>
      <c r="C1389" s="1" t="n">
        <v>46098</v>
      </c>
      <c r="D1389" t="inlineStr">
        <is>
          <t>UPPSALA LÄN</t>
        </is>
      </c>
      <c r="E1389" t="inlineStr">
        <is>
          <t>UPPSALA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40504-2025</t>
        </is>
      </c>
      <c r="B1390" s="1" t="n">
        <v>45896</v>
      </c>
      <c r="C1390" s="1" t="n">
        <v>46098</v>
      </c>
      <c r="D1390" t="inlineStr">
        <is>
          <t>UPPSALA LÄN</t>
        </is>
      </c>
      <c r="E1390" t="inlineStr">
        <is>
          <t>UPPSALA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52666-2025</t>
        </is>
      </c>
      <c r="B1391" s="1" t="n">
        <v>45955.74299768519</v>
      </c>
      <c r="C1391" s="1" t="n">
        <v>46098</v>
      </c>
      <c r="D1391" t="inlineStr">
        <is>
          <t>UPPSALA LÄN</t>
        </is>
      </c>
      <c r="E1391" t="inlineStr">
        <is>
          <t>KNIVSTA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5712-2025</t>
        </is>
      </c>
      <c r="B1392" s="1" t="n">
        <v>45694</v>
      </c>
      <c r="C1392" s="1" t="n">
        <v>46098</v>
      </c>
      <c r="D1392" t="inlineStr">
        <is>
          <t>UPPSALA LÄN</t>
        </is>
      </c>
      <c r="E1392" t="inlineStr">
        <is>
          <t>ENKÖPING</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5749-2025</t>
        </is>
      </c>
      <c r="B1393" s="1" t="n">
        <v>45694</v>
      </c>
      <c r="C1393" s="1" t="n">
        <v>46098</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52796-2024</t>
        </is>
      </c>
      <c r="B1394" s="1" t="n">
        <v>45610.56269675926</v>
      </c>
      <c r="C1394" s="1" t="n">
        <v>46098</v>
      </c>
      <c r="D1394" t="inlineStr">
        <is>
          <t>UPPSALA LÄN</t>
        </is>
      </c>
      <c r="E1394" t="inlineStr">
        <is>
          <t>HEBY</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32212-2024</t>
        </is>
      </c>
      <c r="B1395" s="1" t="n">
        <v>45511</v>
      </c>
      <c r="C1395" s="1" t="n">
        <v>46098</v>
      </c>
      <c r="D1395" t="inlineStr">
        <is>
          <t>UPPSALA LÄN</t>
        </is>
      </c>
      <c r="E1395" t="inlineStr">
        <is>
          <t>TIERP</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52863-2025</t>
        </is>
      </c>
      <c r="B1396" s="1" t="n">
        <v>45957.50965277778</v>
      </c>
      <c r="C1396" s="1" t="n">
        <v>46098</v>
      </c>
      <c r="D1396" t="inlineStr">
        <is>
          <t>UPPSALA LÄN</t>
        </is>
      </c>
      <c r="E1396" t="inlineStr">
        <is>
          <t>TIERP</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52873-2025</t>
        </is>
      </c>
      <c r="B1397" s="1" t="n">
        <v>45957.52932870371</v>
      </c>
      <c r="C1397" s="1" t="n">
        <v>46098</v>
      </c>
      <c r="D1397" t="inlineStr">
        <is>
          <t>UPPSALA LÄN</t>
        </is>
      </c>
      <c r="E1397" t="inlineStr">
        <is>
          <t>TIERP</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24150-2025</t>
        </is>
      </c>
      <c r="B1398" s="1" t="n">
        <v>45796.65540509259</v>
      </c>
      <c r="C1398" s="1" t="n">
        <v>46098</v>
      </c>
      <c r="D1398" t="inlineStr">
        <is>
          <t>UPPSALA LÄN</t>
        </is>
      </c>
      <c r="E1398" t="inlineStr">
        <is>
          <t>TIERP</t>
        </is>
      </c>
      <c r="F1398" t="inlineStr">
        <is>
          <t>Bergvik skog öst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14026-2021</t>
        </is>
      </c>
      <c r="B1399" s="1" t="n">
        <v>44277.65650462963</v>
      </c>
      <c r="C1399" s="1" t="n">
        <v>46098</v>
      </c>
      <c r="D1399" t="inlineStr">
        <is>
          <t>UPPSALA LÄN</t>
        </is>
      </c>
      <c r="E1399" t="inlineStr">
        <is>
          <t>UPPSALA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44382-2024</t>
        </is>
      </c>
      <c r="B1400" s="1" t="n">
        <v>45573.66729166666</v>
      </c>
      <c r="C1400" s="1" t="n">
        <v>46098</v>
      </c>
      <c r="D1400" t="inlineStr">
        <is>
          <t>UPPSALA LÄN</t>
        </is>
      </c>
      <c r="E1400" t="inlineStr">
        <is>
          <t>TIERP</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24160-2025</t>
        </is>
      </c>
      <c r="B1401" s="1" t="n">
        <v>45796.66336805555</v>
      </c>
      <c r="C1401" s="1" t="n">
        <v>46098</v>
      </c>
      <c r="D1401" t="inlineStr">
        <is>
          <t>UPPSALA LÄN</t>
        </is>
      </c>
      <c r="E1401" t="inlineStr">
        <is>
          <t>TIERP</t>
        </is>
      </c>
      <c r="F1401" t="inlineStr">
        <is>
          <t>Bergvik skog öst AB</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24174-2025</t>
        </is>
      </c>
      <c r="B1402" s="1" t="n">
        <v>45796.69207175926</v>
      </c>
      <c r="C1402" s="1" t="n">
        <v>46098</v>
      </c>
      <c r="D1402" t="inlineStr">
        <is>
          <t>UPPSALA LÄN</t>
        </is>
      </c>
      <c r="E1402" t="inlineStr">
        <is>
          <t>ÖSTHAMMAR</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53199-2025</t>
        </is>
      </c>
      <c r="B1403" s="1" t="n">
        <v>45957</v>
      </c>
      <c r="C1403" s="1" t="n">
        <v>46098</v>
      </c>
      <c r="D1403" t="inlineStr">
        <is>
          <t>UPPSALA LÄN</t>
        </is>
      </c>
      <c r="E1403" t="inlineStr">
        <is>
          <t>TIERP</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24284-2025</t>
        </is>
      </c>
      <c r="B1404" s="1" t="n">
        <v>45797.45900462963</v>
      </c>
      <c r="C1404" s="1" t="n">
        <v>46098</v>
      </c>
      <c r="D1404" t="inlineStr">
        <is>
          <t>UPPSALA LÄN</t>
        </is>
      </c>
      <c r="E1404" t="inlineStr">
        <is>
          <t>UPPSALA</t>
        </is>
      </c>
      <c r="F1404" t="inlineStr">
        <is>
          <t>Holmen skog AB</t>
        </is>
      </c>
      <c r="G1404" t="n">
        <v>12.7</v>
      </c>
      <c r="H1404" t="n">
        <v>0</v>
      </c>
      <c r="I1404" t="n">
        <v>0</v>
      </c>
      <c r="J1404" t="n">
        <v>0</v>
      </c>
      <c r="K1404" t="n">
        <v>0</v>
      </c>
      <c r="L1404" t="n">
        <v>0</v>
      </c>
      <c r="M1404" t="n">
        <v>0</v>
      </c>
      <c r="N1404" t="n">
        <v>0</v>
      </c>
      <c r="O1404" t="n">
        <v>0</v>
      </c>
      <c r="P1404" t="n">
        <v>0</v>
      </c>
      <c r="Q1404" t="n">
        <v>0</v>
      </c>
      <c r="R1404" s="2" t="inlineStr"/>
    </row>
    <row r="1405" ht="15" customHeight="1">
      <c r="A1405" t="inlineStr">
        <is>
          <t>A 52667-2025</t>
        </is>
      </c>
      <c r="B1405" s="1" t="n">
        <v>45955.74666666667</v>
      </c>
      <c r="C1405" s="1" t="n">
        <v>46098</v>
      </c>
      <c r="D1405" t="inlineStr">
        <is>
          <t>UPPSALA LÄN</t>
        </is>
      </c>
      <c r="E1405" t="inlineStr">
        <is>
          <t>KNIVSTA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40606-2025</t>
        </is>
      </c>
      <c r="B1406" s="1" t="n">
        <v>45896.57171296296</v>
      </c>
      <c r="C1406" s="1" t="n">
        <v>46098</v>
      </c>
      <c r="D1406" t="inlineStr">
        <is>
          <t>UPPSALA LÄN</t>
        </is>
      </c>
      <c r="E1406" t="inlineStr">
        <is>
          <t>UPPSALA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40501-2025</t>
        </is>
      </c>
      <c r="B1407" s="1" t="n">
        <v>45896</v>
      </c>
      <c r="C1407" s="1" t="n">
        <v>46098</v>
      </c>
      <c r="D1407" t="inlineStr">
        <is>
          <t>UPPSALA LÄN</t>
        </is>
      </c>
      <c r="E1407" t="inlineStr">
        <is>
          <t>UPPSALA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52523-2025</t>
        </is>
      </c>
      <c r="B1408" s="1" t="n">
        <v>45954.528125</v>
      </c>
      <c r="C1408" s="1" t="n">
        <v>46098</v>
      </c>
      <c r="D1408" t="inlineStr">
        <is>
          <t>UPPSALA LÄN</t>
        </is>
      </c>
      <c r="E1408" t="inlineStr">
        <is>
          <t>UPPSALA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314-2025</t>
        </is>
      </c>
      <c r="B1409" s="1" t="n">
        <v>45656</v>
      </c>
      <c r="C1409" s="1" t="n">
        <v>46098</v>
      </c>
      <c r="D1409" t="inlineStr">
        <is>
          <t>UPPSALA LÄN</t>
        </is>
      </c>
      <c r="E1409" t="inlineStr">
        <is>
          <t>ENKÖPING</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24606-2024</t>
        </is>
      </c>
      <c r="B1410" s="1" t="n">
        <v>45460</v>
      </c>
      <c r="C1410" s="1" t="n">
        <v>46098</v>
      </c>
      <c r="D1410" t="inlineStr">
        <is>
          <t>UPPSALA LÄN</t>
        </is>
      </c>
      <c r="E1410" t="inlineStr">
        <is>
          <t>ÖSTHAMMAR</t>
        </is>
      </c>
      <c r="F1410" t="inlineStr">
        <is>
          <t>Bergvik skog öst AB</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34520-2024</t>
        </is>
      </c>
      <c r="B1411" s="1" t="n">
        <v>45525</v>
      </c>
      <c r="C1411" s="1" t="n">
        <v>46098</v>
      </c>
      <c r="D1411" t="inlineStr">
        <is>
          <t>UPPSALA LÄN</t>
        </is>
      </c>
      <c r="E1411" t="inlineStr">
        <is>
          <t>UPPSALA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40855-2025</t>
        </is>
      </c>
      <c r="B1412" s="1" t="n">
        <v>45897</v>
      </c>
      <c r="C1412" s="1" t="n">
        <v>46098</v>
      </c>
      <c r="D1412" t="inlineStr">
        <is>
          <t>UPPSALA LÄN</t>
        </is>
      </c>
      <c r="E1412" t="inlineStr">
        <is>
          <t>UPPSALA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19539-2024</t>
        </is>
      </c>
      <c r="B1413" s="1" t="n">
        <v>45429</v>
      </c>
      <c r="C1413" s="1" t="n">
        <v>46098</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52517-2025</t>
        </is>
      </c>
      <c r="B1414" s="1" t="n">
        <v>45954.51438657408</v>
      </c>
      <c r="C1414" s="1" t="n">
        <v>46098</v>
      </c>
      <c r="D1414" t="inlineStr">
        <is>
          <t>UPPSALA LÄN</t>
        </is>
      </c>
      <c r="E1414" t="inlineStr">
        <is>
          <t>UPPSALA</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24124-2025</t>
        </is>
      </c>
      <c r="B1415" s="1" t="n">
        <v>45796.6252662037</v>
      </c>
      <c r="C1415" s="1" t="n">
        <v>46098</v>
      </c>
      <c r="D1415" t="inlineStr">
        <is>
          <t>UPPSALA LÄN</t>
        </is>
      </c>
      <c r="E1415" t="inlineStr">
        <is>
          <t>TIERP</t>
        </is>
      </c>
      <c r="F1415" t="inlineStr">
        <is>
          <t>Bergvik skog öst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40570-2025</t>
        </is>
      </c>
      <c r="B1416" s="1" t="n">
        <v>45896.47878472223</v>
      </c>
      <c r="C1416" s="1" t="n">
        <v>46098</v>
      </c>
      <c r="D1416" t="inlineStr">
        <is>
          <t>UPPSALA LÄN</t>
        </is>
      </c>
      <c r="E1416" t="inlineStr">
        <is>
          <t>ÖSTHAMMAR</t>
        </is>
      </c>
      <c r="F1416" t="inlineStr">
        <is>
          <t>Övriga Aktiebolag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11627-2025</t>
        </is>
      </c>
      <c r="B1417" s="1" t="n">
        <v>45727</v>
      </c>
      <c r="C1417" s="1" t="n">
        <v>46098</v>
      </c>
      <c r="D1417" t="inlineStr">
        <is>
          <t>UPPSALA LÄN</t>
        </is>
      </c>
      <c r="E1417" t="inlineStr">
        <is>
          <t>ENKÖPING</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52421-2025</t>
        </is>
      </c>
      <c r="B1418" s="1" t="n">
        <v>45954.37163194444</v>
      </c>
      <c r="C1418" s="1" t="n">
        <v>46098</v>
      </c>
      <c r="D1418" t="inlineStr">
        <is>
          <t>UPPSALA LÄN</t>
        </is>
      </c>
      <c r="E1418" t="inlineStr">
        <is>
          <t>TIERP</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40627-2025</t>
        </is>
      </c>
      <c r="B1419" s="1" t="n">
        <v>45896.58956018519</v>
      </c>
      <c r="C1419" s="1" t="n">
        <v>46098</v>
      </c>
      <c r="D1419" t="inlineStr">
        <is>
          <t>UPPSALA LÄN</t>
        </is>
      </c>
      <c r="E1419" t="inlineStr">
        <is>
          <t>TIERP</t>
        </is>
      </c>
      <c r="F1419" t="inlineStr">
        <is>
          <t>Bergvik skog öst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40639-2025</t>
        </is>
      </c>
      <c r="B1420" s="1" t="n">
        <v>45896.61050925926</v>
      </c>
      <c r="C1420" s="1" t="n">
        <v>46098</v>
      </c>
      <c r="D1420" t="inlineStr">
        <is>
          <t>UPPSALA LÄN</t>
        </is>
      </c>
      <c r="E1420" t="inlineStr">
        <is>
          <t>UPPSALA</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52859-2025</t>
        </is>
      </c>
      <c r="B1421" s="1" t="n">
        <v>45957.50313657407</v>
      </c>
      <c r="C1421" s="1" t="n">
        <v>46098</v>
      </c>
      <c r="D1421" t="inlineStr">
        <is>
          <t>UPPSALA LÄN</t>
        </is>
      </c>
      <c r="E1421" t="inlineStr">
        <is>
          <t>TIERP</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40649-2025</t>
        </is>
      </c>
      <c r="B1422" s="1" t="n">
        <v>45896.62949074074</v>
      </c>
      <c r="C1422" s="1" t="n">
        <v>46098</v>
      </c>
      <c r="D1422" t="inlineStr">
        <is>
          <t>UPPSALA LÄN</t>
        </is>
      </c>
      <c r="E1422" t="inlineStr">
        <is>
          <t>TIERP</t>
        </is>
      </c>
      <c r="F1422" t="inlineStr">
        <is>
          <t>Bergvik skog öst AB</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52502-2025</t>
        </is>
      </c>
      <c r="B1423" s="1" t="n">
        <v>45954.4975462963</v>
      </c>
      <c r="C1423" s="1" t="n">
        <v>46098</v>
      </c>
      <c r="D1423" t="inlineStr">
        <is>
          <t>UPPSALA LÄN</t>
        </is>
      </c>
      <c r="E1423" t="inlineStr">
        <is>
          <t>TIERP</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52508-2025</t>
        </is>
      </c>
      <c r="B1424" s="1" t="n">
        <v>45954.50453703704</v>
      </c>
      <c r="C1424" s="1" t="n">
        <v>46098</v>
      </c>
      <c r="D1424" t="inlineStr">
        <is>
          <t>UPPSALA LÄN</t>
        </is>
      </c>
      <c r="E1424" t="inlineStr">
        <is>
          <t>TIERP</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52790-2025</t>
        </is>
      </c>
      <c r="B1425" s="1" t="n">
        <v>45957.43148148148</v>
      </c>
      <c r="C1425" s="1" t="n">
        <v>46098</v>
      </c>
      <c r="D1425" t="inlineStr">
        <is>
          <t>UPPSALA LÄN</t>
        </is>
      </c>
      <c r="E1425" t="inlineStr">
        <is>
          <t>TIERP</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52498-2025</t>
        </is>
      </c>
      <c r="B1426" s="1" t="n">
        <v>45954.49314814815</v>
      </c>
      <c r="C1426" s="1" t="n">
        <v>46098</v>
      </c>
      <c r="D1426" t="inlineStr">
        <is>
          <t>UPPSALA LÄN</t>
        </is>
      </c>
      <c r="E1426" t="inlineStr">
        <is>
          <t>ÄLVKARLEBY</t>
        </is>
      </c>
      <c r="F1426" t="inlineStr">
        <is>
          <t>Bergvik skog väst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25049-2025</t>
        </is>
      </c>
      <c r="B1427" s="1" t="n">
        <v>45799.66876157407</v>
      </c>
      <c r="C1427" s="1" t="n">
        <v>46098</v>
      </c>
      <c r="D1427" t="inlineStr">
        <is>
          <t>UPPSALA LÄN</t>
        </is>
      </c>
      <c r="E1427" t="inlineStr">
        <is>
          <t>ÖSTHAMMAR</t>
        </is>
      </c>
      <c r="F1427" t="inlineStr">
        <is>
          <t>Bergvik skog öst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24912-2025</t>
        </is>
      </c>
      <c r="B1428" s="1" t="n">
        <v>45799.53803240741</v>
      </c>
      <c r="C1428" s="1" t="n">
        <v>46098</v>
      </c>
      <c r="D1428" t="inlineStr">
        <is>
          <t>UPPSALA LÄN</t>
        </is>
      </c>
      <c r="E1428" t="inlineStr">
        <is>
          <t>UPPSALA</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52861-2025</t>
        </is>
      </c>
      <c r="B1429" s="1" t="n">
        <v>45957.50532407407</v>
      </c>
      <c r="C1429" s="1" t="n">
        <v>46098</v>
      </c>
      <c r="D1429" t="inlineStr">
        <is>
          <t>UPPSALA LÄN</t>
        </is>
      </c>
      <c r="E1429" t="inlineStr">
        <is>
          <t>HEBY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52490-2025</t>
        </is>
      </c>
      <c r="B1430" s="1" t="n">
        <v>45954.48096064815</v>
      </c>
      <c r="C1430" s="1" t="n">
        <v>46098</v>
      </c>
      <c r="D1430" t="inlineStr">
        <is>
          <t>UPPSALA LÄN</t>
        </is>
      </c>
      <c r="E1430" t="inlineStr">
        <is>
          <t>TIERP</t>
        </is>
      </c>
      <c r="F1430" t="inlineStr">
        <is>
          <t>Bergvik skog väst AB</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41444-2025</t>
        </is>
      </c>
      <c r="B1431" s="1" t="n">
        <v>45901.41756944444</v>
      </c>
      <c r="C1431" s="1" t="n">
        <v>46098</v>
      </c>
      <c r="D1431" t="inlineStr">
        <is>
          <t>UPPSALA LÄN</t>
        </is>
      </c>
      <c r="E1431" t="inlineStr">
        <is>
          <t>UPPSALA</t>
        </is>
      </c>
      <c r="F1431" t="inlineStr">
        <is>
          <t>Kyrkan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61156-2024</t>
        </is>
      </c>
      <c r="B1432" s="1" t="n">
        <v>45645.59362268518</v>
      </c>
      <c r="C1432" s="1" t="n">
        <v>46098</v>
      </c>
      <c r="D1432" t="inlineStr">
        <is>
          <t>UPPSALA LÄN</t>
        </is>
      </c>
      <c r="E1432" t="inlineStr">
        <is>
          <t>TIERP</t>
        </is>
      </c>
      <c r="F1432" t="inlineStr">
        <is>
          <t>Bergvik skog väst AB</t>
        </is>
      </c>
      <c r="G1432" t="n">
        <v>10.6</v>
      </c>
      <c r="H1432" t="n">
        <v>0</v>
      </c>
      <c r="I1432" t="n">
        <v>0</v>
      </c>
      <c r="J1432" t="n">
        <v>0</v>
      </c>
      <c r="K1432" t="n">
        <v>0</v>
      </c>
      <c r="L1432" t="n">
        <v>0</v>
      </c>
      <c r="M1432" t="n">
        <v>0</v>
      </c>
      <c r="N1432" t="n">
        <v>0</v>
      </c>
      <c r="O1432" t="n">
        <v>0</v>
      </c>
      <c r="P1432" t="n">
        <v>0</v>
      </c>
      <c r="Q1432" t="n">
        <v>0</v>
      </c>
      <c r="R1432" s="2" t="inlineStr"/>
    </row>
    <row r="1433" ht="15" customHeight="1">
      <c r="A1433" t="inlineStr">
        <is>
          <t>A 41490-2025</t>
        </is>
      </c>
      <c r="B1433" s="1" t="n">
        <v>45901.48795138889</v>
      </c>
      <c r="C1433" s="1" t="n">
        <v>46098</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41497-2025</t>
        </is>
      </c>
      <c r="B1434" s="1" t="n">
        <v>45901.49728009259</v>
      </c>
      <c r="C1434" s="1" t="n">
        <v>46098</v>
      </c>
      <c r="D1434" t="inlineStr">
        <is>
          <t>UPPSALA LÄN</t>
        </is>
      </c>
      <c r="E1434" t="inlineStr">
        <is>
          <t>TIERP</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34835-2024</t>
        </is>
      </c>
      <c r="B1435" s="1" t="n">
        <v>45526</v>
      </c>
      <c r="C1435" s="1" t="n">
        <v>46098</v>
      </c>
      <c r="D1435" t="inlineStr">
        <is>
          <t>UPPSALA LÄN</t>
        </is>
      </c>
      <c r="E1435" t="inlineStr">
        <is>
          <t>TIERP</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53224-2025</t>
        </is>
      </c>
      <c r="B1436" s="1" t="n">
        <v>45958.60826388889</v>
      </c>
      <c r="C1436" s="1" t="n">
        <v>46098</v>
      </c>
      <c r="D1436" t="inlineStr">
        <is>
          <t>UPPSALA LÄN</t>
        </is>
      </c>
      <c r="E1436" t="inlineStr">
        <is>
          <t>UPPSALA</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53230-2025</t>
        </is>
      </c>
      <c r="B1437" s="1" t="n">
        <v>45958.62303240741</v>
      </c>
      <c r="C1437" s="1" t="n">
        <v>46098</v>
      </c>
      <c r="D1437" t="inlineStr">
        <is>
          <t>UPPSALA LÄN</t>
        </is>
      </c>
      <c r="E1437" t="inlineStr">
        <is>
          <t>UPPSALA</t>
        </is>
      </c>
      <c r="F1437" t="inlineStr">
        <is>
          <t>Bergvik skog väst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8132-2024</t>
        </is>
      </c>
      <c r="B1438" s="1" t="n">
        <v>45351.54596064815</v>
      </c>
      <c r="C1438" s="1" t="n">
        <v>46098</v>
      </c>
      <c r="D1438" t="inlineStr">
        <is>
          <t>UPPSALA LÄN</t>
        </is>
      </c>
      <c r="E1438" t="inlineStr">
        <is>
          <t>UPPSALA</t>
        </is>
      </c>
      <c r="F1438" t="inlineStr">
        <is>
          <t>Övriga Aktiebolag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26011-2025</t>
        </is>
      </c>
      <c r="B1439" s="1" t="n">
        <v>45804.67412037037</v>
      </c>
      <c r="C1439" s="1" t="n">
        <v>46098</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24411-2024</t>
        </is>
      </c>
      <c r="B1440" s="1" t="n">
        <v>45457</v>
      </c>
      <c r="C1440" s="1" t="n">
        <v>46098</v>
      </c>
      <c r="D1440" t="inlineStr">
        <is>
          <t>UPPSALA LÄN</t>
        </is>
      </c>
      <c r="E1440" t="inlineStr">
        <is>
          <t>ENKÖPING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53322-2025</t>
        </is>
      </c>
      <c r="B1441" s="1" t="n">
        <v>45959.35965277778</v>
      </c>
      <c r="C1441" s="1" t="n">
        <v>46098</v>
      </c>
      <c r="D1441" t="inlineStr">
        <is>
          <t>UPPSALA LÄN</t>
        </is>
      </c>
      <c r="E1441" t="inlineStr">
        <is>
          <t>UPPSALA</t>
        </is>
      </c>
      <c r="F1441" t="inlineStr">
        <is>
          <t>Bergvik skog öst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41216-2025</t>
        </is>
      </c>
      <c r="B1442" s="1" t="n">
        <v>45898.58221064815</v>
      </c>
      <c r="C1442" s="1" t="n">
        <v>46098</v>
      </c>
      <c r="D1442" t="inlineStr">
        <is>
          <t>UPPSALA LÄN</t>
        </is>
      </c>
      <c r="E1442" t="inlineStr">
        <is>
          <t>HEBY</t>
        </is>
      </c>
      <c r="G1442" t="n">
        <v>14.8</v>
      </c>
      <c r="H1442" t="n">
        <v>0</v>
      </c>
      <c r="I1442" t="n">
        <v>0</v>
      </c>
      <c r="J1442" t="n">
        <v>0</v>
      </c>
      <c r="K1442" t="n">
        <v>0</v>
      </c>
      <c r="L1442" t="n">
        <v>0</v>
      </c>
      <c r="M1442" t="n">
        <v>0</v>
      </c>
      <c r="N1442" t="n">
        <v>0</v>
      </c>
      <c r="O1442" t="n">
        <v>0</v>
      </c>
      <c r="P1442" t="n">
        <v>0</v>
      </c>
      <c r="Q1442" t="n">
        <v>0</v>
      </c>
      <c r="R1442" s="2" t="inlineStr"/>
    </row>
    <row r="1443" ht="15" customHeight="1">
      <c r="A1443" t="inlineStr">
        <is>
          <t>A 41219-2025</t>
        </is>
      </c>
      <c r="B1443" s="1" t="n">
        <v>45898</v>
      </c>
      <c r="C1443" s="1" t="n">
        <v>46098</v>
      </c>
      <c r="D1443" t="inlineStr">
        <is>
          <t>UPPSALA LÄN</t>
        </is>
      </c>
      <c r="E1443" t="inlineStr">
        <is>
          <t>HEBY</t>
        </is>
      </c>
      <c r="F1443" t="inlineStr">
        <is>
          <t>Bergvik skog väst AB</t>
        </is>
      </c>
      <c r="G1443" t="n">
        <v>22.2</v>
      </c>
      <c r="H1443" t="n">
        <v>0</v>
      </c>
      <c r="I1443" t="n">
        <v>0</v>
      </c>
      <c r="J1443" t="n">
        <v>0</v>
      </c>
      <c r="K1443" t="n">
        <v>0</v>
      </c>
      <c r="L1443" t="n">
        <v>0</v>
      </c>
      <c r="M1443" t="n">
        <v>0</v>
      </c>
      <c r="N1443" t="n">
        <v>0</v>
      </c>
      <c r="O1443" t="n">
        <v>0</v>
      </c>
      <c r="P1443" t="n">
        <v>0</v>
      </c>
      <c r="Q1443" t="n">
        <v>0</v>
      </c>
      <c r="R1443" s="2" t="inlineStr"/>
    </row>
    <row r="1444" ht="15" customHeight="1">
      <c r="A1444" t="inlineStr">
        <is>
          <t>A 41517-2025</t>
        </is>
      </c>
      <c r="B1444" s="1" t="n">
        <v>45901.54505787037</v>
      </c>
      <c r="C1444" s="1" t="n">
        <v>46098</v>
      </c>
      <c r="D1444" t="inlineStr">
        <is>
          <t>UPPSALA LÄN</t>
        </is>
      </c>
      <c r="E1444" t="inlineStr">
        <is>
          <t>TIERP</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24961-2025</t>
        </is>
      </c>
      <c r="B1445" s="1" t="n">
        <v>45799.57714120371</v>
      </c>
      <c r="C1445" s="1" t="n">
        <v>46098</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38831-2024</t>
        </is>
      </c>
      <c r="B1446" s="1" t="n">
        <v>45547.57539351852</v>
      </c>
      <c r="C1446" s="1" t="n">
        <v>46098</v>
      </c>
      <c r="D1446" t="inlineStr">
        <is>
          <t>UPPSALA LÄN</t>
        </is>
      </c>
      <c r="E1446" t="inlineStr">
        <is>
          <t>HEBY</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53234-2025</t>
        </is>
      </c>
      <c r="B1447" s="1" t="n">
        <v>45958.62765046296</v>
      </c>
      <c r="C1447" s="1" t="n">
        <v>46098</v>
      </c>
      <c r="D1447" t="inlineStr">
        <is>
          <t>UPPSALA LÄN</t>
        </is>
      </c>
      <c r="E1447" t="inlineStr">
        <is>
          <t>UPPSALA</t>
        </is>
      </c>
      <c r="F1447" t="inlineStr">
        <is>
          <t>Bergvik skog väst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53235-2025</t>
        </is>
      </c>
      <c r="B1448" s="1" t="n">
        <v>45958.62983796297</v>
      </c>
      <c r="C1448" s="1" t="n">
        <v>46098</v>
      </c>
      <c r="D1448" t="inlineStr">
        <is>
          <t>UPPSALA LÄN</t>
        </is>
      </c>
      <c r="E1448" t="inlineStr">
        <is>
          <t>UPPSALA</t>
        </is>
      </c>
      <c r="F1448" t="inlineStr">
        <is>
          <t>Bergvik skog väst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53184-2025</t>
        </is>
      </c>
      <c r="B1449" s="1" t="n">
        <v>45958</v>
      </c>
      <c r="C1449" s="1" t="n">
        <v>46098</v>
      </c>
      <c r="D1449" t="inlineStr">
        <is>
          <t>UPPSALA LÄN</t>
        </is>
      </c>
      <c r="E1449" t="inlineStr">
        <is>
          <t>ÄLVKARLEBY</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53062-2025</t>
        </is>
      </c>
      <c r="B1450" s="1" t="n">
        <v>45958.37273148148</v>
      </c>
      <c r="C1450" s="1" t="n">
        <v>46098</v>
      </c>
      <c r="D1450" t="inlineStr">
        <is>
          <t>UPPSALA LÄN</t>
        </is>
      </c>
      <c r="E1450" t="inlineStr">
        <is>
          <t>UPPSALA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24807-2025</t>
        </is>
      </c>
      <c r="B1451" s="1" t="n">
        <v>45799.44140046297</v>
      </c>
      <c r="C1451" s="1" t="n">
        <v>46098</v>
      </c>
      <c r="D1451" t="inlineStr">
        <is>
          <t>UPPSALA LÄN</t>
        </is>
      </c>
      <c r="E1451" t="inlineStr">
        <is>
          <t>TIERP</t>
        </is>
      </c>
      <c r="F1451" t="inlineStr">
        <is>
          <t>Bergvik skog öst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53021-2025</t>
        </is>
      </c>
      <c r="B1452" s="1" t="n">
        <v>45957.95233796296</v>
      </c>
      <c r="C1452" s="1" t="n">
        <v>46098</v>
      </c>
      <c r="D1452" t="inlineStr">
        <is>
          <t>UPPSALA LÄN</t>
        </is>
      </c>
      <c r="E1452" t="inlineStr">
        <is>
          <t>UPPSALA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41246-2025</t>
        </is>
      </c>
      <c r="B1453" s="1" t="n">
        <v>45898.6009375</v>
      </c>
      <c r="C1453" s="1" t="n">
        <v>46098</v>
      </c>
      <c r="D1453" t="inlineStr">
        <is>
          <t>UPPSALA LÄN</t>
        </is>
      </c>
      <c r="E1453" t="inlineStr">
        <is>
          <t>HEBY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53161-2025</t>
        </is>
      </c>
      <c r="B1454" s="1" t="n">
        <v>45958.49162037037</v>
      </c>
      <c r="C1454" s="1" t="n">
        <v>46098</v>
      </c>
      <c r="D1454" t="inlineStr">
        <is>
          <t>UPPSALA LÄN</t>
        </is>
      </c>
      <c r="E1454" t="inlineStr">
        <is>
          <t>UPPSALA</t>
        </is>
      </c>
      <c r="F1454" t="inlineStr">
        <is>
          <t>Bergvik skog väst AB</t>
        </is>
      </c>
      <c r="G1454" t="n">
        <v>14.5</v>
      </c>
      <c r="H1454" t="n">
        <v>0</v>
      </c>
      <c r="I1454" t="n">
        <v>0</v>
      </c>
      <c r="J1454" t="n">
        <v>0</v>
      </c>
      <c r="K1454" t="n">
        <v>0</v>
      </c>
      <c r="L1454" t="n">
        <v>0</v>
      </c>
      <c r="M1454" t="n">
        <v>0</v>
      </c>
      <c r="N1454" t="n">
        <v>0</v>
      </c>
      <c r="O1454" t="n">
        <v>0</v>
      </c>
      <c r="P1454" t="n">
        <v>0</v>
      </c>
      <c r="Q1454" t="n">
        <v>0</v>
      </c>
      <c r="R1454" s="2" t="inlineStr"/>
    </row>
    <row r="1455" ht="15" customHeight="1">
      <c r="A1455" t="inlineStr">
        <is>
          <t>A 53423-2025</t>
        </is>
      </c>
      <c r="B1455" s="1" t="n">
        <v>45959.60851851852</v>
      </c>
      <c r="C1455" s="1" t="n">
        <v>46098</v>
      </c>
      <c r="D1455" t="inlineStr">
        <is>
          <t>UPPSALA LÄN</t>
        </is>
      </c>
      <c r="E1455" t="inlineStr">
        <is>
          <t>UPPSALA</t>
        </is>
      </c>
      <c r="F1455" t="inlineStr">
        <is>
          <t>Övriga Aktiebolag</t>
        </is>
      </c>
      <c r="G1455" t="n">
        <v>23.6</v>
      </c>
      <c r="H1455" t="n">
        <v>0</v>
      </c>
      <c r="I1455" t="n">
        <v>0</v>
      </c>
      <c r="J1455" t="n">
        <v>0</v>
      </c>
      <c r="K1455" t="n">
        <v>0</v>
      </c>
      <c r="L1455" t="n">
        <v>0</v>
      </c>
      <c r="M1455" t="n">
        <v>0</v>
      </c>
      <c r="N1455" t="n">
        <v>0</v>
      </c>
      <c r="O1455" t="n">
        <v>0</v>
      </c>
      <c r="P1455" t="n">
        <v>0</v>
      </c>
      <c r="Q1455" t="n">
        <v>0</v>
      </c>
      <c r="R1455" s="2" t="inlineStr"/>
    </row>
    <row r="1456" ht="15" customHeight="1">
      <c r="A1456" t="inlineStr">
        <is>
          <t>A 53036-2025</t>
        </is>
      </c>
      <c r="B1456" s="1" t="n">
        <v>45958</v>
      </c>
      <c r="C1456" s="1" t="n">
        <v>46098</v>
      </c>
      <c r="D1456" t="inlineStr">
        <is>
          <t>UPPSALA LÄN</t>
        </is>
      </c>
      <c r="E1456" t="inlineStr">
        <is>
          <t>TIERP</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12828-2025</t>
        </is>
      </c>
      <c r="B1457" s="1" t="n">
        <v>45733.62903935185</v>
      </c>
      <c r="C1457" s="1" t="n">
        <v>46098</v>
      </c>
      <c r="D1457" t="inlineStr">
        <is>
          <t>UPPSALA LÄN</t>
        </is>
      </c>
      <c r="E1457" t="inlineStr">
        <is>
          <t>UPPSALA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24591-2025</t>
        </is>
      </c>
      <c r="B1458" s="1" t="n">
        <v>45798.53666666667</v>
      </c>
      <c r="C1458" s="1" t="n">
        <v>46098</v>
      </c>
      <c r="D1458" t="inlineStr">
        <is>
          <t>UPPSALA LÄN</t>
        </is>
      </c>
      <c r="E1458" t="inlineStr">
        <is>
          <t>ÄLVKARLEBY</t>
        </is>
      </c>
      <c r="F1458" t="inlineStr">
        <is>
          <t>Bergvik skog väst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41268-2025</t>
        </is>
      </c>
      <c r="B1459" s="1" t="n">
        <v>45898.61831018519</v>
      </c>
      <c r="C1459" s="1" t="n">
        <v>46098</v>
      </c>
      <c r="D1459" t="inlineStr">
        <is>
          <t>UPPSALA LÄN</t>
        </is>
      </c>
      <c r="E1459" t="inlineStr">
        <is>
          <t>TIERP</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53228-2025</t>
        </is>
      </c>
      <c r="B1460" s="1" t="n">
        <v>45958.61577546296</v>
      </c>
      <c r="C1460" s="1" t="n">
        <v>46098</v>
      </c>
      <c r="D1460" t="inlineStr">
        <is>
          <t>UPPSALA LÄN</t>
        </is>
      </c>
      <c r="E1460" t="inlineStr">
        <is>
          <t>UPPSALA</t>
        </is>
      </c>
      <c r="F1460" t="inlineStr">
        <is>
          <t>Bergvik skog väst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53238-2025</t>
        </is>
      </c>
      <c r="B1461" s="1" t="n">
        <v>45958.63368055555</v>
      </c>
      <c r="C1461" s="1" t="n">
        <v>46098</v>
      </c>
      <c r="D1461" t="inlineStr">
        <is>
          <t>UPPSALA LÄN</t>
        </is>
      </c>
      <c r="E1461" t="inlineStr">
        <is>
          <t>UPPSALA</t>
        </is>
      </c>
      <c r="F1461" t="inlineStr">
        <is>
          <t>Bergvik skog väst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41616-2025</t>
        </is>
      </c>
      <c r="B1462" s="1" t="n">
        <v>45901.69684027778</v>
      </c>
      <c r="C1462" s="1" t="n">
        <v>46098</v>
      </c>
      <c r="D1462" t="inlineStr">
        <is>
          <t>UPPSALA LÄN</t>
        </is>
      </c>
      <c r="E1462" t="inlineStr">
        <is>
          <t>ENKÖPING</t>
        </is>
      </c>
      <c r="F1462" t="inlineStr">
        <is>
          <t>Allmännings- och besparingsskogar</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25026-2025</t>
        </is>
      </c>
      <c r="B1463" s="1" t="n">
        <v>45799.65021990741</v>
      </c>
      <c r="C1463" s="1" t="n">
        <v>46098</v>
      </c>
      <c r="D1463" t="inlineStr">
        <is>
          <t>UPPSALA LÄN</t>
        </is>
      </c>
      <c r="E1463" t="inlineStr">
        <is>
          <t>UPPSALA</t>
        </is>
      </c>
      <c r="F1463" t="inlineStr">
        <is>
          <t>Sveaskog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25030-2025</t>
        </is>
      </c>
      <c r="B1464" s="1" t="n">
        <v>45799.6527199074</v>
      </c>
      <c r="C1464" s="1" t="n">
        <v>46098</v>
      </c>
      <c r="D1464" t="inlineStr">
        <is>
          <t>UPPSALA LÄN</t>
        </is>
      </c>
      <c r="E1464" t="inlineStr">
        <is>
          <t>UPPSALA</t>
        </is>
      </c>
      <c r="F1464" t="inlineStr">
        <is>
          <t>Sveaskog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53242-2025</t>
        </is>
      </c>
      <c r="B1465" s="1" t="n">
        <v>45958.64146990741</v>
      </c>
      <c r="C1465" s="1" t="n">
        <v>46098</v>
      </c>
      <c r="D1465" t="inlineStr">
        <is>
          <t>UPPSALA LÄN</t>
        </is>
      </c>
      <c r="E1465" t="inlineStr">
        <is>
          <t>UPPSALA</t>
        </is>
      </c>
      <c r="F1465" t="inlineStr">
        <is>
          <t>Bergvik skog väst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53248-2025</t>
        </is>
      </c>
      <c r="B1466" s="1" t="n">
        <v>45958.6516087963</v>
      </c>
      <c r="C1466" s="1" t="n">
        <v>46098</v>
      </c>
      <c r="D1466" t="inlineStr">
        <is>
          <t>UPPSALA LÄN</t>
        </is>
      </c>
      <c r="E1466" t="inlineStr">
        <is>
          <t>UPPSALA</t>
        </is>
      </c>
      <c r="F1466" t="inlineStr">
        <is>
          <t>Bergvik skog väst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10409-2025</t>
        </is>
      </c>
      <c r="B1467" s="1" t="n">
        <v>45720.631875</v>
      </c>
      <c r="C1467" s="1" t="n">
        <v>46098</v>
      </c>
      <c r="D1467" t="inlineStr">
        <is>
          <t>UPPSALA LÄN</t>
        </is>
      </c>
      <c r="E1467" t="inlineStr">
        <is>
          <t>ENKÖPING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41537-2025</t>
        </is>
      </c>
      <c r="B1468" s="1" t="n">
        <v>45901.56194444445</v>
      </c>
      <c r="C1468" s="1" t="n">
        <v>46098</v>
      </c>
      <c r="D1468" t="inlineStr">
        <is>
          <t>UPPSALA LÄN</t>
        </is>
      </c>
      <c r="E1468" t="inlineStr">
        <is>
          <t>TIERP</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53173-2025</t>
        </is>
      </c>
      <c r="B1469" s="1" t="n">
        <v>45958.51738425926</v>
      </c>
      <c r="C1469" s="1" t="n">
        <v>46098</v>
      </c>
      <c r="D1469" t="inlineStr">
        <is>
          <t>UPPSALA LÄN</t>
        </is>
      </c>
      <c r="E1469" t="inlineStr">
        <is>
          <t>ÄLVKARLEBY</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53186-2025</t>
        </is>
      </c>
      <c r="B1470" s="1" t="n">
        <v>45958.55548611111</v>
      </c>
      <c r="C1470" s="1" t="n">
        <v>46098</v>
      </c>
      <c r="D1470" t="inlineStr">
        <is>
          <t>UPPSALA LÄN</t>
        </is>
      </c>
      <c r="E1470" t="inlineStr">
        <is>
          <t>HEBY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41445-2025</t>
        </is>
      </c>
      <c r="B1471" s="1" t="n">
        <v>45901.41853009259</v>
      </c>
      <c r="C1471" s="1" t="n">
        <v>46098</v>
      </c>
      <c r="D1471" t="inlineStr">
        <is>
          <t>UPPSALA LÄN</t>
        </is>
      </c>
      <c r="E1471" t="inlineStr">
        <is>
          <t>UPPSALA</t>
        </is>
      </c>
      <c r="F1471" t="inlineStr">
        <is>
          <t>Kyrkan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13742-2025</t>
        </is>
      </c>
      <c r="B1472" s="1" t="n">
        <v>45737.40503472222</v>
      </c>
      <c r="C1472" s="1" t="n">
        <v>46098</v>
      </c>
      <c r="D1472" t="inlineStr">
        <is>
          <t>UPPSALA LÄN</t>
        </is>
      </c>
      <c r="E1472" t="inlineStr">
        <is>
          <t>UPPSALA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53609-2025</t>
        </is>
      </c>
      <c r="B1473" s="1" t="n">
        <v>45960.46894675926</v>
      </c>
      <c r="C1473" s="1" t="n">
        <v>46098</v>
      </c>
      <c r="D1473" t="inlineStr">
        <is>
          <t>UPPSALA LÄN</t>
        </is>
      </c>
      <c r="E1473" t="inlineStr">
        <is>
          <t>TIERP</t>
        </is>
      </c>
      <c r="F1473" t="inlineStr">
        <is>
          <t>Bergvik skog öst AB</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24913-2025</t>
        </is>
      </c>
      <c r="B1474" s="1" t="n">
        <v>45799.53947916667</v>
      </c>
      <c r="C1474" s="1" t="n">
        <v>46098</v>
      </c>
      <c r="D1474" t="inlineStr">
        <is>
          <t>UPPSALA LÄN</t>
        </is>
      </c>
      <c r="E1474" t="inlineStr">
        <is>
          <t>UPPSALA</t>
        </is>
      </c>
      <c r="F1474" t="inlineStr">
        <is>
          <t>Sveaskog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24915-2025</t>
        </is>
      </c>
      <c r="B1475" s="1" t="n">
        <v>45799.54104166666</v>
      </c>
      <c r="C1475" s="1" t="n">
        <v>46098</v>
      </c>
      <c r="D1475" t="inlineStr">
        <is>
          <t>UPPSALA LÄN</t>
        </is>
      </c>
      <c r="E1475" t="inlineStr">
        <is>
          <t>UPPSALA</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24944-2025</t>
        </is>
      </c>
      <c r="B1476" s="1" t="n">
        <v>45799.56347222222</v>
      </c>
      <c r="C1476" s="1" t="n">
        <v>46098</v>
      </c>
      <c r="D1476" t="inlineStr">
        <is>
          <t>UPPSALA LÄN</t>
        </is>
      </c>
      <c r="E1476" t="inlineStr">
        <is>
          <t>ÖSTHAMMAR</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53483-2025</t>
        </is>
      </c>
      <c r="B1477" s="1" t="n">
        <v>45959.83425925926</v>
      </c>
      <c r="C1477" s="1" t="n">
        <v>46098</v>
      </c>
      <c r="D1477" t="inlineStr">
        <is>
          <t>UPPSALA LÄN</t>
        </is>
      </c>
      <c r="E1477" t="inlineStr">
        <is>
          <t>TIERP</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53582-2025</t>
        </is>
      </c>
      <c r="B1478" s="1" t="n">
        <v>45960.43065972222</v>
      </c>
      <c r="C1478" s="1" t="n">
        <v>46098</v>
      </c>
      <c r="D1478" t="inlineStr">
        <is>
          <t>UPPSALA LÄN</t>
        </is>
      </c>
      <c r="E1478" t="inlineStr">
        <is>
          <t>UPPSALA</t>
        </is>
      </c>
      <c r="G1478" t="n">
        <v>12.2</v>
      </c>
      <c r="H1478" t="n">
        <v>0</v>
      </c>
      <c r="I1478" t="n">
        <v>0</v>
      </c>
      <c r="J1478" t="n">
        <v>0</v>
      </c>
      <c r="K1478" t="n">
        <v>0</v>
      </c>
      <c r="L1478" t="n">
        <v>0</v>
      </c>
      <c r="M1478" t="n">
        <v>0</v>
      </c>
      <c r="N1478" t="n">
        <v>0</v>
      </c>
      <c r="O1478" t="n">
        <v>0</v>
      </c>
      <c r="P1478" t="n">
        <v>0</v>
      </c>
      <c r="Q1478" t="n">
        <v>0</v>
      </c>
      <c r="R1478" s="2" t="inlineStr"/>
    </row>
    <row r="1479" ht="15" customHeight="1">
      <c r="A1479" t="inlineStr">
        <is>
          <t>A 41615-2025</t>
        </is>
      </c>
      <c r="B1479" s="1" t="n">
        <v>45901.69556712963</v>
      </c>
      <c r="C1479" s="1" t="n">
        <v>46098</v>
      </c>
      <c r="D1479" t="inlineStr">
        <is>
          <t>UPPSALA LÄN</t>
        </is>
      </c>
      <c r="E1479" t="inlineStr">
        <is>
          <t>ÄLVKARLEBY</t>
        </is>
      </c>
      <c r="F1479" t="inlineStr">
        <is>
          <t>Bergvik skog väst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53764-2025</t>
        </is>
      </c>
      <c r="B1480" s="1" t="n">
        <v>45960.67751157407</v>
      </c>
      <c r="C1480" s="1" t="n">
        <v>46098</v>
      </c>
      <c r="D1480" t="inlineStr">
        <is>
          <t>UPPSALA LÄN</t>
        </is>
      </c>
      <c r="E1480" t="inlineStr">
        <is>
          <t>TIERP</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33350-2024</t>
        </is>
      </c>
      <c r="B1481" s="1" t="n">
        <v>45519</v>
      </c>
      <c r="C1481" s="1" t="n">
        <v>46098</v>
      </c>
      <c r="D1481" t="inlineStr">
        <is>
          <t>UPPSALA LÄN</t>
        </is>
      </c>
      <c r="E1481" t="inlineStr">
        <is>
          <t>HEBY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6988-2025</t>
        </is>
      </c>
      <c r="B1482" s="1" t="n">
        <v>45693</v>
      </c>
      <c r="C1482" s="1" t="n">
        <v>46098</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24794-2025</t>
        </is>
      </c>
      <c r="B1483" s="1" t="n">
        <v>45799.43496527777</v>
      </c>
      <c r="C1483" s="1" t="n">
        <v>46098</v>
      </c>
      <c r="D1483" t="inlineStr">
        <is>
          <t>UPPSALA LÄN</t>
        </is>
      </c>
      <c r="E1483" t="inlineStr">
        <is>
          <t>UPPSALA</t>
        </is>
      </c>
      <c r="F1483" t="inlineStr">
        <is>
          <t>BillerudKorsnäs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24916-2025</t>
        </is>
      </c>
      <c r="B1484" s="1" t="n">
        <v>45799.5421875</v>
      </c>
      <c r="C1484" s="1" t="n">
        <v>46098</v>
      </c>
      <c r="D1484" t="inlineStr">
        <is>
          <t>UPPSALA LÄN</t>
        </is>
      </c>
      <c r="E1484" t="inlineStr">
        <is>
          <t>UPPSALA</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24975-2025</t>
        </is>
      </c>
      <c r="B1485" s="1" t="n">
        <v>45799.59126157407</v>
      </c>
      <c r="C1485" s="1" t="n">
        <v>46098</v>
      </c>
      <c r="D1485" t="inlineStr">
        <is>
          <t>UPPSALA LÄN</t>
        </is>
      </c>
      <c r="E1485" t="inlineStr">
        <is>
          <t>TIERP</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25025-2025</t>
        </is>
      </c>
      <c r="B1486" s="1" t="n">
        <v>45799.64877314815</v>
      </c>
      <c r="C1486" s="1" t="n">
        <v>46098</v>
      </c>
      <c r="D1486" t="inlineStr">
        <is>
          <t>UPPSALA LÄN</t>
        </is>
      </c>
      <c r="E1486" t="inlineStr">
        <is>
          <t>UPPSALA</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24525-2025</t>
        </is>
      </c>
      <c r="B1487" s="1" t="n">
        <v>45798.42252314815</v>
      </c>
      <c r="C1487" s="1" t="n">
        <v>46098</v>
      </c>
      <c r="D1487" t="inlineStr">
        <is>
          <t>UPPSALA LÄN</t>
        </is>
      </c>
      <c r="E1487" t="inlineStr">
        <is>
          <t>UPPSALA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41519-2025</t>
        </is>
      </c>
      <c r="B1488" s="1" t="n">
        <v>45901.54751157408</v>
      </c>
      <c r="C1488" s="1" t="n">
        <v>46098</v>
      </c>
      <c r="D1488" t="inlineStr">
        <is>
          <t>UPPSALA LÄN</t>
        </is>
      </c>
      <c r="E1488" t="inlineStr">
        <is>
          <t>ÖSTHAMMAR</t>
        </is>
      </c>
      <c r="F1488" t="inlineStr">
        <is>
          <t>Övriga Aktiebolag</t>
        </is>
      </c>
      <c r="G1488" t="n">
        <v>17.1</v>
      </c>
      <c r="H1488" t="n">
        <v>0</v>
      </c>
      <c r="I1488" t="n">
        <v>0</v>
      </c>
      <c r="J1488" t="n">
        <v>0</v>
      </c>
      <c r="K1488" t="n">
        <v>0</v>
      </c>
      <c r="L1488" t="n">
        <v>0</v>
      </c>
      <c r="M1488" t="n">
        <v>0</v>
      </c>
      <c r="N1488" t="n">
        <v>0</v>
      </c>
      <c r="O1488" t="n">
        <v>0</v>
      </c>
      <c r="P1488" t="n">
        <v>0</v>
      </c>
      <c r="Q1488" t="n">
        <v>0</v>
      </c>
      <c r="R1488" s="2" t="inlineStr"/>
    </row>
    <row r="1489" ht="15" customHeight="1">
      <c r="A1489" t="inlineStr">
        <is>
          <t>A 41520-2025</t>
        </is>
      </c>
      <c r="B1489" s="1" t="n">
        <v>45901.54918981482</v>
      </c>
      <c r="C1489" s="1" t="n">
        <v>46098</v>
      </c>
      <c r="D1489" t="inlineStr">
        <is>
          <t>UPPSALA LÄN</t>
        </is>
      </c>
      <c r="E1489" t="inlineStr">
        <is>
          <t>TIERP</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12945-2025</t>
        </is>
      </c>
      <c r="B1490" s="1" t="n">
        <v>45734.38159722222</v>
      </c>
      <c r="C1490" s="1" t="n">
        <v>46098</v>
      </c>
      <c r="D1490" t="inlineStr">
        <is>
          <t>UPPSALA LÄN</t>
        </is>
      </c>
      <c r="E1490" t="inlineStr">
        <is>
          <t>ÖSTHAMMAR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41527-2025</t>
        </is>
      </c>
      <c r="B1491" s="1" t="n">
        <v>45901.55429398148</v>
      </c>
      <c r="C1491" s="1" t="n">
        <v>46098</v>
      </c>
      <c r="D1491" t="inlineStr">
        <is>
          <t>UPPSALA LÄN</t>
        </is>
      </c>
      <c r="E1491" t="inlineStr">
        <is>
          <t>TIERP</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34185-2024</t>
        </is>
      </c>
      <c r="B1492" s="1" t="n">
        <v>45524</v>
      </c>
      <c r="C1492" s="1" t="n">
        <v>46098</v>
      </c>
      <c r="D1492" t="inlineStr">
        <is>
          <t>UPPSALA LÄN</t>
        </is>
      </c>
      <c r="E1492" t="inlineStr">
        <is>
          <t>ÖSTHAMMAR</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2850-2025</t>
        </is>
      </c>
      <c r="B1493" s="1" t="n">
        <v>45677</v>
      </c>
      <c r="C1493" s="1" t="n">
        <v>46098</v>
      </c>
      <c r="D1493" t="inlineStr">
        <is>
          <t>UPPSALA LÄN</t>
        </is>
      </c>
      <c r="E1493" t="inlineStr">
        <is>
          <t>ENKÖPING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13460-2024</t>
        </is>
      </c>
      <c r="B1494" s="1" t="n">
        <v>45387.55097222222</v>
      </c>
      <c r="C1494" s="1" t="n">
        <v>46098</v>
      </c>
      <c r="D1494" t="inlineStr">
        <is>
          <t>UPPSALA LÄN</t>
        </is>
      </c>
      <c r="E1494" t="inlineStr">
        <is>
          <t>TIERP</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25677-2025</t>
        </is>
      </c>
      <c r="B1495" s="1" t="n">
        <v>45803.6384375</v>
      </c>
      <c r="C1495" s="1" t="n">
        <v>46098</v>
      </c>
      <c r="D1495" t="inlineStr">
        <is>
          <t>UPPSALA LÄN</t>
        </is>
      </c>
      <c r="E1495" t="inlineStr">
        <is>
          <t>HEBY</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53588-2025</t>
        </is>
      </c>
      <c r="B1496" s="1" t="n">
        <v>45960.43714120371</v>
      </c>
      <c r="C1496" s="1" t="n">
        <v>46098</v>
      </c>
      <c r="D1496" t="inlineStr">
        <is>
          <t>UPPSALA LÄN</t>
        </is>
      </c>
      <c r="E1496" t="inlineStr">
        <is>
          <t>HEBY</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53567-2025</t>
        </is>
      </c>
      <c r="B1497" s="1" t="n">
        <v>45960</v>
      </c>
      <c r="C1497" s="1" t="n">
        <v>46098</v>
      </c>
      <c r="D1497" t="inlineStr">
        <is>
          <t>UPPSALA LÄN</t>
        </is>
      </c>
      <c r="E1497" t="inlineStr">
        <is>
          <t>ÖSTHAMMAR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25671-2025</t>
        </is>
      </c>
      <c r="B1498" s="1" t="n">
        <v>45803.63006944444</v>
      </c>
      <c r="C1498" s="1" t="n">
        <v>46098</v>
      </c>
      <c r="D1498" t="inlineStr">
        <is>
          <t>UPPSALA LÄN</t>
        </is>
      </c>
      <c r="E1498" t="inlineStr">
        <is>
          <t>TIERP</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41637-2025</t>
        </is>
      </c>
      <c r="B1499" s="1" t="n">
        <v>45901</v>
      </c>
      <c r="C1499" s="1" t="n">
        <v>46098</v>
      </c>
      <c r="D1499" t="inlineStr">
        <is>
          <t>UPPSALA LÄN</t>
        </is>
      </c>
      <c r="E1499" t="inlineStr">
        <is>
          <t>ENKÖPING</t>
        </is>
      </c>
      <c r="F1499" t="inlineStr">
        <is>
          <t>Allmännings- och besparingsskogar</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53886-2025</t>
        </is>
      </c>
      <c r="B1500" s="1" t="n">
        <v>45961.40716435185</v>
      </c>
      <c r="C1500" s="1" t="n">
        <v>46098</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53656-2025</t>
        </is>
      </c>
      <c r="B1501" s="1" t="n">
        <v>45960</v>
      </c>
      <c r="C1501" s="1" t="n">
        <v>46098</v>
      </c>
      <c r="D1501" t="inlineStr">
        <is>
          <t>UPPSALA LÄN</t>
        </is>
      </c>
      <c r="E1501" t="inlineStr">
        <is>
          <t>ÖSTHAMMAR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41531-2025</t>
        </is>
      </c>
      <c r="B1502" s="1" t="n">
        <v>45901.55740740741</v>
      </c>
      <c r="C1502" s="1" t="n">
        <v>46098</v>
      </c>
      <c r="D1502" t="inlineStr">
        <is>
          <t>UPPSALA LÄN</t>
        </is>
      </c>
      <c r="E1502" t="inlineStr">
        <is>
          <t>TIERP</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41535-2025</t>
        </is>
      </c>
      <c r="B1503" s="1" t="n">
        <v>45901.56009259259</v>
      </c>
      <c r="C1503" s="1" t="n">
        <v>46098</v>
      </c>
      <c r="D1503" t="inlineStr">
        <is>
          <t>UPPSALA LÄN</t>
        </is>
      </c>
      <c r="E1503" t="inlineStr">
        <is>
          <t>TIERP</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10551-2024</t>
        </is>
      </c>
      <c r="B1504" s="1" t="n">
        <v>45366.58351851852</v>
      </c>
      <c r="C1504" s="1" t="n">
        <v>46098</v>
      </c>
      <c r="D1504" t="inlineStr">
        <is>
          <t>UPPSALA LÄN</t>
        </is>
      </c>
      <c r="E1504" t="inlineStr">
        <is>
          <t>TIERP</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16089-2025</t>
        </is>
      </c>
      <c r="B1505" s="1" t="n">
        <v>45749.84232638889</v>
      </c>
      <c r="C1505" s="1" t="n">
        <v>46098</v>
      </c>
      <c r="D1505" t="inlineStr">
        <is>
          <t>UPPSALA LÄN</t>
        </is>
      </c>
      <c r="E1505" t="inlineStr">
        <is>
          <t>ÖSTHAMMAR</t>
        </is>
      </c>
      <c r="F1505" t="inlineStr">
        <is>
          <t>Bergvik skog öst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53486-2025</t>
        </is>
      </c>
      <c r="B1506" s="1" t="n">
        <v>45960.01471064815</v>
      </c>
      <c r="C1506" s="1" t="n">
        <v>46098</v>
      </c>
      <c r="D1506" t="inlineStr">
        <is>
          <t>UPPSALA LÄN</t>
        </is>
      </c>
      <c r="E1506" t="inlineStr">
        <is>
          <t>TIERP</t>
        </is>
      </c>
      <c r="G1506" t="n">
        <v>1.7</v>
      </c>
      <c r="H1506" t="n">
        <v>0</v>
      </c>
      <c r="I1506" t="n">
        <v>0</v>
      </c>
      <c r="J1506" t="n">
        <v>0</v>
      </c>
      <c r="K1506" t="n">
        <v>0</v>
      </c>
      <c r="L1506" t="n">
        <v>0</v>
      </c>
      <c r="M1506" t="n">
        <v>0</v>
      </c>
      <c r="N1506" t="n">
        <v>0</v>
      </c>
      <c r="O1506" t="n">
        <v>0</v>
      </c>
      <c r="P1506" t="n">
        <v>0</v>
      </c>
      <c r="Q1506" t="n">
        <v>0</v>
      </c>
      <c r="R1506" s="2" t="inlineStr"/>
      <c r="U1506">
        <f>HYPERLINK("https://klasma.github.io/Logging_0360/knärot/A 53486-2025 karta knärot.png", "A 53486-2025")</f>
        <v/>
      </c>
      <c r="V1506">
        <f>HYPERLINK("https://klasma.github.io/Logging_0360/klagomål/A 53486-2025 FSC-klagomål.docx", "A 53486-2025")</f>
        <v/>
      </c>
      <c r="W1506">
        <f>HYPERLINK("https://klasma.github.io/Logging_0360/klagomålsmail/A 53486-2025 FSC-klagomål mail.docx", "A 53486-2025")</f>
        <v/>
      </c>
      <c r="X1506">
        <f>HYPERLINK("https://klasma.github.io/Logging_0360/tillsyn/A 53486-2025 tillsynsbegäran.docx", "A 53486-2025")</f>
        <v/>
      </c>
      <c r="Y1506">
        <f>HYPERLINK("https://klasma.github.io/Logging_0360/tillsynsmail/A 53486-2025 tillsynsbegäran mail.docx", "A 53486-2025")</f>
        <v/>
      </c>
    </row>
    <row r="1507" ht="15" customHeight="1">
      <c r="A1507" t="inlineStr">
        <is>
          <t>A 25675-2025</t>
        </is>
      </c>
      <c r="B1507" s="1" t="n">
        <v>45803.63481481482</v>
      </c>
      <c r="C1507" s="1" t="n">
        <v>46098</v>
      </c>
      <c r="D1507" t="inlineStr">
        <is>
          <t>UPPSALA LÄN</t>
        </is>
      </c>
      <c r="E1507" t="inlineStr">
        <is>
          <t>HEBY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53557-2025</t>
        </is>
      </c>
      <c r="B1508" s="1" t="n">
        <v>45960</v>
      </c>
      <c r="C1508" s="1" t="n">
        <v>46098</v>
      </c>
      <c r="D1508" t="inlineStr">
        <is>
          <t>UPPSALA LÄN</t>
        </is>
      </c>
      <c r="E1508" t="inlineStr">
        <is>
          <t>ÖSTHAMMAR</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53961-2025</t>
        </is>
      </c>
      <c r="B1509" s="1" t="n">
        <v>45961</v>
      </c>
      <c r="C1509" s="1" t="n">
        <v>46098</v>
      </c>
      <c r="D1509" t="inlineStr">
        <is>
          <t>UPPSALA LÄN</t>
        </is>
      </c>
      <c r="E1509" t="inlineStr">
        <is>
          <t>ÖSTHAMMAR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7497-2025</t>
        </is>
      </c>
      <c r="B1510" s="1" t="n">
        <v>45705</v>
      </c>
      <c r="C1510" s="1" t="n">
        <v>46098</v>
      </c>
      <c r="D1510" t="inlineStr">
        <is>
          <t>UPPSALA LÄN</t>
        </is>
      </c>
      <c r="E1510" t="inlineStr">
        <is>
          <t>HEBY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20902-2024</t>
        </is>
      </c>
      <c r="B1511" s="1" t="n">
        <v>45439.48104166667</v>
      </c>
      <c r="C1511" s="1" t="n">
        <v>46098</v>
      </c>
      <c r="D1511" t="inlineStr">
        <is>
          <t>UPPSALA LÄN</t>
        </is>
      </c>
      <c r="E1511" t="inlineStr">
        <is>
          <t>KNIVSTA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25330-2025</t>
        </is>
      </c>
      <c r="B1512" s="1" t="n">
        <v>45800.59114583334</v>
      </c>
      <c r="C1512" s="1" t="n">
        <v>46098</v>
      </c>
      <c r="D1512" t="inlineStr">
        <is>
          <t>UPPSALA LÄN</t>
        </is>
      </c>
      <c r="E1512" t="inlineStr">
        <is>
          <t>ÄLVKARLEBY</t>
        </is>
      </c>
      <c r="F1512" t="inlineStr">
        <is>
          <t>Bergvik skog väst AB</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53774-2025</t>
        </is>
      </c>
      <c r="B1513" s="1" t="n">
        <v>45960.688125</v>
      </c>
      <c r="C1513" s="1" t="n">
        <v>46098</v>
      </c>
      <c r="D1513" t="inlineStr">
        <is>
          <t>UPPSALA LÄN</t>
        </is>
      </c>
      <c r="E1513" t="inlineStr">
        <is>
          <t>TIERP</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18299-2025</t>
        </is>
      </c>
      <c r="B1514" s="1" t="n">
        <v>45762</v>
      </c>
      <c r="C1514" s="1" t="n">
        <v>46098</v>
      </c>
      <c r="D1514" t="inlineStr">
        <is>
          <t>UPPSALA LÄN</t>
        </is>
      </c>
      <c r="E1514" t="inlineStr">
        <is>
          <t>ENKÖPING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57674-2024</t>
        </is>
      </c>
      <c r="B1515" s="1" t="n">
        <v>45630</v>
      </c>
      <c r="C1515" s="1" t="n">
        <v>46098</v>
      </c>
      <c r="D1515" t="inlineStr">
        <is>
          <t>UPPSALA LÄN</t>
        </is>
      </c>
      <c r="E1515" t="inlineStr">
        <is>
          <t>HEBY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41618-2025</t>
        </is>
      </c>
      <c r="B1516" s="1" t="n">
        <v>45901.70085648148</v>
      </c>
      <c r="C1516" s="1" t="n">
        <v>46098</v>
      </c>
      <c r="D1516" t="inlineStr">
        <is>
          <t>UPPSALA LÄN</t>
        </is>
      </c>
      <c r="E1516" t="inlineStr">
        <is>
          <t>ENKÖPING</t>
        </is>
      </c>
      <c r="F1516" t="inlineStr">
        <is>
          <t>Allmännings- och besparingsskogar</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22274-2025</t>
        </is>
      </c>
      <c r="B1517" s="1" t="n">
        <v>45786</v>
      </c>
      <c r="C1517" s="1" t="n">
        <v>46098</v>
      </c>
      <c r="D1517" t="inlineStr">
        <is>
          <t>UPPSALA LÄN</t>
        </is>
      </c>
      <c r="E1517" t="inlineStr">
        <is>
          <t>TIERP</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2549-2025</t>
        </is>
      </c>
      <c r="B1518" s="1" t="n">
        <v>45674</v>
      </c>
      <c r="C1518" s="1" t="n">
        <v>46098</v>
      </c>
      <c r="D1518" t="inlineStr">
        <is>
          <t>UPPSALA LÄN</t>
        </is>
      </c>
      <c r="E1518" t="inlineStr">
        <is>
          <t>TIERP</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26559-2025</t>
        </is>
      </c>
      <c r="B1519" s="1" t="n">
        <v>45807.63822916667</v>
      </c>
      <c r="C1519" s="1" t="n">
        <v>46098</v>
      </c>
      <c r="D1519" t="inlineStr">
        <is>
          <t>UPPSALA LÄN</t>
        </is>
      </c>
      <c r="E1519" t="inlineStr">
        <is>
          <t>TIERP</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26664-2025</t>
        </is>
      </c>
      <c r="B1520" s="1" t="n">
        <v>45810</v>
      </c>
      <c r="C1520" s="1" t="n">
        <v>46098</v>
      </c>
      <c r="D1520" t="inlineStr">
        <is>
          <t>UPPSALA LÄN</t>
        </is>
      </c>
      <c r="E1520" t="inlineStr">
        <is>
          <t>ÄLVKARLEBY</t>
        </is>
      </c>
      <c r="F1520" t="inlineStr">
        <is>
          <t>Bergvik skog väst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61152-2024</t>
        </is>
      </c>
      <c r="B1521" s="1" t="n">
        <v>45645</v>
      </c>
      <c r="C1521" s="1" t="n">
        <v>46098</v>
      </c>
      <c r="D1521" t="inlineStr">
        <is>
          <t>UPPSALA LÄN</t>
        </is>
      </c>
      <c r="E1521" t="inlineStr">
        <is>
          <t>TIERP</t>
        </is>
      </c>
      <c r="F1521" t="inlineStr">
        <is>
          <t>Bergvik skog väst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58092-2024</t>
        </is>
      </c>
      <c r="B1522" s="1" t="n">
        <v>45632</v>
      </c>
      <c r="C1522" s="1" t="n">
        <v>46098</v>
      </c>
      <c r="D1522" t="inlineStr">
        <is>
          <t>UPPSALA LÄN</t>
        </is>
      </c>
      <c r="E1522" t="inlineStr">
        <is>
          <t>ENKÖPING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53856-2025</t>
        </is>
      </c>
      <c r="B1523" s="1" t="n">
        <v>45961.37568287037</v>
      </c>
      <c r="C1523" s="1" t="n">
        <v>46098</v>
      </c>
      <c r="D1523" t="inlineStr">
        <is>
          <t>UPPSALA LÄN</t>
        </is>
      </c>
      <c r="E1523" t="inlineStr">
        <is>
          <t>TIERP</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41719-2025</t>
        </is>
      </c>
      <c r="B1524" s="1" t="n">
        <v>45902.44439814815</v>
      </c>
      <c r="C1524" s="1" t="n">
        <v>46098</v>
      </c>
      <c r="D1524" t="inlineStr">
        <is>
          <t>UPPSALA LÄN</t>
        </is>
      </c>
      <c r="E1524" t="inlineStr">
        <is>
          <t>TIERP</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53898-2025</t>
        </is>
      </c>
      <c r="B1525" s="1" t="n">
        <v>45961.43056712963</v>
      </c>
      <c r="C1525" s="1" t="n">
        <v>46098</v>
      </c>
      <c r="D1525" t="inlineStr">
        <is>
          <t>UPPSALA LÄN</t>
        </is>
      </c>
      <c r="E1525" t="inlineStr">
        <is>
          <t>KNIVSTA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8908-2025</t>
        </is>
      </c>
      <c r="B1526" s="1" t="n">
        <v>45713.4196875</v>
      </c>
      <c r="C1526" s="1" t="n">
        <v>46098</v>
      </c>
      <c r="D1526" t="inlineStr">
        <is>
          <t>UPPSALA LÄN</t>
        </is>
      </c>
      <c r="E1526" t="inlineStr">
        <is>
          <t>ÖSTHAMMAR</t>
        </is>
      </c>
      <c r="F1526" t="inlineStr">
        <is>
          <t>Bergvik skog öst AB</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32184-2025</t>
        </is>
      </c>
      <c r="B1527" s="1" t="n">
        <v>45835.56524305556</v>
      </c>
      <c r="C1527" s="1" t="n">
        <v>46098</v>
      </c>
      <c r="D1527" t="inlineStr">
        <is>
          <t>UPPSALA LÄN</t>
        </is>
      </c>
      <c r="E1527" t="inlineStr">
        <is>
          <t>TIERP</t>
        </is>
      </c>
      <c r="F1527" t="inlineStr">
        <is>
          <t>Bergvik skog väst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41698-2025</t>
        </is>
      </c>
      <c r="B1528" s="1" t="n">
        <v>45902.40758101852</v>
      </c>
      <c r="C1528" s="1" t="n">
        <v>46098</v>
      </c>
      <c r="D1528" t="inlineStr">
        <is>
          <t>UPPSALA LÄN</t>
        </is>
      </c>
      <c r="E1528" t="inlineStr">
        <is>
          <t>TIERP</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41699-2025</t>
        </is>
      </c>
      <c r="B1529" s="1" t="n">
        <v>45902.40875</v>
      </c>
      <c r="C1529" s="1" t="n">
        <v>46098</v>
      </c>
      <c r="D1529" t="inlineStr">
        <is>
          <t>UPPSALA LÄN</t>
        </is>
      </c>
      <c r="E1529" t="inlineStr">
        <is>
          <t>TIERP</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59482-2023</t>
        </is>
      </c>
      <c r="B1530" s="1" t="n">
        <v>45253</v>
      </c>
      <c r="C1530" s="1" t="n">
        <v>46098</v>
      </c>
      <c r="D1530" t="inlineStr">
        <is>
          <t>UPPSALA LÄN</t>
        </is>
      </c>
      <c r="E1530" t="inlineStr">
        <is>
          <t>TIERP</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25513-2025</t>
        </is>
      </c>
      <c r="B1531" s="1" t="n">
        <v>45803.36384259259</v>
      </c>
      <c r="C1531" s="1" t="n">
        <v>46098</v>
      </c>
      <c r="D1531" t="inlineStr">
        <is>
          <t>UPPSALA LÄN</t>
        </is>
      </c>
      <c r="E1531" t="inlineStr">
        <is>
          <t>UPPSALA</t>
        </is>
      </c>
      <c r="F1531" t="inlineStr">
        <is>
          <t>Bergvik skog öst AB</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53891-2025</t>
        </is>
      </c>
      <c r="B1532" s="1" t="n">
        <v>45961.41853009259</v>
      </c>
      <c r="C1532" s="1" t="n">
        <v>46098</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41954-2025</t>
        </is>
      </c>
      <c r="B1533" s="1" t="n">
        <v>45903</v>
      </c>
      <c r="C1533" s="1" t="n">
        <v>46098</v>
      </c>
      <c r="D1533" t="inlineStr">
        <is>
          <t>UPPSALA LÄN</t>
        </is>
      </c>
      <c r="E1533" t="inlineStr">
        <is>
          <t>UPPSALA</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25280-2023</t>
        </is>
      </c>
      <c r="B1534" s="1" t="n">
        <v>45086.7037037037</v>
      </c>
      <c r="C1534" s="1" t="n">
        <v>46098</v>
      </c>
      <c r="D1534" t="inlineStr">
        <is>
          <t>UPPSALA LÄN</t>
        </is>
      </c>
      <c r="E1534" t="inlineStr">
        <is>
          <t>UPPSALA</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53735-2025</t>
        </is>
      </c>
      <c r="B1535" s="1" t="n">
        <v>45960.64431712963</v>
      </c>
      <c r="C1535" s="1" t="n">
        <v>46098</v>
      </c>
      <c r="D1535" t="inlineStr">
        <is>
          <t>UPPSALA LÄN</t>
        </is>
      </c>
      <c r="E1535" t="inlineStr">
        <is>
          <t>ÖSTHAMMAR</t>
        </is>
      </c>
      <c r="F1535" t="inlineStr">
        <is>
          <t>Bergvik skog öst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25264-2025</t>
        </is>
      </c>
      <c r="B1536" s="1" t="n">
        <v>45800.5334375</v>
      </c>
      <c r="C1536" s="1" t="n">
        <v>46098</v>
      </c>
      <c r="D1536" t="inlineStr">
        <is>
          <t>UPPSALA LÄN</t>
        </is>
      </c>
      <c r="E1536" t="inlineStr">
        <is>
          <t>ÄLVKARLEBY</t>
        </is>
      </c>
      <c r="F1536" t="inlineStr">
        <is>
          <t>Bergvik skog väst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53324-2025</t>
        </is>
      </c>
      <c r="B1537" s="1" t="n">
        <v>45959.36146990741</v>
      </c>
      <c r="C1537" s="1" t="n">
        <v>46098</v>
      </c>
      <c r="D1537" t="inlineStr">
        <is>
          <t>UPPSALA LÄN</t>
        </is>
      </c>
      <c r="E1537" t="inlineStr">
        <is>
          <t>UPPSALA</t>
        </is>
      </c>
      <c r="F1537" t="inlineStr">
        <is>
          <t>Bergvik skog öst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53737-2025</t>
        </is>
      </c>
      <c r="B1538" s="1" t="n">
        <v>45960.64520833334</v>
      </c>
      <c r="C1538" s="1" t="n">
        <v>46098</v>
      </c>
      <c r="D1538" t="inlineStr">
        <is>
          <t>UPPSALA LÄN</t>
        </is>
      </c>
      <c r="E1538" t="inlineStr">
        <is>
          <t>ÖSTHAMMAR</t>
        </is>
      </c>
      <c r="F1538" t="inlineStr">
        <is>
          <t>Bergvik skog öst AB</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54393-2025</t>
        </is>
      </c>
      <c r="B1539" s="1" t="n">
        <v>45965</v>
      </c>
      <c r="C1539" s="1" t="n">
        <v>46098</v>
      </c>
      <c r="D1539" t="inlineStr">
        <is>
          <t>UPPSALA LÄN</t>
        </is>
      </c>
      <c r="E1539" t="inlineStr">
        <is>
          <t>UPPSALA</t>
        </is>
      </c>
      <c r="F1539" t="inlineStr">
        <is>
          <t>Kyrkan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54541-2025</t>
        </is>
      </c>
      <c r="B1540" s="1" t="n">
        <v>45965.64733796296</v>
      </c>
      <c r="C1540" s="1" t="n">
        <v>46098</v>
      </c>
      <c r="D1540" t="inlineStr">
        <is>
          <t>UPPSALA LÄN</t>
        </is>
      </c>
      <c r="E1540" t="inlineStr">
        <is>
          <t>ENKÖPING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54284-2025</t>
        </is>
      </c>
      <c r="B1541" s="1" t="n">
        <v>45964.76486111111</v>
      </c>
      <c r="C1541" s="1" t="n">
        <v>46098</v>
      </c>
      <c r="D1541" t="inlineStr">
        <is>
          <t>UPPSALA LÄN</t>
        </is>
      </c>
      <c r="E1541" t="inlineStr">
        <is>
          <t>UPPSALA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54263-2025</t>
        </is>
      </c>
      <c r="B1542" s="1" t="n">
        <v>45964.66271990741</v>
      </c>
      <c r="C1542" s="1" t="n">
        <v>46098</v>
      </c>
      <c r="D1542" t="inlineStr">
        <is>
          <t>UPPSALA LÄN</t>
        </is>
      </c>
      <c r="E1542" t="inlineStr">
        <is>
          <t>ENKÖPING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25674-2025</t>
        </is>
      </c>
      <c r="B1543" s="1" t="n">
        <v>45803.63395833333</v>
      </c>
      <c r="C1543" s="1" t="n">
        <v>46098</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14170-2025</t>
        </is>
      </c>
      <c r="B1544" s="1" t="n">
        <v>45740.51895833333</v>
      </c>
      <c r="C1544" s="1" t="n">
        <v>46098</v>
      </c>
      <c r="D1544" t="inlineStr">
        <is>
          <t>UPPSALA LÄN</t>
        </is>
      </c>
      <c r="E1544" t="inlineStr">
        <is>
          <t>ÖSTHAMMAR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54242-2025</t>
        </is>
      </c>
      <c r="B1545" s="1" t="n">
        <v>45964.63251157408</v>
      </c>
      <c r="C1545" s="1" t="n">
        <v>46098</v>
      </c>
      <c r="D1545" t="inlineStr">
        <is>
          <t>UPPSALA LÄN</t>
        </is>
      </c>
      <c r="E1545" t="inlineStr">
        <is>
          <t>ÖSTHAMMAR</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52197-2024</t>
        </is>
      </c>
      <c r="B1546" s="1" t="n">
        <v>45608</v>
      </c>
      <c r="C1546" s="1" t="n">
        <v>46098</v>
      </c>
      <c r="D1546" t="inlineStr">
        <is>
          <t>UPPSALA LÄN</t>
        </is>
      </c>
      <c r="E1546" t="inlineStr">
        <is>
          <t>UPPSALA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54458-2025</t>
        </is>
      </c>
      <c r="B1547" s="1" t="n">
        <v>45965.55327546296</v>
      </c>
      <c r="C1547" s="1" t="n">
        <v>46098</v>
      </c>
      <c r="D1547" t="inlineStr">
        <is>
          <t>UPPSALA LÄN</t>
        </is>
      </c>
      <c r="E1547" t="inlineStr">
        <is>
          <t>TIERP</t>
        </is>
      </c>
      <c r="F1547" t="inlineStr">
        <is>
          <t>Bergvik skog öst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6628-2024</t>
        </is>
      </c>
      <c r="B1548" s="1" t="n">
        <v>45341</v>
      </c>
      <c r="C1548" s="1" t="n">
        <v>46098</v>
      </c>
      <c r="D1548" t="inlineStr">
        <is>
          <t>UPPSALA LÄN</t>
        </is>
      </c>
      <c r="E1548" t="inlineStr">
        <is>
          <t>UPPSALA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58297-2024</t>
        </is>
      </c>
      <c r="B1549" s="1" t="n">
        <v>45632.59780092593</v>
      </c>
      <c r="C1549" s="1" t="n">
        <v>46098</v>
      </c>
      <c r="D1549" t="inlineStr">
        <is>
          <t>UPPSALA LÄN</t>
        </is>
      </c>
      <c r="E1549" t="inlineStr">
        <is>
          <t>ÖSTHAMMAR</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19896-2022</t>
        </is>
      </c>
      <c r="B1550" s="1" t="n">
        <v>44697.39297453704</v>
      </c>
      <c r="C1550" s="1" t="n">
        <v>46098</v>
      </c>
      <c r="D1550" t="inlineStr">
        <is>
          <t>UPPSALA LÄN</t>
        </is>
      </c>
      <c r="E1550" t="inlineStr">
        <is>
          <t>HEBY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15264-2025</t>
        </is>
      </c>
      <c r="B1551" s="1" t="n">
        <v>45744</v>
      </c>
      <c r="C1551" s="1" t="n">
        <v>46098</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54592-2025</t>
        </is>
      </c>
      <c r="B1552" s="1" t="n">
        <v>45965.74545138889</v>
      </c>
      <c r="C1552" s="1" t="n">
        <v>46098</v>
      </c>
      <c r="D1552" t="inlineStr">
        <is>
          <t>UPPSALA LÄN</t>
        </is>
      </c>
      <c r="E1552" t="inlineStr">
        <is>
          <t>ÖSTHAMMAR</t>
        </is>
      </c>
      <c r="F1552" t="inlineStr">
        <is>
          <t>Bergvik skog öst AB</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42105-2025</t>
        </is>
      </c>
      <c r="B1553" s="1" t="n">
        <v>45903</v>
      </c>
      <c r="C1553" s="1" t="n">
        <v>46098</v>
      </c>
      <c r="D1553" t="inlineStr">
        <is>
          <t>UPPSALA LÄN</t>
        </is>
      </c>
      <c r="E1553" t="inlineStr">
        <is>
          <t>TIERP</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42106-2025</t>
        </is>
      </c>
      <c r="B1554" s="1" t="n">
        <v>45903</v>
      </c>
      <c r="C1554" s="1" t="n">
        <v>46098</v>
      </c>
      <c r="D1554" t="inlineStr">
        <is>
          <t>UPPSALA LÄN</t>
        </is>
      </c>
      <c r="E1554" t="inlineStr">
        <is>
          <t>TIERP</t>
        </is>
      </c>
      <c r="F1554" t="inlineStr">
        <is>
          <t>Bergvik skog väst AB</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54553-2025</t>
        </is>
      </c>
      <c r="B1555" s="1" t="n">
        <v>45965.65832175926</v>
      </c>
      <c r="C1555" s="1" t="n">
        <v>46098</v>
      </c>
      <c r="D1555" t="inlineStr">
        <is>
          <t>UPPSALA LÄN</t>
        </is>
      </c>
      <c r="E1555" t="inlineStr">
        <is>
          <t>TIERP</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54534-2025</t>
        </is>
      </c>
      <c r="B1556" s="1" t="n">
        <v>45965.63770833334</v>
      </c>
      <c r="C1556" s="1" t="n">
        <v>46098</v>
      </c>
      <c r="D1556" t="inlineStr">
        <is>
          <t>UPPSALA LÄN</t>
        </is>
      </c>
      <c r="E1556" t="inlineStr">
        <is>
          <t>TIERP</t>
        </is>
      </c>
      <c r="F1556" t="inlineStr">
        <is>
          <t>Bergvik skog väst AB</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24401-2025</t>
        </is>
      </c>
      <c r="B1557" s="1" t="n">
        <v>45797.64908564815</v>
      </c>
      <c r="C1557" s="1" t="n">
        <v>46098</v>
      </c>
      <c r="D1557" t="inlineStr">
        <is>
          <t>UPPSALA LÄN</t>
        </is>
      </c>
      <c r="E1557" t="inlineStr">
        <is>
          <t>ÖSTHAMMAR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24408-2025</t>
        </is>
      </c>
      <c r="B1558" s="1" t="n">
        <v>45797.65774305556</v>
      </c>
      <c r="C1558" s="1" t="n">
        <v>46098</v>
      </c>
      <c r="D1558" t="inlineStr">
        <is>
          <t>UPPSALA LÄN</t>
        </is>
      </c>
      <c r="E1558" t="inlineStr">
        <is>
          <t>ÖSTHAMMAR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26024-2025</t>
        </is>
      </c>
      <c r="B1559" s="1" t="n">
        <v>45804.6831712963</v>
      </c>
      <c r="C1559" s="1" t="n">
        <v>46098</v>
      </c>
      <c r="D1559" t="inlineStr">
        <is>
          <t>UPPSALA LÄN</t>
        </is>
      </c>
      <c r="E1559" t="inlineStr">
        <is>
          <t>ENKÖPING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26042-2025</t>
        </is>
      </c>
      <c r="B1560" s="1" t="n">
        <v>45804.70018518518</v>
      </c>
      <c r="C1560" s="1" t="n">
        <v>46098</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42084-2025</t>
        </is>
      </c>
      <c r="B1561" s="1" t="n">
        <v>45903.69096064815</v>
      </c>
      <c r="C1561" s="1" t="n">
        <v>46098</v>
      </c>
      <c r="D1561" t="inlineStr">
        <is>
          <t>UPPSALA LÄN</t>
        </is>
      </c>
      <c r="E1561" t="inlineStr">
        <is>
          <t>UPPSALA</t>
        </is>
      </c>
      <c r="F1561" t="inlineStr">
        <is>
          <t>Bergvik skog öst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26100-2025</t>
        </is>
      </c>
      <c r="B1562" s="1" t="n">
        <v>45805.35634259259</v>
      </c>
      <c r="C1562" s="1" t="n">
        <v>46098</v>
      </c>
      <c r="D1562" t="inlineStr">
        <is>
          <t>UPPSALA LÄN</t>
        </is>
      </c>
      <c r="E1562" t="inlineStr">
        <is>
          <t>HEBY</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26330-2025</t>
        </is>
      </c>
      <c r="B1563" s="1" t="n">
        <v>45805.68263888889</v>
      </c>
      <c r="C1563" s="1" t="n">
        <v>46098</v>
      </c>
      <c r="D1563" t="inlineStr">
        <is>
          <t>UPPSALA LÄN</t>
        </is>
      </c>
      <c r="E1563" t="inlineStr">
        <is>
          <t>ÖSTHAMMAR</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42029-2025</t>
        </is>
      </c>
      <c r="B1564" s="1" t="n">
        <v>45903</v>
      </c>
      <c r="C1564" s="1" t="n">
        <v>46098</v>
      </c>
      <c r="D1564" t="inlineStr">
        <is>
          <t>UPPSALA LÄN</t>
        </is>
      </c>
      <c r="E1564" t="inlineStr">
        <is>
          <t>ENKÖPING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26005-2025</t>
        </is>
      </c>
      <c r="B1565" s="1" t="n">
        <v>45804.67055555555</v>
      </c>
      <c r="C1565" s="1" t="n">
        <v>46098</v>
      </c>
      <c r="D1565" t="inlineStr">
        <is>
          <t>UPPSALA LÄN</t>
        </is>
      </c>
      <c r="E1565" t="inlineStr">
        <is>
          <t>ENKÖPING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26026-2025</t>
        </is>
      </c>
      <c r="B1566" s="1" t="n">
        <v>45804.68510416667</v>
      </c>
      <c r="C1566" s="1" t="n">
        <v>46098</v>
      </c>
      <c r="D1566" t="inlineStr">
        <is>
          <t>UPPSALA LÄN</t>
        </is>
      </c>
      <c r="E1566" t="inlineStr">
        <is>
          <t>ENKÖPING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26030-2025</t>
        </is>
      </c>
      <c r="B1567" s="1" t="n">
        <v>45804.68815972222</v>
      </c>
      <c r="C1567" s="1" t="n">
        <v>46098</v>
      </c>
      <c r="D1567" t="inlineStr">
        <is>
          <t>UPPSALA LÄN</t>
        </is>
      </c>
      <c r="E1567" t="inlineStr">
        <is>
          <t>ENKÖPING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25927-2025</t>
        </is>
      </c>
      <c r="B1568" s="1" t="n">
        <v>45804.57641203704</v>
      </c>
      <c r="C1568" s="1" t="n">
        <v>46098</v>
      </c>
      <c r="D1568" t="inlineStr">
        <is>
          <t>UPPSALA LÄN</t>
        </is>
      </c>
      <c r="E1568" t="inlineStr">
        <is>
          <t>TIERP</t>
        </is>
      </c>
      <c r="F1568" t="inlineStr">
        <is>
          <t>Bergvik skog öst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54212-2025</t>
        </is>
      </c>
      <c r="B1569" s="1" t="n">
        <v>45964.59248842593</v>
      </c>
      <c r="C1569" s="1" t="n">
        <v>46098</v>
      </c>
      <c r="D1569" t="inlineStr">
        <is>
          <t>UPPSALA LÄN</t>
        </is>
      </c>
      <c r="E1569" t="inlineStr">
        <is>
          <t>HEBY</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41765-2025</t>
        </is>
      </c>
      <c r="B1570" s="1" t="n">
        <v>45902</v>
      </c>
      <c r="C1570" s="1" t="n">
        <v>46098</v>
      </c>
      <c r="D1570" t="inlineStr">
        <is>
          <t>UPPSALA LÄN</t>
        </is>
      </c>
      <c r="E1570" t="inlineStr">
        <is>
          <t>ENKÖPING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26022-2025</t>
        </is>
      </c>
      <c r="B1571" s="1" t="n">
        <v>45804.68006944445</v>
      </c>
      <c r="C1571" s="1" t="n">
        <v>46098</v>
      </c>
      <c r="D1571" t="inlineStr">
        <is>
          <t>UPPSALA LÄN</t>
        </is>
      </c>
      <c r="E1571" t="inlineStr">
        <is>
          <t>ENKÖPING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25988-2025</t>
        </is>
      </c>
      <c r="B1572" s="1" t="n">
        <v>45804.64814814815</v>
      </c>
      <c r="C1572" s="1" t="n">
        <v>46098</v>
      </c>
      <c r="D1572" t="inlineStr">
        <is>
          <t>UPPSALA LÄN</t>
        </is>
      </c>
      <c r="E1572" t="inlineStr">
        <is>
          <t>ENKÖPING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41847-2025</t>
        </is>
      </c>
      <c r="B1573" s="1" t="n">
        <v>45902.75265046296</v>
      </c>
      <c r="C1573" s="1" t="n">
        <v>46098</v>
      </c>
      <c r="D1573" t="inlineStr">
        <is>
          <t>UPPSALA LÄN</t>
        </is>
      </c>
      <c r="E1573" t="inlineStr">
        <is>
          <t>ÄLVKARLEBY</t>
        </is>
      </c>
      <c r="F1573" t="inlineStr">
        <is>
          <t>Bergvik skog väst AB</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54482-2025</t>
        </is>
      </c>
      <c r="B1574" s="1" t="n">
        <v>45965.58917824074</v>
      </c>
      <c r="C1574" s="1" t="n">
        <v>46098</v>
      </c>
      <c r="D1574" t="inlineStr">
        <is>
          <t>UPPSALA LÄN</t>
        </is>
      </c>
      <c r="E1574" t="inlineStr">
        <is>
          <t>TIERP</t>
        </is>
      </c>
      <c r="F1574" t="inlineStr">
        <is>
          <t>Bergvik skog öst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26031-2025</t>
        </is>
      </c>
      <c r="B1575" s="1" t="n">
        <v>45804.69050925926</v>
      </c>
      <c r="C1575" s="1" t="n">
        <v>46098</v>
      </c>
      <c r="D1575" t="inlineStr">
        <is>
          <t>UPPSALA LÄN</t>
        </is>
      </c>
      <c r="E1575" t="inlineStr">
        <is>
          <t>ENKÖPING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26040-2025</t>
        </is>
      </c>
      <c r="B1576" s="1" t="n">
        <v>45804.69550925926</v>
      </c>
      <c r="C1576" s="1" t="n">
        <v>46098</v>
      </c>
      <c r="D1576" t="inlineStr">
        <is>
          <t>UPPSALA LÄN</t>
        </is>
      </c>
      <c r="E1576" t="inlineStr">
        <is>
          <t>TIERP</t>
        </is>
      </c>
      <c r="F1576" t="inlineStr">
        <is>
          <t>Bergvik skog öst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54318-2025</t>
        </is>
      </c>
      <c r="B1577" s="1" t="n">
        <v>45965.33782407407</v>
      </c>
      <c r="C1577" s="1" t="n">
        <v>46098</v>
      </c>
      <c r="D1577" t="inlineStr">
        <is>
          <t>UPPSALA LÄN</t>
        </is>
      </c>
      <c r="E1577" t="inlineStr">
        <is>
          <t>HEBY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26321-2025</t>
        </is>
      </c>
      <c r="B1578" s="1" t="n">
        <v>45805</v>
      </c>
      <c r="C1578" s="1" t="n">
        <v>46098</v>
      </c>
      <c r="D1578" t="inlineStr">
        <is>
          <t>UPPSALA LÄN</t>
        </is>
      </c>
      <c r="E1578" t="inlineStr">
        <is>
          <t>TIERP</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26319-2025</t>
        </is>
      </c>
      <c r="B1579" s="1" t="n">
        <v>45805.65960648148</v>
      </c>
      <c r="C1579" s="1" t="n">
        <v>46098</v>
      </c>
      <c r="D1579" t="inlineStr">
        <is>
          <t>UPPSALA LÄN</t>
        </is>
      </c>
      <c r="E1579" t="inlineStr">
        <is>
          <t>ÖSTHAMMAR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54507-2025</t>
        </is>
      </c>
      <c r="B1580" s="1" t="n">
        <v>45965.61792824074</v>
      </c>
      <c r="C1580" s="1" t="n">
        <v>46098</v>
      </c>
      <c r="D1580" t="inlineStr">
        <is>
          <t>UPPSALA LÄN</t>
        </is>
      </c>
      <c r="E1580" t="inlineStr">
        <is>
          <t>UPPSALA</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36830-2024</t>
        </is>
      </c>
      <c r="B1581" s="1" t="n">
        <v>45538</v>
      </c>
      <c r="C1581" s="1" t="n">
        <v>46098</v>
      </c>
      <c r="D1581" t="inlineStr">
        <is>
          <t>UPPSALA LÄN</t>
        </is>
      </c>
      <c r="E1581" t="inlineStr">
        <is>
          <t>TIERP</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42085-2025</t>
        </is>
      </c>
      <c r="B1582" s="1" t="n">
        <v>45903.69358796296</v>
      </c>
      <c r="C1582" s="1" t="n">
        <v>46098</v>
      </c>
      <c r="D1582" t="inlineStr">
        <is>
          <t>UPPSALA LÄN</t>
        </is>
      </c>
      <c r="E1582" t="inlineStr">
        <is>
          <t>UPPSALA</t>
        </is>
      </c>
      <c r="F1582" t="inlineStr">
        <is>
          <t>Bergvik skog öst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26130-2025</t>
        </is>
      </c>
      <c r="B1583" s="1" t="n">
        <v>45805.4094675926</v>
      </c>
      <c r="C1583" s="1" t="n">
        <v>46098</v>
      </c>
      <c r="D1583" t="inlineStr">
        <is>
          <t>UPPSALA LÄN</t>
        </is>
      </c>
      <c r="E1583" t="inlineStr">
        <is>
          <t>UPPSALA</t>
        </is>
      </c>
      <c r="F1583" t="inlineStr">
        <is>
          <t>Bergvik skog öst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26556-2025</t>
        </is>
      </c>
      <c r="B1584" s="1" t="n">
        <v>45807.62752314815</v>
      </c>
      <c r="C1584" s="1" t="n">
        <v>46098</v>
      </c>
      <c r="D1584" t="inlineStr">
        <is>
          <t>UPPSALA LÄN</t>
        </is>
      </c>
      <c r="E1584" t="inlineStr">
        <is>
          <t>TIERP</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41707-2025</t>
        </is>
      </c>
      <c r="B1585" s="1" t="n">
        <v>45902.42243055555</v>
      </c>
      <c r="C1585" s="1" t="n">
        <v>46098</v>
      </c>
      <c r="D1585" t="inlineStr">
        <is>
          <t>UPPSALA LÄN</t>
        </is>
      </c>
      <c r="E1585" t="inlineStr">
        <is>
          <t>UPPSALA</t>
        </is>
      </c>
      <c r="F1585" t="inlineStr">
        <is>
          <t>Allmännings- och besparingsskogar</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16802-2025</t>
        </is>
      </c>
      <c r="B1586" s="1" t="n">
        <v>45754</v>
      </c>
      <c r="C1586" s="1" t="n">
        <v>46098</v>
      </c>
      <c r="D1586" t="inlineStr">
        <is>
          <t>UPPSALA LÄN</t>
        </is>
      </c>
      <c r="E1586" t="inlineStr">
        <is>
          <t>TIERP</t>
        </is>
      </c>
      <c r="F1586" t="inlineStr">
        <is>
          <t>Bergvik skog väst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54550-2025</t>
        </is>
      </c>
      <c r="B1587" s="1" t="n">
        <v>45965.6553125</v>
      </c>
      <c r="C1587" s="1" t="n">
        <v>46098</v>
      </c>
      <c r="D1587" t="inlineStr">
        <is>
          <t>UPPSALA LÄN</t>
        </is>
      </c>
      <c r="E1587" t="inlineStr">
        <is>
          <t>TIERP</t>
        </is>
      </c>
      <c r="F1587" t="inlineStr">
        <is>
          <t>Bergvik skog väst AB</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14004-2025</t>
        </is>
      </c>
      <c r="B1588" s="1" t="n">
        <v>45740.2997337963</v>
      </c>
      <c r="C1588" s="1" t="n">
        <v>46098</v>
      </c>
      <c r="D1588" t="inlineStr">
        <is>
          <t>UPPSALA LÄN</t>
        </is>
      </c>
      <c r="E1588" t="inlineStr">
        <is>
          <t>ÄLVKARLEBY</t>
        </is>
      </c>
      <c r="F1588" t="inlineStr">
        <is>
          <t>Bergvik skog öst AB</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25953-2025</t>
        </is>
      </c>
      <c r="B1589" s="1" t="n">
        <v>45804.60184027778</v>
      </c>
      <c r="C1589" s="1" t="n">
        <v>46098</v>
      </c>
      <c r="D1589" t="inlineStr">
        <is>
          <t>UPPSALA LÄN</t>
        </is>
      </c>
      <c r="E1589" t="inlineStr">
        <is>
          <t>TIERP</t>
        </is>
      </c>
      <c r="F1589" t="inlineStr">
        <is>
          <t>Bergvik skog öst AB</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25969-2025</t>
        </is>
      </c>
      <c r="B1590" s="1" t="n">
        <v>45804.62568287037</v>
      </c>
      <c r="C1590" s="1" t="n">
        <v>46098</v>
      </c>
      <c r="D1590" t="inlineStr">
        <is>
          <t>UPPSALA LÄN</t>
        </is>
      </c>
      <c r="E1590" t="inlineStr">
        <is>
          <t>HEBY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26041-2025</t>
        </is>
      </c>
      <c r="B1591" s="1" t="n">
        <v>45804.69883101852</v>
      </c>
      <c r="C1591" s="1" t="n">
        <v>46098</v>
      </c>
      <c r="D1591" t="inlineStr">
        <is>
          <t>UPPSALA LÄN</t>
        </is>
      </c>
      <c r="E1591" t="inlineStr">
        <is>
          <t>ENKÖPING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42541-2025</t>
        </is>
      </c>
      <c r="B1592" s="1" t="n">
        <v>45905.5756712963</v>
      </c>
      <c r="C1592" s="1" t="n">
        <v>46098</v>
      </c>
      <c r="D1592" t="inlineStr">
        <is>
          <t>UPPSALA LÄN</t>
        </is>
      </c>
      <c r="E1592" t="inlineStr">
        <is>
          <t>UPPSALA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26055-2025</t>
        </is>
      </c>
      <c r="B1593" s="1" t="n">
        <v>45804.77559027778</v>
      </c>
      <c r="C1593" s="1" t="n">
        <v>46098</v>
      </c>
      <c r="D1593" t="inlineStr">
        <is>
          <t>UPPSALA LÄN</t>
        </is>
      </c>
      <c r="E1593" t="inlineStr">
        <is>
          <t>ÖSTHAMMAR</t>
        </is>
      </c>
      <c r="F1593" t="inlineStr">
        <is>
          <t>Bergvik skog väst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26139-2025</t>
        </is>
      </c>
      <c r="B1594" s="1" t="n">
        <v>45805.41813657407</v>
      </c>
      <c r="C1594" s="1" t="n">
        <v>46098</v>
      </c>
      <c r="D1594" t="inlineStr">
        <is>
          <t>UPPSALA LÄN</t>
        </is>
      </c>
      <c r="E1594" t="inlineStr">
        <is>
          <t>UPPSALA</t>
        </is>
      </c>
      <c r="F1594" t="inlineStr">
        <is>
          <t>Holmen skog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26141-2025</t>
        </is>
      </c>
      <c r="B1595" s="1" t="n">
        <v>45805.4255787037</v>
      </c>
      <c r="C1595" s="1" t="n">
        <v>46098</v>
      </c>
      <c r="D1595" t="inlineStr">
        <is>
          <t>UPPSALA LÄN</t>
        </is>
      </c>
      <c r="E1595" t="inlineStr">
        <is>
          <t>UPPSALA</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55019-2025</t>
        </is>
      </c>
      <c r="B1596" s="1" t="n">
        <v>45967.62597222222</v>
      </c>
      <c r="C1596" s="1" t="n">
        <v>46098</v>
      </c>
      <c r="D1596" t="inlineStr">
        <is>
          <t>UPPSALA LÄN</t>
        </is>
      </c>
      <c r="E1596" t="inlineStr">
        <is>
          <t>HEBY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55021-2025</t>
        </is>
      </c>
      <c r="B1597" s="1" t="n">
        <v>45967.628125</v>
      </c>
      <c r="C1597" s="1" t="n">
        <v>46098</v>
      </c>
      <c r="D1597" t="inlineStr">
        <is>
          <t>UPPSALA LÄN</t>
        </is>
      </c>
      <c r="E1597" t="inlineStr">
        <is>
          <t>HEBY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54712-2025</t>
        </is>
      </c>
      <c r="B1598" s="1" t="n">
        <v>45966.50311342593</v>
      </c>
      <c r="C1598" s="1" t="n">
        <v>46098</v>
      </c>
      <c r="D1598" t="inlineStr">
        <is>
          <t>UPPSALA LÄN</t>
        </is>
      </c>
      <c r="E1598" t="inlineStr">
        <is>
          <t>TIERP</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54724-2025</t>
        </is>
      </c>
      <c r="B1599" s="1" t="n">
        <v>45966.53849537037</v>
      </c>
      <c r="C1599" s="1" t="n">
        <v>46098</v>
      </c>
      <c r="D1599" t="inlineStr">
        <is>
          <t>UPPSALA LÄN</t>
        </is>
      </c>
      <c r="E1599" t="inlineStr">
        <is>
          <t>UPPSALA</t>
        </is>
      </c>
      <c r="F1599" t="inlineStr">
        <is>
          <t>Bergvik skog öst AB</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26099-2025</t>
        </is>
      </c>
      <c r="B1600" s="1" t="n">
        <v>45805.35449074074</v>
      </c>
      <c r="C1600" s="1" t="n">
        <v>46098</v>
      </c>
      <c r="D1600" t="inlineStr">
        <is>
          <t>UPPSALA LÄN</t>
        </is>
      </c>
      <c r="E1600" t="inlineStr">
        <is>
          <t>HEBY</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26155-2025</t>
        </is>
      </c>
      <c r="B1601" s="1" t="n">
        <v>45805.43402777778</v>
      </c>
      <c r="C1601" s="1" t="n">
        <v>46098</v>
      </c>
      <c r="D1601" t="inlineStr">
        <is>
          <t>UPPSALA LÄN</t>
        </is>
      </c>
      <c r="E1601" t="inlineStr">
        <is>
          <t>UPPSALA</t>
        </is>
      </c>
      <c r="F1601" t="inlineStr">
        <is>
          <t>Holmen skog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47516-2022</t>
        </is>
      </c>
      <c r="B1602" s="1" t="n">
        <v>44853.68895833333</v>
      </c>
      <c r="C1602" s="1" t="n">
        <v>46098</v>
      </c>
      <c r="D1602" t="inlineStr">
        <is>
          <t>UPPSALA LÄN</t>
        </is>
      </c>
      <c r="E1602" t="inlineStr">
        <is>
          <t>ENKÖPING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24909-2025</t>
        </is>
      </c>
      <c r="B1603" s="1" t="n">
        <v>45799.53348379629</v>
      </c>
      <c r="C1603" s="1" t="n">
        <v>46098</v>
      </c>
      <c r="D1603" t="inlineStr">
        <is>
          <t>UPPSALA LÄN</t>
        </is>
      </c>
      <c r="E1603" t="inlineStr">
        <is>
          <t>UPPSALA</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26739-2025</t>
        </is>
      </c>
      <c r="B1604" s="1" t="n">
        <v>45809</v>
      </c>
      <c r="C1604" s="1" t="n">
        <v>46098</v>
      </c>
      <c r="D1604" t="inlineStr">
        <is>
          <t>UPPSALA LÄN</t>
        </is>
      </c>
      <c r="E1604" t="inlineStr">
        <is>
          <t>UPPSALA</t>
        </is>
      </c>
      <c r="F1604" t="inlineStr">
        <is>
          <t>Övriga Aktiebolag</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21686-2022</t>
        </is>
      </c>
      <c r="B1605" s="1" t="n">
        <v>44707</v>
      </c>
      <c r="C1605" s="1" t="n">
        <v>46098</v>
      </c>
      <c r="D1605" t="inlineStr">
        <is>
          <t>UPPSALA LÄN</t>
        </is>
      </c>
      <c r="E1605" t="inlineStr">
        <is>
          <t>ENKÖPING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25847-2025</t>
        </is>
      </c>
      <c r="B1606" s="1" t="n">
        <v>45804</v>
      </c>
      <c r="C1606" s="1" t="n">
        <v>46098</v>
      </c>
      <c r="D1606" t="inlineStr">
        <is>
          <t>UPPSALA LÄN</t>
        </is>
      </c>
      <c r="E1606" t="inlineStr">
        <is>
          <t>ENKÖPING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26226-2025</t>
        </is>
      </c>
      <c r="B1607" s="1" t="n">
        <v>45805.55829861111</v>
      </c>
      <c r="C1607" s="1" t="n">
        <v>46098</v>
      </c>
      <c r="D1607" t="inlineStr">
        <is>
          <t>UPPSALA LÄN</t>
        </is>
      </c>
      <c r="E1607" t="inlineStr">
        <is>
          <t>KNIVSTA</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25900-2025</t>
        </is>
      </c>
      <c r="B1608" s="1" t="n">
        <v>45804.54819444445</v>
      </c>
      <c r="C1608" s="1" t="n">
        <v>46098</v>
      </c>
      <c r="D1608" t="inlineStr">
        <is>
          <t>UPPSALA LÄN</t>
        </is>
      </c>
      <c r="E1608" t="inlineStr">
        <is>
          <t>TIERP</t>
        </is>
      </c>
      <c r="F1608" t="inlineStr">
        <is>
          <t>Bergvik skog öst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23890-2025</t>
        </is>
      </c>
      <c r="B1609" s="1" t="n">
        <v>45793</v>
      </c>
      <c r="C1609" s="1" t="n">
        <v>46098</v>
      </c>
      <c r="D1609" t="inlineStr">
        <is>
          <t>UPPSALA LÄN</t>
        </is>
      </c>
      <c r="E1609" t="inlineStr">
        <is>
          <t>HEBY</t>
        </is>
      </c>
      <c r="F1609" t="inlineStr">
        <is>
          <t>Bergvik skog väst AB</t>
        </is>
      </c>
      <c r="G1609" t="n">
        <v>35.2</v>
      </c>
      <c r="H1609" t="n">
        <v>0</v>
      </c>
      <c r="I1609" t="n">
        <v>0</v>
      </c>
      <c r="J1609" t="n">
        <v>0</v>
      </c>
      <c r="K1609" t="n">
        <v>0</v>
      </c>
      <c r="L1609" t="n">
        <v>0</v>
      </c>
      <c r="M1609" t="n">
        <v>0</v>
      </c>
      <c r="N1609" t="n">
        <v>0</v>
      </c>
      <c r="O1609" t="n">
        <v>0</v>
      </c>
      <c r="P1609" t="n">
        <v>0</v>
      </c>
      <c r="Q1609" t="n">
        <v>0</v>
      </c>
      <c r="R1609" s="2" t="inlineStr"/>
    </row>
    <row r="1610" ht="15" customHeight="1">
      <c r="A1610" t="inlineStr">
        <is>
          <t>A 54601-2025</t>
        </is>
      </c>
      <c r="B1610" s="1" t="n">
        <v>45965.82398148148</v>
      </c>
      <c r="C1610" s="1" t="n">
        <v>46098</v>
      </c>
      <c r="D1610" t="inlineStr">
        <is>
          <t>UPPSALA LÄN</t>
        </is>
      </c>
      <c r="E1610" t="inlineStr">
        <is>
          <t>UPPSALA</t>
        </is>
      </c>
      <c r="F1610" t="inlineStr">
        <is>
          <t>Bergvik skog öst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42347-2025</t>
        </is>
      </c>
      <c r="B1611" s="1" t="n">
        <v>45904.77746527778</v>
      </c>
      <c r="C1611" s="1" t="n">
        <v>46098</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12211-2025</t>
        </is>
      </c>
      <c r="B1612" s="1" t="n">
        <v>45729</v>
      </c>
      <c r="C1612" s="1" t="n">
        <v>46098</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54723-2025</t>
        </is>
      </c>
      <c r="B1613" s="1" t="n">
        <v>45966.53721064814</v>
      </c>
      <c r="C1613" s="1" t="n">
        <v>46098</v>
      </c>
      <c r="D1613" t="inlineStr">
        <is>
          <t>UPPSALA LÄN</t>
        </is>
      </c>
      <c r="E1613" t="inlineStr">
        <is>
          <t>UPPSALA</t>
        </is>
      </c>
      <c r="F1613" t="inlineStr">
        <is>
          <t>Bergvik skog öst AB</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58023-2022</t>
        </is>
      </c>
      <c r="B1614" s="1" t="n">
        <v>44900.54711805555</v>
      </c>
      <c r="C1614" s="1" t="n">
        <v>46098</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55018-2025</t>
        </is>
      </c>
      <c r="B1615" s="1" t="n">
        <v>45967.62387731481</v>
      </c>
      <c r="C1615" s="1" t="n">
        <v>46098</v>
      </c>
      <c r="D1615" t="inlineStr">
        <is>
          <t>UPPSALA LÄN</t>
        </is>
      </c>
      <c r="E1615" t="inlineStr">
        <is>
          <t>HEBY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23410-2024</t>
        </is>
      </c>
      <c r="B1616" s="1" t="n">
        <v>45453</v>
      </c>
      <c r="C1616" s="1" t="n">
        <v>46098</v>
      </c>
      <c r="D1616" t="inlineStr">
        <is>
          <t>UPPSALA LÄN</t>
        </is>
      </c>
      <c r="E1616" t="inlineStr">
        <is>
          <t>HEBY</t>
        </is>
      </c>
      <c r="F1616" t="inlineStr">
        <is>
          <t>Bergvik skog väst AB</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26047-2025</t>
        </is>
      </c>
      <c r="B1617" s="1" t="n">
        <v>45804.70835648148</v>
      </c>
      <c r="C1617" s="1" t="n">
        <v>46098</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26131-2025</t>
        </is>
      </c>
      <c r="B1618" s="1" t="n">
        <v>45805.41010416667</v>
      </c>
      <c r="C1618" s="1" t="n">
        <v>46098</v>
      </c>
      <c r="D1618" t="inlineStr">
        <is>
          <t>UPPSALA LÄN</t>
        </is>
      </c>
      <c r="E1618" t="inlineStr">
        <is>
          <t>UPPSALA</t>
        </is>
      </c>
      <c r="F1618" t="inlineStr">
        <is>
          <t>Bergvik skog öst AB</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54822-2025</t>
        </is>
      </c>
      <c r="B1619" s="1" t="n">
        <v>45966.65951388889</v>
      </c>
      <c r="C1619" s="1" t="n">
        <v>46098</v>
      </c>
      <c r="D1619" t="inlineStr">
        <is>
          <t>UPPSALA LÄN</t>
        </is>
      </c>
      <c r="E1619" t="inlineStr">
        <is>
          <t>HEBY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54844-2025</t>
        </is>
      </c>
      <c r="B1620" s="1" t="n">
        <v>45966.69570601852</v>
      </c>
      <c r="C1620" s="1" t="n">
        <v>46098</v>
      </c>
      <c r="D1620" t="inlineStr">
        <is>
          <t>UPPSALA LÄN</t>
        </is>
      </c>
      <c r="E1620" t="inlineStr">
        <is>
          <t>ENKÖPING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54653-2025</t>
        </is>
      </c>
      <c r="B1621" s="1" t="n">
        <v>45966.38270833333</v>
      </c>
      <c r="C1621" s="1" t="n">
        <v>46098</v>
      </c>
      <c r="D1621" t="inlineStr">
        <is>
          <t>UPPSALA LÄN</t>
        </is>
      </c>
      <c r="E1621" t="inlineStr">
        <is>
          <t>HEBY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18831-2023</t>
        </is>
      </c>
      <c r="B1622" s="1" t="n">
        <v>45044.40798611111</v>
      </c>
      <c r="C1622" s="1" t="n">
        <v>46098</v>
      </c>
      <c r="D1622" t="inlineStr">
        <is>
          <t>UPPSALA LÄN</t>
        </is>
      </c>
      <c r="E1622" t="inlineStr">
        <is>
          <t>ENKÖPING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25968-2025</t>
        </is>
      </c>
      <c r="B1623" s="1" t="n">
        <v>45804.62293981481</v>
      </c>
      <c r="C1623" s="1" t="n">
        <v>46098</v>
      </c>
      <c r="D1623" t="inlineStr">
        <is>
          <t>UPPSALA LÄN</t>
        </is>
      </c>
      <c r="E1623" t="inlineStr">
        <is>
          <t>HEBY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54600-2025</t>
        </is>
      </c>
      <c r="B1624" s="1" t="n">
        <v>45965.81543981482</v>
      </c>
      <c r="C1624" s="1" t="n">
        <v>46098</v>
      </c>
      <c r="D1624" t="inlineStr">
        <is>
          <t>UPPSALA LÄN</t>
        </is>
      </c>
      <c r="E1624" t="inlineStr">
        <is>
          <t>UPPSALA</t>
        </is>
      </c>
      <c r="F1624" t="inlineStr">
        <is>
          <t>Bergvik skog öst AB</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54647-2025</t>
        </is>
      </c>
      <c r="B1625" s="1" t="n">
        <v>45966.37258101852</v>
      </c>
      <c r="C1625" s="1" t="n">
        <v>46098</v>
      </c>
      <c r="D1625" t="inlineStr">
        <is>
          <t>UPPSALA LÄN</t>
        </is>
      </c>
      <c r="E1625" t="inlineStr">
        <is>
          <t>ÖSTHAMMAR</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51661-2022</t>
        </is>
      </c>
      <c r="B1626" s="1" t="n">
        <v>44872</v>
      </c>
      <c r="C1626" s="1" t="n">
        <v>46098</v>
      </c>
      <c r="D1626" t="inlineStr">
        <is>
          <t>UPPSALA LÄN</t>
        </is>
      </c>
      <c r="E1626" t="inlineStr">
        <is>
          <t>UPPSALA</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54615-2025</t>
        </is>
      </c>
      <c r="B1627" s="1" t="n">
        <v>45966.34025462963</v>
      </c>
      <c r="C1627" s="1" t="n">
        <v>46098</v>
      </c>
      <c r="D1627" t="inlineStr">
        <is>
          <t>UPPSALA LÄN</t>
        </is>
      </c>
      <c r="E1627" t="inlineStr">
        <is>
          <t>TIERP</t>
        </is>
      </c>
      <c r="F1627" t="inlineStr">
        <is>
          <t>Bergvik skog väst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26521-2025</t>
        </is>
      </c>
      <c r="B1628" s="1" t="n">
        <v>45807.56275462963</v>
      </c>
      <c r="C1628" s="1" t="n">
        <v>46098</v>
      </c>
      <c r="D1628" t="inlineStr">
        <is>
          <t>UPPSALA LÄN</t>
        </is>
      </c>
      <c r="E1628" t="inlineStr">
        <is>
          <t>ÖSTHAMMAR</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54635-2025</t>
        </is>
      </c>
      <c r="B1629" s="1" t="n">
        <v>45966.35333333333</v>
      </c>
      <c r="C1629" s="1" t="n">
        <v>46098</v>
      </c>
      <c r="D1629" t="inlineStr">
        <is>
          <t>UPPSALA LÄN</t>
        </is>
      </c>
      <c r="E1629" t="inlineStr">
        <is>
          <t>HEBY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26526-2025</t>
        </is>
      </c>
      <c r="B1630" s="1" t="n">
        <v>45807.56612268519</v>
      </c>
      <c r="C1630" s="1" t="n">
        <v>46098</v>
      </c>
      <c r="D1630" t="inlineStr">
        <is>
          <t>UPPSALA LÄN</t>
        </is>
      </c>
      <c r="E1630" t="inlineStr">
        <is>
          <t>ÖSTHAMMAR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23312-2025</t>
        </is>
      </c>
      <c r="B1631" s="1" t="n">
        <v>45791</v>
      </c>
      <c r="C1631" s="1" t="n">
        <v>46098</v>
      </c>
      <c r="D1631" t="inlineStr">
        <is>
          <t>UPPSALA LÄN</t>
        </is>
      </c>
      <c r="E1631" t="inlineStr">
        <is>
          <t>TIERP</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42102-2025</t>
        </is>
      </c>
      <c r="B1632" s="1" t="n">
        <v>45903.81962962963</v>
      </c>
      <c r="C1632" s="1" t="n">
        <v>46098</v>
      </c>
      <c r="D1632" t="inlineStr">
        <is>
          <t>UPPSALA LÄN</t>
        </is>
      </c>
      <c r="E1632" t="inlineStr">
        <is>
          <t>TIERP</t>
        </is>
      </c>
      <c r="F1632" t="inlineStr">
        <is>
          <t>Bergvik skog väst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24389-2025</t>
        </is>
      </c>
      <c r="B1633" s="1" t="n">
        <v>45797.63553240741</v>
      </c>
      <c r="C1633" s="1" t="n">
        <v>46098</v>
      </c>
      <c r="D1633" t="inlineStr">
        <is>
          <t>UPPSALA LÄN</t>
        </is>
      </c>
      <c r="E1633" t="inlineStr">
        <is>
          <t>ÖSTHAMMAR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27384-2025</t>
        </is>
      </c>
      <c r="B1634" s="1" t="n">
        <v>45812.6672337963</v>
      </c>
      <c r="C1634" s="1" t="n">
        <v>46098</v>
      </c>
      <c r="D1634" t="inlineStr">
        <is>
          <t>UPPSALA LÄN</t>
        </is>
      </c>
      <c r="E1634" t="inlineStr">
        <is>
          <t>ÖSTHAMMAR</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54758-2025</t>
        </is>
      </c>
      <c r="B1635" s="1" t="n">
        <v>45966.59737268519</v>
      </c>
      <c r="C1635" s="1" t="n">
        <v>46098</v>
      </c>
      <c r="D1635" t="inlineStr">
        <is>
          <t>UPPSALA LÄN</t>
        </is>
      </c>
      <c r="E1635" t="inlineStr">
        <is>
          <t>ENKÖPING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54626-2025</t>
        </is>
      </c>
      <c r="B1636" s="1" t="n">
        <v>45966.34560185186</v>
      </c>
      <c r="C1636" s="1" t="n">
        <v>46098</v>
      </c>
      <c r="D1636" t="inlineStr">
        <is>
          <t>UPPSALA LÄN</t>
        </is>
      </c>
      <c r="E1636" t="inlineStr">
        <is>
          <t>TIERP</t>
        </is>
      </c>
      <c r="F1636" t="inlineStr">
        <is>
          <t>Bergvik skog väst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54634-2025</t>
        </is>
      </c>
      <c r="B1637" s="1" t="n">
        <v>45966.35315972222</v>
      </c>
      <c r="C1637" s="1" t="n">
        <v>46098</v>
      </c>
      <c r="D1637" t="inlineStr">
        <is>
          <t>UPPSALA LÄN</t>
        </is>
      </c>
      <c r="E1637" t="inlineStr">
        <is>
          <t>TIERP</t>
        </is>
      </c>
      <c r="F1637" t="inlineStr">
        <is>
          <t>Bergvik skog väst AB</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34980-2024</t>
        </is>
      </c>
      <c r="B1638" s="1" t="n">
        <v>45527</v>
      </c>
      <c r="C1638" s="1" t="n">
        <v>46098</v>
      </c>
      <c r="D1638" t="inlineStr">
        <is>
          <t>UPPSALA LÄN</t>
        </is>
      </c>
      <c r="E1638" t="inlineStr">
        <is>
          <t>TIERP</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54649-2025</t>
        </is>
      </c>
      <c r="B1639" s="1" t="n">
        <v>45966.37548611111</v>
      </c>
      <c r="C1639" s="1" t="n">
        <v>46098</v>
      </c>
      <c r="D1639" t="inlineStr">
        <is>
          <t>UPPSALA LÄN</t>
        </is>
      </c>
      <c r="E1639" t="inlineStr">
        <is>
          <t>ÖSTHAMMAR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13676-2024</t>
        </is>
      </c>
      <c r="B1640" s="1" t="n">
        <v>45390.54846064815</v>
      </c>
      <c r="C1640" s="1" t="n">
        <v>46098</v>
      </c>
      <c r="D1640" t="inlineStr">
        <is>
          <t>UPPSALA LÄN</t>
        </is>
      </c>
      <c r="E1640" t="inlineStr">
        <is>
          <t>HEBY</t>
        </is>
      </c>
      <c r="G1640" t="n">
        <v>15.8</v>
      </c>
      <c r="H1640" t="n">
        <v>0</v>
      </c>
      <c r="I1640" t="n">
        <v>0</v>
      </c>
      <c r="J1640" t="n">
        <v>0</v>
      </c>
      <c r="K1640" t="n">
        <v>0</v>
      </c>
      <c r="L1640" t="n">
        <v>0</v>
      </c>
      <c r="M1640" t="n">
        <v>0</v>
      </c>
      <c r="N1640" t="n">
        <v>0</v>
      </c>
      <c r="O1640" t="n">
        <v>0</v>
      </c>
      <c r="P1640" t="n">
        <v>0</v>
      </c>
      <c r="Q1640" t="n">
        <v>0</v>
      </c>
      <c r="R1640" s="2" t="inlineStr"/>
    </row>
    <row r="1641" ht="15" customHeight="1">
      <c r="A1641" t="inlineStr">
        <is>
          <t>A 8199-2025</t>
        </is>
      </c>
      <c r="B1641" s="1" t="n">
        <v>45708</v>
      </c>
      <c r="C1641" s="1" t="n">
        <v>46098</v>
      </c>
      <c r="D1641" t="inlineStr">
        <is>
          <t>UPPSALA LÄN</t>
        </is>
      </c>
      <c r="E1641" t="inlineStr">
        <is>
          <t>HEBY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9758-2023</t>
        </is>
      </c>
      <c r="B1642" s="1" t="n">
        <v>44984.56869212963</v>
      </c>
      <c r="C1642" s="1" t="n">
        <v>46098</v>
      </c>
      <c r="D1642" t="inlineStr">
        <is>
          <t>UPPSALA LÄN</t>
        </is>
      </c>
      <c r="E1642" t="inlineStr">
        <is>
          <t>HEBY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42593-2025</t>
        </is>
      </c>
      <c r="B1643" s="1" t="n">
        <v>45905.64862268518</v>
      </c>
      <c r="C1643" s="1" t="n">
        <v>46098</v>
      </c>
      <c r="D1643" t="inlineStr">
        <is>
          <t>UPPSALA LÄN</t>
        </is>
      </c>
      <c r="E1643" t="inlineStr">
        <is>
          <t>UPPSALA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19009-2023</t>
        </is>
      </c>
      <c r="B1644" s="1" t="n">
        <v>45045</v>
      </c>
      <c r="C1644" s="1" t="n">
        <v>46098</v>
      </c>
      <c r="D1644" t="inlineStr">
        <is>
          <t>UPPSALA LÄN</t>
        </is>
      </c>
      <c r="E1644" t="inlineStr">
        <is>
          <t>ÖSTHAMMAR</t>
        </is>
      </c>
      <c r="F1644" t="inlineStr">
        <is>
          <t>Bergvik skog öst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26740-2025</t>
        </is>
      </c>
      <c r="B1645" s="1" t="n">
        <v>45809</v>
      </c>
      <c r="C1645" s="1" t="n">
        <v>46098</v>
      </c>
      <c r="D1645" t="inlineStr">
        <is>
          <t>UPPSALA LÄN</t>
        </is>
      </c>
      <c r="E1645" t="inlineStr">
        <is>
          <t>UPPSALA</t>
        </is>
      </c>
      <c r="F1645" t="inlineStr">
        <is>
          <t>Övriga Aktiebolag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49996-2023</t>
        </is>
      </c>
      <c r="B1646" s="1" t="n">
        <v>45215.44233796297</v>
      </c>
      <c r="C1646" s="1" t="n">
        <v>46098</v>
      </c>
      <c r="D1646" t="inlineStr">
        <is>
          <t>UPPSALA LÄN</t>
        </is>
      </c>
      <c r="E1646" t="inlineStr">
        <is>
          <t>UPPSALA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55567-2025</t>
        </is>
      </c>
      <c r="B1647" s="1" t="n">
        <v>45971.65589120371</v>
      </c>
      <c r="C1647" s="1" t="n">
        <v>46098</v>
      </c>
      <c r="D1647" t="inlineStr">
        <is>
          <t>UPPSALA LÄN</t>
        </is>
      </c>
      <c r="E1647" t="inlineStr">
        <is>
          <t>ENKÖPING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55571-2025</t>
        </is>
      </c>
      <c r="B1648" s="1" t="n">
        <v>45971.65747685185</v>
      </c>
      <c r="C1648" s="1" t="n">
        <v>46098</v>
      </c>
      <c r="D1648" t="inlineStr">
        <is>
          <t>UPPSALA LÄN</t>
        </is>
      </c>
      <c r="E1648" t="inlineStr">
        <is>
          <t>HEBY</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55574-2025</t>
        </is>
      </c>
      <c r="B1649" s="1" t="n">
        <v>45971.66030092593</v>
      </c>
      <c r="C1649" s="1" t="n">
        <v>46098</v>
      </c>
      <c r="D1649" t="inlineStr">
        <is>
          <t>UPPSALA LÄN</t>
        </is>
      </c>
      <c r="E1649" t="inlineStr">
        <is>
          <t>HEBY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26697-2025</t>
        </is>
      </c>
      <c r="B1650" s="1" t="n">
        <v>45810.44339120371</v>
      </c>
      <c r="C1650" s="1" t="n">
        <v>46098</v>
      </c>
      <c r="D1650" t="inlineStr">
        <is>
          <t>UPPSALA LÄN</t>
        </is>
      </c>
      <c r="E1650" t="inlineStr">
        <is>
          <t>UPPSALA</t>
        </is>
      </c>
      <c r="F1650" t="inlineStr">
        <is>
          <t>Bergvik skog öst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26713-2025</t>
        </is>
      </c>
      <c r="B1651" s="1" t="n">
        <v>45809</v>
      </c>
      <c r="C1651" s="1" t="n">
        <v>46098</v>
      </c>
      <c r="D1651" t="inlineStr">
        <is>
          <t>UPPSALA LÄN</t>
        </is>
      </c>
      <c r="E1651" t="inlineStr">
        <is>
          <t>UPPSALA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26738-2025</t>
        </is>
      </c>
      <c r="B1652" s="1" t="n">
        <v>45809</v>
      </c>
      <c r="C1652" s="1" t="n">
        <v>46098</v>
      </c>
      <c r="D1652" t="inlineStr">
        <is>
          <t>UPPSALA LÄN</t>
        </is>
      </c>
      <c r="E1652" t="inlineStr">
        <is>
          <t>UPPSALA</t>
        </is>
      </c>
      <c r="F1652" t="inlineStr">
        <is>
          <t>Övriga Aktiebolag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42134-2025</t>
        </is>
      </c>
      <c r="B1653" s="1" t="n">
        <v>45904</v>
      </c>
      <c r="C1653" s="1" t="n">
        <v>46098</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35067-2024</t>
        </is>
      </c>
      <c r="B1654" s="1" t="n">
        <v>45527.66153935185</v>
      </c>
      <c r="C1654" s="1" t="n">
        <v>46098</v>
      </c>
      <c r="D1654" t="inlineStr">
        <is>
          <t>UPPSALA LÄN</t>
        </is>
      </c>
      <c r="E1654" t="inlineStr">
        <is>
          <t>ENKÖPING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56795-2024</t>
        </is>
      </c>
      <c r="B1655" s="1" t="n">
        <v>45628.46144675926</v>
      </c>
      <c r="C1655" s="1" t="n">
        <v>46098</v>
      </c>
      <c r="D1655" t="inlineStr">
        <is>
          <t>UPPSALA LÄN</t>
        </is>
      </c>
      <c r="E1655" t="inlineStr">
        <is>
          <t>HEBY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15793-2025</t>
        </is>
      </c>
      <c r="B1656" s="1" t="n">
        <v>45748.6355787037</v>
      </c>
      <c r="C1656" s="1" t="n">
        <v>46098</v>
      </c>
      <c r="D1656" t="inlineStr">
        <is>
          <t>UPPSALA LÄN</t>
        </is>
      </c>
      <c r="E1656" t="inlineStr">
        <is>
          <t>TIERP</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55380-2025</t>
        </is>
      </c>
      <c r="B1657" s="1" t="n">
        <v>45971.42809027778</v>
      </c>
      <c r="C1657" s="1" t="n">
        <v>46098</v>
      </c>
      <c r="D1657" t="inlineStr">
        <is>
          <t>UPPSALA LÄN</t>
        </is>
      </c>
      <c r="E1657" t="inlineStr">
        <is>
          <t>HEBY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55594-2025</t>
        </is>
      </c>
      <c r="B1658" s="1" t="n">
        <v>45971.70613425926</v>
      </c>
      <c r="C1658" s="1" t="n">
        <v>46098</v>
      </c>
      <c r="D1658" t="inlineStr">
        <is>
          <t>UPPSALA LÄN</t>
        </is>
      </c>
      <c r="E1658" t="inlineStr">
        <is>
          <t>UPPSALA</t>
        </is>
      </c>
      <c r="F1658" t="inlineStr">
        <is>
          <t>Allmännings- och besparingsskogar</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27131-2025</t>
        </is>
      </c>
      <c r="B1659" s="1" t="n">
        <v>45811</v>
      </c>
      <c r="C1659" s="1" t="n">
        <v>46098</v>
      </c>
      <c r="D1659" t="inlineStr">
        <is>
          <t>UPPSALA LÄN</t>
        </is>
      </c>
      <c r="E1659" t="inlineStr">
        <is>
          <t>ÖSTHAMMAR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3466-2025</t>
        </is>
      </c>
      <c r="B1660" s="1" t="n">
        <v>45680.50231481482</v>
      </c>
      <c r="C1660" s="1" t="n">
        <v>46098</v>
      </c>
      <c r="D1660" t="inlineStr">
        <is>
          <t>UPPSALA LÄN</t>
        </is>
      </c>
      <c r="E1660" t="inlineStr">
        <is>
          <t>HEBY</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10394-2025</t>
        </is>
      </c>
      <c r="B1661" s="1" t="n">
        <v>45720.60410879629</v>
      </c>
      <c r="C1661" s="1" t="n">
        <v>46098</v>
      </c>
      <c r="D1661" t="inlineStr">
        <is>
          <t>UPPSALA LÄN</t>
        </is>
      </c>
      <c r="E1661" t="inlineStr">
        <is>
          <t>UPPSALA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5995-2023</t>
        </is>
      </c>
      <c r="B1662" s="1" t="n">
        <v>44964</v>
      </c>
      <c r="C1662" s="1" t="n">
        <v>46098</v>
      </c>
      <c r="D1662" t="inlineStr">
        <is>
          <t>UPPSALA LÄN</t>
        </is>
      </c>
      <c r="E1662" t="inlineStr">
        <is>
          <t>TIERP</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41764-2025</t>
        </is>
      </c>
      <c r="B1663" s="1" t="n">
        <v>45902</v>
      </c>
      <c r="C1663" s="1" t="n">
        <v>46098</v>
      </c>
      <c r="D1663" t="inlineStr">
        <is>
          <t>UPPSALA LÄN</t>
        </is>
      </c>
      <c r="E1663" t="inlineStr">
        <is>
          <t>ENKÖPING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55298-2025</t>
        </is>
      </c>
      <c r="B1664" s="1" t="n">
        <v>45969.76908564815</v>
      </c>
      <c r="C1664" s="1" t="n">
        <v>46098</v>
      </c>
      <c r="D1664" t="inlineStr">
        <is>
          <t>UPPSALA LÄN</t>
        </is>
      </c>
      <c r="E1664" t="inlineStr">
        <is>
          <t>ÖSTHAMMAR</t>
        </is>
      </c>
      <c r="F1664" t="inlineStr">
        <is>
          <t>Bergvik skog öst AB</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55250-2025</t>
        </is>
      </c>
      <c r="B1665" s="1" t="n">
        <v>45968.6285300926</v>
      </c>
      <c r="C1665" s="1" t="n">
        <v>46098</v>
      </c>
      <c r="D1665" t="inlineStr">
        <is>
          <t>UPPSALA LÄN</t>
        </is>
      </c>
      <c r="E1665" t="inlineStr">
        <is>
          <t>HEBY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26714-2025</t>
        </is>
      </c>
      <c r="B1666" s="1" t="n">
        <v>45810.47152777778</v>
      </c>
      <c r="C1666" s="1" t="n">
        <v>46098</v>
      </c>
      <c r="D1666" t="inlineStr">
        <is>
          <t>UPPSALA LÄN</t>
        </is>
      </c>
      <c r="E1666" t="inlineStr">
        <is>
          <t>TIERP</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27842-2025</t>
        </is>
      </c>
      <c r="B1667" s="1" t="n">
        <v>45817.38511574074</v>
      </c>
      <c r="C1667" s="1" t="n">
        <v>46098</v>
      </c>
      <c r="D1667" t="inlineStr">
        <is>
          <t>UPPSALA LÄN</t>
        </is>
      </c>
      <c r="E1667" t="inlineStr">
        <is>
          <t>HEBY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23494-2024</t>
        </is>
      </c>
      <c r="B1668" s="1" t="n">
        <v>45453.69339120371</v>
      </c>
      <c r="C1668" s="1" t="n">
        <v>46098</v>
      </c>
      <c r="D1668" t="inlineStr">
        <is>
          <t>UPPSALA LÄN</t>
        </is>
      </c>
      <c r="E1668" t="inlineStr">
        <is>
          <t>UPPSALA</t>
        </is>
      </c>
      <c r="F1668" t="inlineStr">
        <is>
          <t>Kyrkan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29570-2025</t>
        </is>
      </c>
      <c r="B1669" s="1" t="n">
        <v>45825</v>
      </c>
      <c r="C1669" s="1" t="n">
        <v>46098</v>
      </c>
      <c r="D1669" t="inlineStr">
        <is>
          <t>UPPSALA LÄN</t>
        </is>
      </c>
      <c r="E1669" t="inlineStr">
        <is>
          <t>HEBY</t>
        </is>
      </c>
      <c r="F1669" t="inlineStr">
        <is>
          <t>Bergvik skog väst AB</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32127-2024</t>
        </is>
      </c>
      <c r="B1670" s="1" t="n">
        <v>45511</v>
      </c>
      <c r="C1670" s="1" t="n">
        <v>46098</v>
      </c>
      <c r="D1670" t="inlineStr">
        <is>
          <t>UPPSALA LÄN</t>
        </is>
      </c>
      <c r="E1670" t="inlineStr">
        <is>
          <t>UPPSALA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7065-2024</t>
        </is>
      </c>
      <c r="B1671" s="1" t="n">
        <v>45343.66717592593</v>
      </c>
      <c r="C1671" s="1" t="n">
        <v>46098</v>
      </c>
      <c r="D1671" t="inlineStr">
        <is>
          <t>UPPSALA LÄN</t>
        </is>
      </c>
      <c r="E1671" t="inlineStr">
        <is>
          <t>TIERP</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28099-2025</t>
        </is>
      </c>
      <c r="B1672" s="1" t="n">
        <v>45817.82967592592</v>
      </c>
      <c r="C1672" s="1" t="n">
        <v>46098</v>
      </c>
      <c r="D1672" t="inlineStr">
        <is>
          <t>UPPSALA LÄN</t>
        </is>
      </c>
      <c r="E1672" t="inlineStr">
        <is>
          <t>ÖSTHAMMAR</t>
        </is>
      </c>
      <c r="F1672" t="inlineStr">
        <is>
          <t>Bergvik skog öst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49536-2024</t>
        </is>
      </c>
      <c r="B1673" s="1" t="n">
        <v>45596</v>
      </c>
      <c r="C1673" s="1" t="n">
        <v>46098</v>
      </c>
      <c r="D1673" t="inlineStr">
        <is>
          <t>UPPSALA LÄN</t>
        </is>
      </c>
      <c r="E1673" t="inlineStr">
        <is>
          <t>HEBY</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14884-2024</t>
        </is>
      </c>
      <c r="B1674" s="1" t="n">
        <v>45398.54893518519</v>
      </c>
      <c r="C1674" s="1" t="n">
        <v>46098</v>
      </c>
      <c r="D1674" t="inlineStr">
        <is>
          <t>UPPSALA LÄN</t>
        </is>
      </c>
      <c r="E1674" t="inlineStr">
        <is>
          <t>HEBY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42838-2025</t>
        </is>
      </c>
      <c r="B1675" s="1" t="n">
        <v>45908.58109953703</v>
      </c>
      <c r="C1675" s="1" t="n">
        <v>46098</v>
      </c>
      <c r="D1675" t="inlineStr">
        <is>
          <t>UPPSALA LÄN</t>
        </is>
      </c>
      <c r="E1675" t="inlineStr">
        <is>
          <t>TIERP</t>
        </is>
      </c>
      <c r="F1675" t="inlineStr">
        <is>
          <t>Bergvik skog öst AB</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26696-2025</t>
        </is>
      </c>
      <c r="B1676" s="1" t="n">
        <v>45810.44299768518</v>
      </c>
      <c r="C1676" s="1" t="n">
        <v>46098</v>
      </c>
      <c r="D1676" t="inlineStr">
        <is>
          <t>UPPSALA LÄN</t>
        </is>
      </c>
      <c r="E1676" t="inlineStr">
        <is>
          <t>UPPSALA</t>
        </is>
      </c>
      <c r="F1676" t="inlineStr">
        <is>
          <t>Bergvik skog öst AB</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55357-2025</t>
        </is>
      </c>
      <c r="B1677" s="1" t="n">
        <v>45971.37480324074</v>
      </c>
      <c r="C1677" s="1" t="n">
        <v>46098</v>
      </c>
      <c r="D1677" t="inlineStr">
        <is>
          <t>UPPSALA LÄN</t>
        </is>
      </c>
      <c r="E1677" t="inlineStr">
        <is>
          <t>UPPSALA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33366-2024</t>
        </is>
      </c>
      <c r="B1678" s="1" t="n">
        <v>45519.42024305555</v>
      </c>
      <c r="C1678" s="1" t="n">
        <v>46098</v>
      </c>
      <c r="D1678" t="inlineStr">
        <is>
          <t>UPPSALA LÄN</t>
        </is>
      </c>
      <c r="E1678" t="inlineStr">
        <is>
          <t>HEBY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27132-2025</t>
        </is>
      </c>
      <c r="B1679" s="1" t="n">
        <v>45811</v>
      </c>
      <c r="C1679" s="1" t="n">
        <v>46098</v>
      </c>
      <c r="D1679" t="inlineStr">
        <is>
          <t>UPPSALA LÄN</t>
        </is>
      </c>
      <c r="E1679" t="inlineStr">
        <is>
          <t>ÖSTHAMMAR</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55488-2025</t>
        </is>
      </c>
      <c r="B1680" s="1" t="n">
        <v>45971.57480324074</v>
      </c>
      <c r="C1680" s="1" t="n">
        <v>46098</v>
      </c>
      <c r="D1680" t="inlineStr">
        <is>
          <t>UPPSALA LÄN</t>
        </is>
      </c>
      <c r="E1680" t="inlineStr">
        <is>
          <t>HEBY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55496-2025</t>
        </is>
      </c>
      <c r="B1681" s="1" t="n">
        <v>45971.58236111111</v>
      </c>
      <c r="C1681" s="1" t="n">
        <v>46098</v>
      </c>
      <c r="D1681" t="inlineStr">
        <is>
          <t>UPPSALA LÄN</t>
        </is>
      </c>
      <c r="E1681" t="inlineStr">
        <is>
          <t>HEBY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51042-2024</t>
        </is>
      </c>
      <c r="B1682" s="1" t="n">
        <v>45603.4342824074</v>
      </c>
      <c r="C1682" s="1" t="n">
        <v>46098</v>
      </c>
      <c r="D1682" t="inlineStr">
        <is>
          <t>UPPSALA LÄN</t>
        </is>
      </c>
      <c r="E1682" t="inlineStr">
        <is>
          <t>ENKÖPING</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55163-2025</t>
        </is>
      </c>
      <c r="B1683" s="1" t="n">
        <v>45968.48032407407</v>
      </c>
      <c r="C1683" s="1" t="n">
        <v>46098</v>
      </c>
      <c r="D1683" t="inlineStr">
        <is>
          <t>UPPSALA LÄN</t>
        </is>
      </c>
      <c r="E1683" t="inlineStr">
        <is>
          <t>ÖSTHAMMAR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51037-2024</t>
        </is>
      </c>
      <c r="B1684" s="1" t="n">
        <v>45603.43005787037</v>
      </c>
      <c r="C1684" s="1" t="n">
        <v>46098</v>
      </c>
      <c r="D1684" t="inlineStr">
        <is>
          <t>UPPSALA LÄN</t>
        </is>
      </c>
      <c r="E1684" t="inlineStr">
        <is>
          <t>ENKÖPING</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42756-2025</t>
        </is>
      </c>
      <c r="B1685" s="1" t="n">
        <v>45908</v>
      </c>
      <c r="C1685" s="1" t="n">
        <v>46098</v>
      </c>
      <c r="D1685" t="inlineStr">
        <is>
          <t>UPPSALA LÄN</t>
        </is>
      </c>
      <c r="E1685" t="inlineStr">
        <is>
          <t>ENKÖPING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26830-2025</t>
        </is>
      </c>
      <c r="B1686" s="1" t="n">
        <v>45810.65658564815</v>
      </c>
      <c r="C1686" s="1" t="n">
        <v>46098</v>
      </c>
      <c r="D1686" t="inlineStr">
        <is>
          <t>UPPSALA LÄN</t>
        </is>
      </c>
      <c r="E1686" t="inlineStr">
        <is>
          <t>HEBY</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43011-2025</t>
        </is>
      </c>
      <c r="B1687" s="1" t="n">
        <v>45909.48989583334</v>
      </c>
      <c r="C1687" s="1" t="n">
        <v>46098</v>
      </c>
      <c r="D1687" t="inlineStr">
        <is>
          <t>UPPSALA LÄN</t>
        </is>
      </c>
      <c r="E1687" t="inlineStr">
        <is>
          <t>ÖSTHAMMAR</t>
        </is>
      </c>
      <c r="F1687" t="inlineStr">
        <is>
          <t>Övriga Aktiebolag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55665-2025</t>
        </is>
      </c>
      <c r="B1688" s="1" t="n">
        <v>45972.39640046296</v>
      </c>
      <c r="C1688" s="1" t="n">
        <v>46098</v>
      </c>
      <c r="D1688" t="inlineStr">
        <is>
          <t>UPPSALA LÄN</t>
        </is>
      </c>
      <c r="E1688" t="inlineStr">
        <is>
          <t>HEBY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26670-2025</t>
        </is>
      </c>
      <c r="B1689" s="1" t="n">
        <v>45810.41489583333</v>
      </c>
      <c r="C1689" s="1" t="n">
        <v>46098</v>
      </c>
      <c r="D1689" t="inlineStr">
        <is>
          <t>UPPSALA LÄN</t>
        </is>
      </c>
      <c r="E1689" t="inlineStr">
        <is>
          <t>ÄLVKARLEBY</t>
        </is>
      </c>
      <c r="F1689" t="inlineStr">
        <is>
          <t>Bergvik skog väst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15739-2025</t>
        </is>
      </c>
      <c r="B1690" s="1" t="n">
        <v>45748.54612268518</v>
      </c>
      <c r="C1690" s="1" t="n">
        <v>46098</v>
      </c>
      <c r="D1690" t="inlineStr">
        <is>
          <t>UPPSALA LÄN</t>
        </is>
      </c>
      <c r="E1690" t="inlineStr">
        <is>
          <t>ÄLVKARLEBY</t>
        </is>
      </c>
      <c r="F1690" t="inlineStr">
        <is>
          <t>Kyrkan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48757-2025</t>
        </is>
      </c>
      <c r="B1691" s="1" t="n">
        <v>45936.73660879629</v>
      </c>
      <c r="C1691" s="1" t="n">
        <v>46098</v>
      </c>
      <c r="D1691" t="inlineStr">
        <is>
          <t>UPPSALA LÄN</t>
        </is>
      </c>
      <c r="E1691" t="inlineStr">
        <is>
          <t>UPPSALA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43121-2025</t>
        </is>
      </c>
      <c r="B1692" s="1" t="n">
        <v>45909</v>
      </c>
      <c r="C1692" s="1" t="n">
        <v>46098</v>
      </c>
      <c r="D1692" t="inlineStr">
        <is>
          <t>UPPSALA LÄN</t>
        </is>
      </c>
      <c r="E1692" t="inlineStr">
        <is>
          <t>TIERP</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55763-2025</t>
        </is>
      </c>
      <c r="B1693" s="1" t="n">
        <v>45972.60763888889</v>
      </c>
      <c r="C1693" s="1" t="n">
        <v>46098</v>
      </c>
      <c r="D1693" t="inlineStr">
        <is>
          <t>UPPSALA LÄN</t>
        </is>
      </c>
      <c r="E1693" t="inlineStr">
        <is>
          <t>HEBY</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55810-2025</t>
        </is>
      </c>
      <c r="B1694" s="1" t="n">
        <v>45972.67861111111</v>
      </c>
      <c r="C1694" s="1" t="n">
        <v>46098</v>
      </c>
      <c r="D1694" t="inlineStr">
        <is>
          <t>UPPSALA LÄN</t>
        </is>
      </c>
      <c r="E1694" t="inlineStr">
        <is>
          <t>HEBY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56051-2025</t>
        </is>
      </c>
      <c r="B1695" s="1" t="n">
        <v>45973.63171296296</v>
      </c>
      <c r="C1695" s="1" t="n">
        <v>46098</v>
      </c>
      <c r="D1695" t="inlineStr">
        <is>
          <t>UPPSALA LÄN</t>
        </is>
      </c>
      <c r="E1695" t="inlineStr">
        <is>
          <t>TIERP</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5076-2025</t>
        </is>
      </c>
      <c r="B1696" s="1" t="n">
        <v>45691</v>
      </c>
      <c r="C1696" s="1" t="n">
        <v>46098</v>
      </c>
      <c r="D1696" t="inlineStr">
        <is>
          <t>UPPSALA LÄN</t>
        </is>
      </c>
      <c r="E1696" t="inlineStr">
        <is>
          <t>ÖSTHAMMAR</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42688-2025</t>
        </is>
      </c>
      <c r="B1697" s="1" t="n">
        <v>45908.35633101852</v>
      </c>
      <c r="C1697" s="1" t="n">
        <v>46098</v>
      </c>
      <c r="D1697" t="inlineStr">
        <is>
          <t>UPPSALA LÄN</t>
        </is>
      </c>
      <c r="E1697" t="inlineStr">
        <is>
          <t>TIERP</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55719-2025</t>
        </is>
      </c>
      <c r="B1698" s="1" t="n">
        <v>45972</v>
      </c>
      <c r="C1698" s="1" t="n">
        <v>46098</v>
      </c>
      <c r="D1698" t="inlineStr">
        <is>
          <t>UPPSALA LÄN</t>
        </is>
      </c>
      <c r="E1698" t="inlineStr">
        <is>
          <t>TIERP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42940-2025</t>
        </is>
      </c>
      <c r="B1699" s="1" t="n">
        <v>45909.33440972222</v>
      </c>
      <c r="C1699" s="1" t="n">
        <v>46098</v>
      </c>
      <c r="D1699" t="inlineStr">
        <is>
          <t>UPPSALA LÄN</t>
        </is>
      </c>
      <c r="E1699" t="inlineStr">
        <is>
          <t>ÖSTHAMMAR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55798-2025</t>
        </is>
      </c>
      <c r="B1700" s="1" t="n">
        <v>45972.66209490741</v>
      </c>
      <c r="C1700" s="1" t="n">
        <v>46098</v>
      </c>
      <c r="D1700" t="inlineStr">
        <is>
          <t>UPPSALA LÄN</t>
        </is>
      </c>
      <c r="E1700" t="inlineStr">
        <is>
          <t>ÖSTHAMMAR</t>
        </is>
      </c>
      <c r="F1700" t="inlineStr">
        <is>
          <t>Bergvik skog öst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27058-2025</t>
        </is>
      </c>
      <c r="B1701" s="1" t="n">
        <v>45811.63436342592</v>
      </c>
      <c r="C1701" s="1" t="n">
        <v>46098</v>
      </c>
      <c r="D1701" t="inlineStr">
        <is>
          <t>UPPSALA LÄN</t>
        </is>
      </c>
      <c r="E1701" t="inlineStr">
        <is>
          <t>ÖSTHAMMAR</t>
        </is>
      </c>
      <c r="F1701" t="inlineStr">
        <is>
          <t>Bergvik skog öst AB</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22632-2025</t>
        </is>
      </c>
      <c r="B1702" s="1" t="n">
        <v>45789.44361111111</v>
      </c>
      <c r="C1702" s="1" t="n">
        <v>46098</v>
      </c>
      <c r="D1702" t="inlineStr">
        <is>
          <t>UPPSALA LÄN</t>
        </is>
      </c>
      <c r="E1702" t="inlineStr">
        <is>
          <t>ENKÖPING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42695-2025</t>
        </is>
      </c>
      <c r="B1703" s="1" t="n">
        <v>45908.36148148148</v>
      </c>
      <c r="C1703" s="1" t="n">
        <v>46098</v>
      </c>
      <c r="D1703" t="inlineStr">
        <is>
          <t>UPPSALA LÄN</t>
        </is>
      </c>
      <c r="E1703" t="inlineStr">
        <is>
          <t>TIERP</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56044-2025</t>
        </is>
      </c>
      <c r="B1704" s="1" t="n">
        <v>45973.61974537037</v>
      </c>
      <c r="C1704" s="1" t="n">
        <v>46098</v>
      </c>
      <c r="D1704" t="inlineStr">
        <is>
          <t>UPPSALA LÄN</t>
        </is>
      </c>
      <c r="E1704" t="inlineStr">
        <is>
          <t>TIERP</t>
        </is>
      </c>
      <c r="F1704" t="inlineStr">
        <is>
          <t>Bergvik skog väst AB</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56046-2025</t>
        </is>
      </c>
      <c r="B1705" s="1" t="n">
        <v>45973.62456018518</v>
      </c>
      <c r="C1705" s="1" t="n">
        <v>46098</v>
      </c>
      <c r="D1705" t="inlineStr">
        <is>
          <t>UPPSALA LÄN</t>
        </is>
      </c>
      <c r="E1705" t="inlineStr">
        <is>
          <t>TIERP</t>
        </is>
      </c>
      <c r="F1705" t="inlineStr">
        <is>
          <t>Bergvik skog väst AB</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26797-2025</t>
        </is>
      </c>
      <c r="B1706" s="1" t="n">
        <v>45810.60292824074</v>
      </c>
      <c r="C1706" s="1" t="n">
        <v>46098</v>
      </c>
      <c r="D1706" t="inlineStr">
        <is>
          <t>UPPSALA LÄN</t>
        </is>
      </c>
      <c r="E1706" t="inlineStr">
        <is>
          <t>HEBY</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26849-2025</t>
        </is>
      </c>
      <c r="B1707" s="1" t="n">
        <v>45810.66966435185</v>
      </c>
      <c r="C1707" s="1" t="n">
        <v>46098</v>
      </c>
      <c r="D1707" t="inlineStr">
        <is>
          <t>UPPSALA LÄN</t>
        </is>
      </c>
      <c r="E1707" t="inlineStr">
        <is>
          <t>HEBY</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10241-2025</t>
        </is>
      </c>
      <c r="B1708" s="1" t="n">
        <v>45720.3462037037</v>
      </c>
      <c r="C1708" s="1" t="n">
        <v>46098</v>
      </c>
      <c r="D1708" t="inlineStr">
        <is>
          <t>UPPSALA LÄN</t>
        </is>
      </c>
      <c r="E1708" t="inlineStr">
        <is>
          <t>HEBY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55732-2025</t>
        </is>
      </c>
      <c r="B1709" s="1" t="n">
        <v>45972</v>
      </c>
      <c r="C1709" s="1" t="n">
        <v>46098</v>
      </c>
      <c r="D1709" t="inlineStr">
        <is>
          <t>UPPSALA LÄN</t>
        </is>
      </c>
      <c r="E1709" t="inlineStr">
        <is>
          <t>UPPSALA</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25525-2023</t>
        </is>
      </c>
      <c r="B1710" s="1" t="n">
        <v>45089</v>
      </c>
      <c r="C1710" s="1" t="n">
        <v>46098</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55872-2025</t>
        </is>
      </c>
      <c r="B1711" s="1" t="n">
        <v>45973.35476851852</v>
      </c>
      <c r="C1711" s="1" t="n">
        <v>46098</v>
      </c>
      <c r="D1711" t="inlineStr">
        <is>
          <t>UPPSALA LÄN</t>
        </is>
      </c>
      <c r="E1711" t="inlineStr">
        <is>
          <t>TIERP</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55833-2025</t>
        </is>
      </c>
      <c r="B1712" s="1" t="n">
        <v>45972</v>
      </c>
      <c r="C1712" s="1" t="n">
        <v>46098</v>
      </c>
      <c r="D1712" t="inlineStr">
        <is>
          <t>UPPSALA LÄN</t>
        </is>
      </c>
      <c r="E1712" t="inlineStr">
        <is>
          <t>TIERP</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27347-2025</t>
        </is>
      </c>
      <c r="B1713" s="1" t="n">
        <v>45812.62390046296</v>
      </c>
      <c r="C1713" s="1" t="n">
        <v>46098</v>
      </c>
      <c r="D1713" t="inlineStr">
        <is>
          <t>UPPSALA LÄN</t>
        </is>
      </c>
      <c r="E1713" t="inlineStr">
        <is>
          <t>ÖSTHAMMAR</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46647-2022</t>
        </is>
      </c>
      <c r="B1714" s="1" t="n">
        <v>44849.86905092592</v>
      </c>
      <c r="C1714" s="1" t="n">
        <v>46098</v>
      </c>
      <c r="D1714" t="inlineStr">
        <is>
          <t>UPPSALA LÄN</t>
        </is>
      </c>
      <c r="E1714" t="inlineStr">
        <is>
          <t>HEBY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27265-2025</t>
        </is>
      </c>
      <c r="B1715" s="1" t="n">
        <v>45812.48032407407</v>
      </c>
      <c r="C1715" s="1" t="n">
        <v>46098</v>
      </c>
      <c r="D1715" t="inlineStr">
        <is>
          <t>UPPSALA LÄN</t>
        </is>
      </c>
      <c r="E1715" t="inlineStr">
        <is>
          <t>UPPSALA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27382-2025</t>
        </is>
      </c>
      <c r="B1716" s="1" t="n">
        <v>45812.66421296296</v>
      </c>
      <c r="C1716" s="1" t="n">
        <v>46098</v>
      </c>
      <c r="D1716" t="inlineStr">
        <is>
          <t>UPPSALA LÄN</t>
        </is>
      </c>
      <c r="E1716" t="inlineStr">
        <is>
          <t>TIERP</t>
        </is>
      </c>
      <c r="F1716" t="inlineStr">
        <is>
          <t>Bergvik skog väst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27392-2025</t>
        </is>
      </c>
      <c r="B1717" s="1" t="n">
        <v>45812.68268518519</v>
      </c>
      <c r="C1717" s="1" t="n">
        <v>46098</v>
      </c>
      <c r="D1717" t="inlineStr">
        <is>
          <t>UPPSALA LÄN</t>
        </is>
      </c>
      <c r="E1717" t="inlineStr">
        <is>
          <t>ÖSTHAMMAR</t>
        </is>
      </c>
      <c r="F1717" t="inlineStr">
        <is>
          <t>Bergvik skog öst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33272-2025</t>
        </is>
      </c>
      <c r="B1718" s="1" t="n">
        <v>45840.68518518518</v>
      </c>
      <c r="C1718" s="1" t="n">
        <v>46098</v>
      </c>
      <c r="D1718" t="inlineStr">
        <is>
          <t>UPPSALA LÄN</t>
        </is>
      </c>
      <c r="E1718" t="inlineStr">
        <is>
          <t>UPPSALA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33927-2025</t>
        </is>
      </c>
      <c r="B1719" s="1" t="n">
        <v>45842.62363425926</v>
      </c>
      <c r="C1719" s="1" t="n">
        <v>46098</v>
      </c>
      <c r="D1719" t="inlineStr">
        <is>
          <t>UPPSALA LÄN</t>
        </is>
      </c>
      <c r="E1719" t="inlineStr">
        <is>
          <t>ÖSTHAMMAR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56059-2025</t>
        </is>
      </c>
      <c r="B1720" s="1" t="n">
        <v>45973.63755787037</v>
      </c>
      <c r="C1720" s="1" t="n">
        <v>46098</v>
      </c>
      <c r="D1720" t="inlineStr">
        <is>
          <t>UPPSALA LÄN</t>
        </is>
      </c>
      <c r="E1720" t="inlineStr">
        <is>
          <t>TIERP</t>
        </is>
      </c>
      <c r="F1720" t="inlineStr">
        <is>
          <t>Bergvik skog väst AB</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61518-2024</t>
        </is>
      </c>
      <c r="B1721" s="1" t="n">
        <v>45646.57768518518</v>
      </c>
      <c r="C1721" s="1" t="n">
        <v>46098</v>
      </c>
      <c r="D1721" t="inlineStr">
        <is>
          <t>UPPSALA LÄN</t>
        </is>
      </c>
      <c r="E1721" t="inlineStr">
        <is>
          <t>TIERP</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27538-2025</t>
        </is>
      </c>
      <c r="B1722" s="1" t="n">
        <v>45813.46034722222</v>
      </c>
      <c r="C1722" s="1" t="n">
        <v>46098</v>
      </c>
      <c r="D1722" t="inlineStr">
        <is>
          <t>UPPSALA LÄN</t>
        </is>
      </c>
      <c r="E1722" t="inlineStr">
        <is>
          <t>UPPSALA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43222-2025</t>
        </is>
      </c>
      <c r="B1723" s="1" t="n">
        <v>45910.47983796296</v>
      </c>
      <c r="C1723" s="1" t="n">
        <v>46098</v>
      </c>
      <c r="D1723" t="inlineStr">
        <is>
          <t>UPPSALA LÄN</t>
        </is>
      </c>
      <c r="E1723" t="inlineStr">
        <is>
          <t>TIERP</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43224-2025</t>
        </is>
      </c>
      <c r="B1724" s="1" t="n">
        <v>45910.48737268519</v>
      </c>
      <c r="C1724" s="1" t="n">
        <v>46098</v>
      </c>
      <c r="D1724" t="inlineStr">
        <is>
          <t>UPPSALA LÄN</t>
        </is>
      </c>
      <c r="E1724" t="inlineStr">
        <is>
          <t>TIERP</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55716-2025</t>
        </is>
      </c>
      <c r="B1725" s="1" t="n">
        <v>45972</v>
      </c>
      <c r="C1725" s="1" t="n">
        <v>46098</v>
      </c>
      <c r="D1725" t="inlineStr">
        <is>
          <t>UPPSALA LÄN</t>
        </is>
      </c>
      <c r="E1725" t="inlineStr">
        <is>
          <t>TIERP</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43604-2025</t>
        </is>
      </c>
      <c r="B1726" s="1" t="n">
        <v>45911.66671296296</v>
      </c>
      <c r="C1726" s="1" t="n">
        <v>46098</v>
      </c>
      <c r="D1726" t="inlineStr">
        <is>
          <t>UPPSALA LÄN</t>
        </is>
      </c>
      <c r="E1726" t="inlineStr">
        <is>
          <t>ÖSTHAMMAR</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56067-2025</t>
        </is>
      </c>
      <c r="B1727" s="1" t="n">
        <v>45973.6449537037</v>
      </c>
      <c r="C1727" s="1" t="n">
        <v>46098</v>
      </c>
      <c r="D1727" t="inlineStr">
        <is>
          <t>UPPSALA LÄN</t>
        </is>
      </c>
      <c r="E1727" t="inlineStr">
        <is>
          <t>TIERP</t>
        </is>
      </c>
      <c r="F1727" t="inlineStr">
        <is>
          <t>Bergvik skog väst AB</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27352-2025</t>
        </is>
      </c>
      <c r="B1728" s="1" t="n">
        <v>45812.62694444445</v>
      </c>
      <c r="C1728" s="1" t="n">
        <v>46098</v>
      </c>
      <c r="D1728" t="inlineStr">
        <is>
          <t>UPPSALA LÄN</t>
        </is>
      </c>
      <c r="E1728" t="inlineStr">
        <is>
          <t>ÖSTHAMMAR</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27350-2025</t>
        </is>
      </c>
      <c r="B1729" s="1" t="n">
        <v>45812.62571759259</v>
      </c>
      <c r="C1729" s="1" t="n">
        <v>46098</v>
      </c>
      <c r="D1729" t="inlineStr">
        <is>
          <t>UPPSALA LÄN</t>
        </is>
      </c>
      <c r="E1729" t="inlineStr">
        <is>
          <t>ÖSTHAMMAR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27360-2025</t>
        </is>
      </c>
      <c r="B1730" s="1" t="n">
        <v>45812.63758101852</v>
      </c>
      <c r="C1730" s="1" t="n">
        <v>46098</v>
      </c>
      <c r="D1730" t="inlineStr">
        <is>
          <t>UPPSALA LÄN</t>
        </is>
      </c>
      <c r="E1730" t="inlineStr">
        <is>
          <t>TIERP</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55720-2025</t>
        </is>
      </c>
      <c r="B1731" s="1" t="n">
        <v>45972</v>
      </c>
      <c r="C1731" s="1" t="n">
        <v>46098</v>
      </c>
      <c r="D1731" t="inlineStr">
        <is>
          <t>UPPSALA LÄN</t>
        </is>
      </c>
      <c r="E1731" t="inlineStr">
        <is>
          <t>TIERP</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56493-2025</t>
        </is>
      </c>
      <c r="B1732" s="1" t="n">
        <v>45975.424375</v>
      </c>
      <c r="C1732" s="1" t="n">
        <v>46098</v>
      </c>
      <c r="D1732" t="inlineStr">
        <is>
          <t>UPPSALA LÄN</t>
        </is>
      </c>
      <c r="E1732" t="inlineStr">
        <is>
          <t>UPPSALA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27270-2025</t>
        </is>
      </c>
      <c r="B1733" s="1" t="n">
        <v>45812.4972337963</v>
      </c>
      <c r="C1733" s="1" t="n">
        <v>46098</v>
      </c>
      <c r="D1733" t="inlineStr">
        <is>
          <t>UPPSALA LÄN</t>
        </is>
      </c>
      <c r="E1733" t="inlineStr">
        <is>
          <t>TIERP</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27629-2025</t>
        </is>
      </c>
      <c r="B1734" s="1" t="n">
        <v>45813.55859953703</v>
      </c>
      <c r="C1734" s="1" t="n">
        <v>46098</v>
      </c>
      <c r="D1734" t="inlineStr">
        <is>
          <t>UPPSALA LÄN</t>
        </is>
      </c>
      <c r="E1734" t="inlineStr">
        <is>
          <t>TIERP</t>
        </is>
      </c>
      <c r="F1734" t="inlineStr">
        <is>
          <t>Bergvik skog väst AB</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27383-2025</t>
        </is>
      </c>
      <c r="B1735" s="1" t="n">
        <v>45812.66628472223</v>
      </c>
      <c r="C1735" s="1" t="n">
        <v>46098</v>
      </c>
      <c r="D1735" t="inlineStr">
        <is>
          <t>UPPSALA LÄN</t>
        </is>
      </c>
      <c r="E1735" t="inlineStr">
        <is>
          <t>ÖSTHAMMAR</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27385-2025</t>
        </is>
      </c>
      <c r="B1736" s="1" t="n">
        <v>45812.66829861111</v>
      </c>
      <c r="C1736" s="1" t="n">
        <v>46098</v>
      </c>
      <c r="D1736" t="inlineStr">
        <is>
          <t>UPPSALA LÄN</t>
        </is>
      </c>
      <c r="E1736" t="inlineStr">
        <is>
          <t>ÖSTHAMMAR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27395-2025</t>
        </is>
      </c>
      <c r="B1737" s="1" t="n">
        <v>45812.6850462963</v>
      </c>
      <c r="C1737" s="1" t="n">
        <v>46098</v>
      </c>
      <c r="D1737" t="inlineStr">
        <is>
          <t>UPPSALA LÄN</t>
        </is>
      </c>
      <c r="E1737" t="inlineStr">
        <is>
          <t>ÖSTHAMMAR</t>
        </is>
      </c>
      <c r="F1737" t="inlineStr">
        <is>
          <t>Bergvik skog öst AB</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56518-2025</t>
        </is>
      </c>
      <c r="B1738" s="1" t="n">
        <v>45975.4581712963</v>
      </c>
      <c r="C1738" s="1" t="n">
        <v>46098</v>
      </c>
      <c r="D1738" t="inlineStr">
        <is>
          <t>UPPSALA LÄN</t>
        </is>
      </c>
      <c r="E1738" t="inlineStr">
        <is>
          <t>ÖSTHAMMAR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27563-2025</t>
        </is>
      </c>
      <c r="B1739" s="1" t="n">
        <v>45813.48471064815</v>
      </c>
      <c r="C1739" s="1" t="n">
        <v>46098</v>
      </c>
      <c r="D1739" t="inlineStr">
        <is>
          <t>UPPSALA LÄN</t>
        </is>
      </c>
      <c r="E1739" t="inlineStr">
        <is>
          <t>ÖSTHAMMAR</t>
        </is>
      </c>
      <c r="F1739" t="inlineStr">
        <is>
          <t>Bergvik skog öst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43622-2025</t>
        </is>
      </c>
      <c r="B1740" s="1" t="n">
        <v>45911.68295138889</v>
      </c>
      <c r="C1740" s="1" t="n">
        <v>46098</v>
      </c>
      <c r="D1740" t="inlineStr">
        <is>
          <t>UPPSALA LÄN</t>
        </is>
      </c>
      <c r="E1740" t="inlineStr">
        <is>
          <t>ÖSTHAMMAR</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43577-2025</t>
        </is>
      </c>
      <c r="B1741" s="1" t="n">
        <v>45911.64219907407</v>
      </c>
      <c r="C1741" s="1" t="n">
        <v>46098</v>
      </c>
      <c r="D1741" t="inlineStr">
        <is>
          <t>UPPSALA LÄN</t>
        </is>
      </c>
      <c r="E1741" t="inlineStr">
        <is>
          <t>ÄLVKARLEBY</t>
        </is>
      </c>
      <c r="F1741" t="inlineStr">
        <is>
          <t>Bergvik skog väst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56682-2025</t>
        </is>
      </c>
      <c r="B1742" s="1" t="n">
        <v>45975</v>
      </c>
      <c r="C1742" s="1" t="n">
        <v>46098</v>
      </c>
      <c r="D1742" t="inlineStr">
        <is>
          <t>UPPSALA LÄN</t>
        </is>
      </c>
      <c r="E1742" t="inlineStr">
        <is>
          <t>ÖSTHAMMAR</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27252-2025</t>
        </is>
      </c>
      <c r="B1743" s="1" t="n">
        <v>45812.47153935185</v>
      </c>
      <c r="C1743" s="1" t="n">
        <v>46098</v>
      </c>
      <c r="D1743" t="inlineStr">
        <is>
          <t>UPPSALA LÄN</t>
        </is>
      </c>
      <c r="E1743" t="inlineStr">
        <is>
          <t>TIERP</t>
        </is>
      </c>
      <c r="F1743" t="inlineStr">
        <is>
          <t>Bergvik skog öst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6143-2022</t>
        </is>
      </c>
      <c r="B1744" s="1" t="n">
        <v>44599.72306712963</v>
      </c>
      <c r="C1744" s="1" t="n">
        <v>46098</v>
      </c>
      <c r="D1744" t="inlineStr">
        <is>
          <t>UPPSALA LÄN</t>
        </is>
      </c>
      <c r="E1744" t="inlineStr">
        <is>
          <t>ÖSTHAMMAR</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43525-2025</t>
        </is>
      </c>
      <c r="B1745" s="1" t="n">
        <v>45911.58546296296</v>
      </c>
      <c r="C1745" s="1" t="n">
        <v>46098</v>
      </c>
      <c r="D1745" t="inlineStr">
        <is>
          <t>UPPSALA LÄN</t>
        </is>
      </c>
      <c r="E1745" t="inlineStr">
        <is>
          <t>TIERP</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56466-2025</t>
        </is>
      </c>
      <c r="B1746" s="1" t="n">
        <v>45975.37621527778</v>
      </c>
      <c r="C1746" s="1" t="n">
        <v>46098</v>
      </c>
      <c r="D1746" t="inlineStr">
        <is>
          <t>UPPSALA LÄN</t>
        </is>
      </c>
      <c r="E1746" t="inlineStr">
        <is>
          <t>UPPSALA</t>
        </is>
      </c>
      <c r="F1746" t="inlineStr">
        <is>
          <t>Holmen skog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10489-2025</t>
        </is>
      </c>
      <c r="B1747" s="1" t="n">
        <v>45721.34715277778</v>
      </c>
      <c r="C1747" s="1" t="n">
        <v>46098</v>
      </c>
      <c r="D1747" t="inlineStr">
        <is>
          <t>UPPSALA LÄN</t>
        </is>
      </c>
      <c r="E1747" t="inlineStr">
        <is>
          <t>UPPSALA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56582-2025</t>
        </is>
      </c>
      <c r="B1748" s="1" t="n">
        <v>45975.54730324074</v>
      </c>
      <c r="C1748" s="1" t="n">
        <v>46098</v>
      </c>
      <c r="D1748" t="inlineStr">
        <is>
          <t>UPPSALA LÄN</t>
        </is>
      </c>
      <c r="E1748" t="inlineStr">
        <is>
          <t>ÖSTHAMMAR</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56625-2025</t>
        </is>
      </c>
      <c r="B1749" s="1" t="n">
        <v>45975.60608796297</v>
      </c>
      <c r="C1749" s="1" t="n">
        <v>46098</v>
      </c>
      <c r="D1749" t="inlineStr">
        <is>
          <t>UPPSALA LÄN</t>
        </is>
      </c>
      <c r="E1749" t="inlineStr">
        <is>
          <t>ENKÖPING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56653-2025</t>
        </is>
      </c>
      <c r="B1750" s="1" t="n">
        <v>45975.64628472222</v>
      </c>
      <c r="C1750" s="1" t="n">
        <v>46098</v>
      </c>
      <c r="D1750" t="inlineStr">
        <is>
          <t>UPPSALA LÄN</t>
        </is>
      </c>
      <c r="E1750" t="inlineStr">
        <is>
          <t>ÖSTHAMMAR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27917-2025</t>
        </is>
      </c>
      <c r="B1751" s="1" t="n">
        <v>45814</v>
      </c>
      <c r="C1751" s="1" t="n">
        <v>46098</v>
      </c>
      <c r="D1751" t="inlineStr">
        <is>
          <t>UPPSALA LÄN</t>
        </is>
      </c>
      <c r="E1751" t="inlineStr">
        <is>
          <t>UPPSALA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43220-2025</t>
        </is>
      </c>
      <c r="B1752" s="1" t="n">
        <v>45910.47623842592</v>
      </c>
      <c r="C1752" s="1" t="n">
        <v>46098</v>
      </c>
      <c r="D1752" t="inlineStr">
        <is>
          <t>UPPSALA LÄN</t>
        </is>
      </c>
      <c r="E1752" t="inlineStr">
        <is>
          <t>TIERP</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56577-2025</t>
        </is>
      </c>
      <c r="B1753" s="1" t="n">
        <v>45975.5341550926</v>
      </c>
      <c r="C1753" s="1" t="n">
        <v>46098</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27919-2025</t>
        </is>
      </c>
      <c r="B1754" s="1" t="n">
        <v>45817.48384259259</v>
      </c>
      <c r="C1754" s="1" t="n">
        <v>46098</v>
      </c>
      <c r="D1754" t="inlineStr">
        <is>
          <t>UPPSALA LÄN</t>
        </is>
      </c>
      <c r="E1754" t="inlineStr">
        <is>
          <t>ÖSTHAMMAR</t>
        </is>
      </c>
      <c r="F1754" t="inlineStr">
        <is>
          <t>Bergvik skog öst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27829-2025</t>
        </is>
      </c>
      <c r="B1755" s="1" t="n">
        <v>45817</v>
      </c>
      <c r="C1755" s="1" t="n">
        <v>46098</v>
      </c>
      <c r="D1755" t="inlineStr">
        <is>
          <t>UPPSALA LÄN</t>
        </is>
      </c>
      <c r="E1755" t="inlineStr">
        <is>
          <t>ENKÖPING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56620-2025</t>
        </is>
      </c>
      <c r="B1756" s="1" t="n">
        <v>45975.59520833333</v>
      </c>
      <c r="C1756" s="1" t="n">
        <v>46098</v>
      </c>
      <c r="D1756" t="inlineStr">
        <is>
          <t>UPPSALA LÄN</t>
        </is>
      </c>
      <c r="E1756" t="inlineStr">
        <is>
          <t>UPPSALA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51027-2024</t>
        </is>
      </c>
      <c r="B1757" s="1" t="n">
        <v>45603</v>
      </c>
      <c r="C1757" s="1" t="n">
        <v>46098</v>
      </c>
      <c r="D1757" t="inlineStr">
        <is>
          <t>UPPSALA LÄN</t>
        </is>
      </c>
      <c r="E1757" t="inlineStr">
        <is>
          <t>ENKÖPING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27741-2025</t>
        </is>
      </c>
      <c r="B1758" s="1" t="n">
        <v>45815.5346875</v>
      </c>
      <c r="C1758" s="1" t="n">
        <v>46098</v>
      </c>
      <c r="D1758" t="inlineStr">
        <is>
          <t>UPPSALA LÄN</t>
        </is>
      </c>
      <c r="E1758" t="inlineStr">
        <is>
          <t>ÄLVKARLEBY</t>
        </is>
      </c>
      <c r="F1758" t="inlineStr">
        <is>
          <t>Bergvik skog väst AB</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56656-2025</t>
        </is>
      </c>
      <c r="B1759" s="1" t="n">
        <v>45975.65054398148</v>
      </c>
      <c r="C1759" s="1" t="n">
        <v>46098</v>
      </c>
      <c r="D1759" t="inlineStr">
        <is>
          <t>UPPSALA LÄN</t>
        </is>
      </c>
      <c r="E1759" t="inlineStr">
        <is>
          <t>UPPSALA</t>
        </is>
      </c>
      <c r="F1759" t="inlineStr">
        <is>
          <t>Övriga Aktiebolag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28121-2025</t>
        </is>
      </c>
      <c r="B1760" s="1" t="n">
        <v>45817</v>
      </c>
      <c r="C1760" s="1" t="n">
        <v>46098</v>
      </c>
      <c r="D1760" t="inlineStr">
        <is>
          <t>UPPSALA LÄN</t>
        </is>
      </c>
      <c r="E1760" t="inlineStr">
        <is>
          <t>UPPSALA</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56658-2025</t>
        </is>
      </c>
      <c r="B1761" s="1" t="n">
        <v>45975.65431712963</v>
      </c>
      <c r="C1761" s="1" t="n">
        <v>46098</v>
      </c>
      <c r="D1761" t="inlineStr">
        <is>
          <t>UPPSALA LÄN</t>
        </is>
      </c>
      <c r="E1761" t="inlineStr">
        <is>
          <t>ÖSTHAMMAR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27742-2025</t>
        </is>
      </c>
      <c r="B1762" s="1" t="n">
        <v>45815.53724537037</v>
      </c>
      <c r="C1762" s="1" t="n">
        <v>46098</v>
      </c>
      <c r="D1762" t="inlineStr">
        <is>
          <t>UPPSALA LÄN</t>
        </is>
      </c>
      <c r="E1762" t="inlineStr">
        <is>
          <t>ÄLVKARLEBY</t>
        </is>
      </c>
      <c r="F1762" t="inlineStr">
        <is>
          <t>Bergvik skog väst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27853-2025</t>
        </is>
      </c>
      <c r="B1763" s="1" t="n">
        <v>45817.40178240741</v>
      </c>
      <c r="C1763" s="1" t="n">
        <v>46098</v>
      </c>
      <c r="D1763" t="inlineStr">
        <is>
          <t>UPPSALA LÄN</t>
        </is>
      </c>
      <c r="E1763" t="inlineStr">
        <is>
          <t>ÖSTHAMMAR</t>
        </is>
      </c>
      <c r="F1763" t="inlineStr">
        <is>
          <t>Bergvik skog öst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27812-2025</t>
        </is>
      </c>
      <c r="B1764" s="1" t="n">
        <v>45817.32150462963</v>
      </c>
      <c r="C1764" s="1" t="n">
        <v>46098</v>
      </c>
      <c r="D1764" t="inlineStr">
        <is>
          <t>UPPSALA LÄN</t>
        </is>
      </c>
      <c r="E1764" t="inlineStr">
        <is>
          <t>ÖSTHAMMAR</t>
        </is>
      </c>
      <c r="F1764" t="inlineStr">
        <is>
          <t>Bergvik skog öst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43662-2025</t>
        </is>
      </c>
      <c r="B1765" s="1" t="n">
        <v>45912.34446759259</v>
      </c>
      <c r="C1765" s="1" t="n">
        <v>46098</v>
      </c>
      <c r="D1765" t="inlineStr">
        <is>
          <t>UPPSALA LÄN</t>
        </is>
      </c>
      <c r="E1765" t="inlineStr">
        <is>
          <t>ÄLVKARLEBY</t>
        </is>
      </c>
      <c r="F1765" t="inlineStr">
        <is>
          <t>Kyrkan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22393-2024</t>
        </is>
      </c>
      <c r="B1766" s="1" t="n">
        <v>45446</v>
      </c>
      <c r="C1766" s="1" t="n">
        <v>46098</v>
      </c>
      <c r="D1766" t="inlineStr">
        <is>
          <t>UPPSALA LÄN</t>
        </is>
      </c>
      <c r="E1766" t="inlineStr">
        <is>
          <t>TIERP</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56757-2025</t>
        </is>
      </c>
      <c r="B1767" s="1" t="n">
        <v>45978.37162037037</v>
      </c>
      <c r="C1767" s="1" t="n">
        <v>46098</v>
      </c>
      <c r="D1767" t="inlineStr">
        <is>
          <t>UPPSALA LÄN</t>
        </is>
      </c>
      <c r="E1767" t="inlineStr">
        <is>
          <t>ÖSTHAMMAR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27920-2025</t>
        </is>
      </c>
      <c r="B1768" s="1" t="n">
        <v>45817.48454861111</v>
      </c>
      <c r="C1768" s="1" t="n">
        <v>46098</v>
      </c>
      <c r="D1768" t="inlineStr">
        <is>
          <t>UPPSALA LÄN</t>
        </is>
      </c>
      <c r="E1768" t="inlineStr">
        <is>
          <t>ÖSTHAMMAR</t>
        </is>
      </c>
      <c r="F1768" t="inlineStr">
        <is>
          <t>Bergvik skog öst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32023-2023</t>
        </is>
      </c>
      <c r="B1769" s="1" t="n">
        <v>45119.49833333334</v>
      </c>
      <c r="C1769" s="1" t="n">
        <v>46098</v>
      </c>
      <c r="D1769" t="inlineStr">
        <is>
          <t>UPPSALA LÄN</t>
        </is>
      </c>
      <c r="E1769" t="inlineStr">
        <is>
          <t>HÅBO</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8330-2025</t>
        </is>
      </c>
      <c r="B1770" s="1" t="n">
        <v>45708</v>
      </c>
      <c r="C1770" s="1" t="n">
        <v>46098</v>
      </c>
      <c r="D1770" t="inlineStr">
        <is>
          <t>UPPSALA LÄN</t>
        </is>
      </c>
      <c r="E1770" t="inlineStr">
        <is>
          <t>ÖSTHAMMAR</t>
        </is>
      </c>
      <c r="F1770" t="inlineStr">
        <is>
          <t>Övriga Aktiebolag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57075-2025</t>
        </is>
      </c>
      <c r="B1771" s="1" t="n">
        <v>45979.39712962963</v>
      </c>
      <c r="C1771" s="1" t="n">
        <v>46098</v>
      </c>
      <c r="D1771" t="inlineStr">
        <is>
          <t>UPPSALA LÄN</t>
        </is>
      </c>
      <c r="E1771" t="inlineStr">
        <is>
          <t>TIERP</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56861-2025</t>
        </is>
      </c>
      <c r="B1772" s="1" t="n">
        <v>45978.50824074074</v>
      </c>
      <c r="C1772" s="1" t="n">
        <v>46098</v>
      </c>
      <c r="D1772" t="inlineStr">
        <is>
          <t>UPPSALA LÄN</t>
        </is>
      </c>
      <c r="E1772" t="inlineStr">
        <is>
          <t>ÄLVKARLEBY</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27509-2025</t>
        </is>
      </c>
      <c r="B1773" s="1" t="n">
        <v>45813.4278125</v>
      </c>
      <c r="C1773" s="1" t="n">
        <v>46098</v>
      </c>
      <c r="D1773" t="inlineStr">
        <is>
          <t>UPPSALA LÄN</t>
        </is>
      </c>
      <c r="E1773" t="inlineStr">
        <is>
          <t>ÖSTHAMMAR</t>
        </is>
      </c>
      <c r="F1773" t="inlineStr">
        <is>
          <t>Bergvik skog öst AB</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43858-2025</t>
        </is>
      </c>
      <c r="B1774" s="1" t="n">
        <v>45912.64945601852</v>
      </c>
      <c r="C1774" s="1" t="n">
        <v>46098</v>
      </c>
      <c r="D1774" t="inlineStr">
        <is>
          <t>UPPSALA LÄN</t>
        </is>
      </c>
      <c r="E1774" t="inlineStr">
        <is>
          <t>TIERP</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56942-2025</t>
        </is>
      </c>
      <c r="B1775" s="1" t="n">
        <v>45978.62611111111</v>
      </c>
      <c r="C1775" s="1" t="n">
        <v>46098</v>
      </c>
      <c r="D1775" t="inlineStr">
        <is>
          <t>UPPSALA LÄN</t>
        </is>
      </c>
      <c r="E1775" t="inlineStr">
        <is>
          <t>ÖSTHAMMAR</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28223-2025</t>
        </is>
      </c>
      <c r="B1776" s="1" t="n">
        <v>45818.47733796296</v>
      </c>
      <c r="C1776" s="1" t="n">
        <v>46098</v>
      </c>
      <c r="D1776" t="inlineStr">
        <is>
          <t>UPPSALA LÄN</t>
        </is>
      </c>
      <c r="E1776" t="inlineStr">
        <is>
          <t>TIERP</t>
        </is>
      </c>
      <c r="F1776" t="inlineStr">
        <is>
          <t>Bergvik skog öst AB</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43893-2025</t>
        </is>
      </c>
      <c r="B1777" s="1" t="n">
        <v>45912.7097337963</v>
      </c>
      <c r="C1777" s="1" t="n">
        <v>46098</v>
      </c>
      <c r="D1777" t="inlineStr">
        <is>
          <t>UPPSALA LÄN</t>
        </is>
      </c>
      <c r="E1777" t="inlineStr">
        <is>
          <t>UPPSALA</t>
        </is>
      </c>
      <c r="F1777" t="inlineStr">
        <is>
          <t>Kyrkan</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28561-2025</t>
        </is>
      </c>
      <c r="B1778" s="1" t="n">
        <v>45818</v>
      </c>
      <c r="C1778" s="1" t="n">
        <v>46098</v>
      </c>
      <c r="D1778" t="inlineStr">
        <is>
          <t>UPPSALA LÄN</t>
        </is>
      </c>
      <c r="E1778" t="inlineStr">
        <is>
          <t>HEBY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57064-2025</t>
        </is>
      </c>
      <c r="B1779" s="1" t="n">
        <v>45979.38488425926</v>
      </c>
      <c r="C1779" s="1" t="n">
        <v>46098</v>
      </c>
      <c r="D1779" t="inlineStr">
        <is>
          <t>UPPSALA LÄN</t>
        </is>
      </c>
      <c r="E1779" t="inlineStr">
        <is>
          <t>TIERP</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28275-2025</t>
        </is>
      </c>
      <c r="B1780" s="1" t="n">
        <v>45818.57910879629</v>
      </c>
      <c r="C1780" s="1" t="n">
        <v>46098</v>
      </c>
      <c r="D1780" t="inlineStr">
        <is>
          <t>UPPSALA LÄN</t>
        </is>
      </c>
      <c r="E1780" t="inlineStr">
        <is>
          <t>UPPSALA</t>
        </is>
      </c>
      <c r="F1780" t="inlineStr">
        <is>
          <t>Holmen skog AB</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28285-2025</t>
        </is>
      </c>
      <c r="B1781" s="1" t="n">
        <v>45818.58984953703</v>
      </c>
      <c r="C1781" s="1" t="n">
        <v>46098</v>
      </c>
      <c r="D1781" t="inlineStr">
        <is>
          <t>UPPSALA LÄN</t>
        </is>
      </c>
      <c r="E1781" t="inlineStr">
        <is>
          <t>TIERP</t>
        </is>
      </c>
      <c r="F1781" t="inlineStr">
        <is>
          <t>Bergvik skog öst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44226-2025</t>
        </is>
      </c>
      <c r="B1782" s="1" t="n">
        <v>45915.64064814815</v>
      </c>
      <c r="C1782" s="1" t="n">
        <v>46098</v>
      </c>
      <c r="D1782" t="inlineStr">
        <is>
          <t>UPPSALA LÄN</t>
        </is>
      </c>
      <c r="E1782" t="inlineStr">
        <is>
          <t>UPPSALA</t>
        </is>
      </c>
      <c r="F1782" t="inlineStr">
        <is>
          <t>Kyrkan</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56748-2025</t>
        </is>
      </c>
      <c r="B1783" s="1" t="n">
        <v>45978.36412037037</v>
      </c>
      <c r="C1783" s="1" t="n">
        <v>46098</v>
      </c>
      <c r="D1783" t="inlineStr">
        <is>
          <t>UPPSALA LÄN</t>
        </is>
      </c>
      <c r="E1783" t="inlineStr">
        <is>
          <t>ÖSTHAMMAR</t>
        </is>
      </c>
      <c r="F1783" t="inlineStr">
        <is>
          <t>Sveaskog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43903-2025</t>
        </is>
      </c>
      <c r="B1784" s="1" t="n">
        <v>45913.39467592593</v>
      </c>
      <c r="C1784" s="1" t="n">
        <v>46098</v>
      </c>
      <c r="D1784" t="inlineStr">
        <is>
          <t>UPPSALA LÄN</t>
        </is>
      </c>
      <c r="E1784" t="inlineStr">
        <is>
          <t>UPPSALA</t>
        </is>
      </c>
      <c r="F1784" t="inlineStr">
        <is>
          <t>Bergvik skog öst AB</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14483-2024</t>
        </is>
      </c>
      <c r="B1785" s="1" t="n">
        <v>45394</v>
      </c>
      <c r="C1785" s="1" t="n">
        <v>46098</v>
      </c>
      <c r="D1785" t="inlineStr">
        <is>
          <t>UPPSALA LÄN</t>
        </is>
      </c>
      <c r="E1785" t="inlineStr">
        <is>
          <t>TIERP</t>
        </is>
      </c>
      <c r="F1785" t="inlineStr">
        <is>
          <t>Bergvik skog väst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28442-2025</t>
        </is>
      </c>
      <c r="B1786" s="1" t="n">
        <v>45819</v>
      </c>
      <c r="C1786" s="1" t="n">
        <v>46098</v>
      </c>
      <c r="D1786" t="inlineStr">
        <is>
          <t>UPPSALA LÄN</t>
        </is>
      </c>
      <c r="E1786" t="inlineStr">
        <is>
          <t>ÖSTHAMMAR</t>
        </is>
      </c>
      <c r="F1786" t="inlineStr">
        <is>
          <t>Övriga Aktiebolag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27922-2025</t>
        </is>
      </c>
      <c r="B1787" s="1" t="n">
        <v>45817</v>
      </c>
      <c r="C1787" s="1" t="n">
        <v>46098</v>
      </c>
      <c r="D1787" t="inlineStr">
        <is>
          <t>UPPSALA LÄN</t>
        </is>
      </c>
      <c r="E1787" t="inlineStr">
        <is>
          <t>UPPSALA</t>
        </is>
      </c>
      <c r="F1787" t="inlineStr">
        <is>
          <t>Övriga Aktiebolag</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39009-2024</t>
        </is>
      </c>
      <c r="B1788" s="1" t="n">
        <v>45548</v>
      </c>
      <c r="C1788" s="1" t="n">
        <v>46098</v>
      </c>
      <c r="D1788" t="inlineStr">
        <is>
          <t>UPPSALA LÄN</t>
        </is>
      </c>
      <c r="E1788" t="inlineStr">
        <is>
          <t>ENKÖPING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56745-2025</t>
        </is>
      </c>
      <c r="B1789" s="1" t="n">
        <v>45978.36157407407</v>
      </c>
      <c r="C1789" s="1" t="n">
        <v>46098</v>
      </c>
      <c r="D1789" t="inlineStr">
        <is>
          <t>UPPSALA LÄN</t>
        </is>
      </c>
      <c r="E1789" t="inlineStr">
        <is>
          <t>ÖSTHAMMAR</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57257-2025</t>
        </is>
      </c>
      <c r="B1790" s="1" t="n">
        <v>45979.65149305556</v>
      </c>
      <c r="C1790" s="1" t="n">
        <v>46098</v>
      </c>
      <c r="D1790" t="inlineStr">
        <is>
          <t>UPPSALA LÄN</t>
        </is>
      </c>
      <c r="E1790" t="inlineStr">
        <is>
          <t>ÖSTHAMMAR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8537-2025</t>
        </is>
      </c>
      <c r="B1791" s="1" t="n">
        <v>45709</v>
      </c>
      <c r="C1791" s="1" t="n">
        <v>46098</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57248-2025</t>
        </is>
      </c>
      <c r="B1792" s="1" t="n">
        <v>45979.635625</v>
      </c>
      <c r="C1792" s="1" t="n">
        <v>46098</v>
      </c>
      <c r="D1792" t="inlineStr">
        <is>
          <t>UPPSALA LÄN</t>
        </is>
      </c>
      <c r="E1792" t="inlineStr">
        <is>
          <t>ÖSTHAMMAR</t>
        </is>
      </c>
      <c r="F1792" t="inlineStr">
        <is>
          <t>Bergvik skog öst AB</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28558-2025</t>
        </is>
      </c>
      <c r="B1793" s="1" t="n">
        <v>45818</v>
      </c>
      <c r="C1793" s="1" t="n">
        <v>46098</v>
      </c>
      <c r="D1793" t="inlineStr">
        <is>
          <t>UPPSALA LÄN</t>
        </is>
      </c>
      <c r="E1793" t="inlineStr">
        <is>
          <t>HEBY</t>
        </is>
      </c>
      <c r="F1793" t="inlineStr">
        <is>
          <t>Kyrkan</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56754-2025</t>
        </is>
      </c>
      <c r="B1794" s="1" t="n">
        <v>45978.36700231482</v>
      </c>
      <c r="C1794" s="1" t="n">
        <v>46098</v>
      </c>
      <c r="D1794" t="inlineStr">
        <is>
          <t>UPPSALA LÄN</t>
        </is>
      </c>
      <c r="E1794" t="inlineStr">
        <is>
          <t>ÖSTHAMMAR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43999-2025</t>
        </is>
      </c>
      <c r="B1795" s="1" t="n">
        <v>45915.45158564814</v>
      </c>
      <c r="C1795" s="1" t="n">
        <v>46098</v>
      </c>
      <c r="D1795" t="inlineStr">
        <is>
          <t>UPPSALA LÄN</t>
        </is>
      </c>
      <c r="E1795" t="inlineStr">
        <is>
          <t>ENKÖPING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28670-2025</t>
        </is>
      </c>
      <c r="B1796" s="1" t="n">
        <v>45819.67130787037</v>
      </c>
      <c r="C1796" s="1" t="n">
        <v>46098</v>
      </c>
      <c r="D1796" t="inlineStr">
        <is>
          <t>UPPSALA LÄN</t>
        </is>
      </c>
      <c r="E1796" t="inlineStr">
        <is>
          <t>ÄLVKARLEBY</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28296-2025</t>
        </is>
      </c>
      <c r="B1797" s="1" t="n">
        <v>45818.59925925926</v>
      </c>
      <c r="C1797" s="1" t="n">
        <v>46098</v>
      </c>
      <c r="D1797" t="inlineStr">
        <is>
          <t>UPPSALA LÄN</t>
        </is>
      </c>
      <c r="E1797" t="inlineStr">
        <is>
          <t>HEBY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56753-2025</t>
        </is>
      </c>
      <c r="B1798" s="1" t="n">
        <v>45978.36677083333</v>
      </c>
      <c r="C1798" s="1" t="n">
        <v>46098</v>
      </c>
      <c r="D1798" t="inlineStr">
        <is>
          <t>UPPSALA LÄN</t>
        </is>
      </c>
      <c r="E1798" t="inlineStr">
        <is>
          <t>ÖSTHAMMAR</t>
        </is>
      </c>
      <c r="F1798" t="inlineStr">
        <is>
          <t>Sveaskog</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28668-2025</t>
        </is>
      </c>
      <c r="B1799" s="1" t="n">
        <v>45819.66650462963</v>
      </c>
      <c r="C1799" s="1" t="n">
        <v>46098</v>
      </c>
      <c r="D1799" t="inlineStr">
        <is>
          <t>UPPSALA LÄN</t>
        </is>
      </c>
      <c r="E1799" t="inlineStr">
        <is>
          <t>ÄLVKARLEBY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57277-2025</t>
        </is>
      </c>
      <c r="B1800" s="1" t="n">
        <v>45979.68946759259</v>
      </c>
      <c r="C1800" s="1" t="n">
        <v>46098</v>
      </c>
      <c r="D1800" t="inlineStr">
        <is>
          <t>UPPSALA LÄN</t>
        </is>
      </c>
      <c r="E1800" t="inlineStr">
        <is>
          <t>TIERP</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56823-2025</t>
        </is>
      </c>
      <c r="B1801" s="1" t="n">
        <v>45978.46484953703</v>
      </c>
      <c r="C1801" s="1" t="n">
        <v>46098</v>
      </c>
      <c r="D1801" t="inlineStr">
        <is>
          <t>UPPSALA LÄN</t>
        </is>
      </c>
      <c r="E1801" t="inlineStr">
        <is>
          <t>ÖSTHAMMAR</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57294-2025</t>
        </is>
      </c>
      <c r="B1802" s="1" t="n">
        <v>45979</v>
      </c>
      <c r="C1802" s="1" t="n">
        <v>46098</v>
      </c>
      <c r="D1802" t="inlineStr">
        <is>
          <t>UPPSALA LÄN</t>
        </is>
      </c>
      <c r="E1802" t="inlineStr">
        <is>
          <t>ENKÖPING</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57154-2025</t>
        </is>
      </c>
      <c r="B1803" s="1" t="n">
        <v>45979.51086805556</v>
      </c>
      <c r="C1803" s="1" t="n">
        <v>46098</v>
      </c>
      <c r="D1803" t="inlineStr">
        <is>
          <t>UPPSALA LÄN</t>
        </is>
      </c>
      <c r="E1803" t="inlineStr">
        <is>
          <t>ÖSTHAMMAR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6172-2023</t>
        </is>
      </c>
      <c r="B1804" s="1" t="n">
        <v>44964.68663194445</v>
      </c>
      <c r="C1804" s="1" t="n">
        <v>46098</v>
      </c>
      <c r="D1804" t="inlineStr">
        <is>
          <t>UPPSALA LÄN</t>
        </is>
      </c>
      <c r="E1804" t="inlineStr">
        <is>
          <t>ENKÖPING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14402-2023</t>
        </is>
      </c>
      <c r="B1805" s="1" t="n">
        <v>45012</v>
      </c>
      <c r="C1805" s="1" t="n">
        <v>46098</v>
      </c>
      <c r="D1805" t="inlineStr">
        <is>
          <t>UPPSALA LÄN</t>
        </is>
      </c>
      <c r="E1805" t="inlineStr">
        <is>
          <t>ENKÖPING</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6153-2022</t>
        </is>
      </c>
      <c r="B1806" s="1" t="n">
        <v>44599</v>
      </c>
      <c r="C1806" s="1" t="n">
        <v>46098</v>
      </c>
      <c r="D1806" t="inlineStr">
        <is>
          <t>UPPSALA LÄN</t>
        </is>
      </c>
      <c r="E1806" t="inlineStr">
        <is>
          <t>ÖSTHAMMAR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9893-2022</t>
        </is>
      </c>
      <c r="B1807" s="1" t="n">
        <v>44620.62225694444</v>
      </c>
      <c r="C1807" s="1" t="n">
        <v>46098</v>
      </c>
      <c r="D1807" t="inlineStr">
        <is>
          <t>UPPSALA LÄN</t>
        </is>
      </c>
      <c r="E1807" t="inlineStr">
        <is>
          <t>TIERP</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28252-2025</t>
        </is>
      </c>
      <c r="B1808" s="1" t="n">
        <v>45818.54159722223</v>
      </c>
      <c r="C1808" s="1" t="n">
        <v>46098</v>
      </c>
      <c r="D1808" t="inlineStr">
        <is>
          <t>UPPSALA LÄN</t>
        </is>
      </c>
      <c r="E1808" t="inlineStr">
        <is>
          <t>TIERP</t>
        </is>
      </c>
      <c r="F1808" t="inlineStr">
        <is>
          <t>Bergvik skog öst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28288-2025</t>
        </is>
      </c>
      <c r="B1809" s="1" t="n">
        <v>45818.59078703704</v>
      </c>
      <c r="C1809" s="1" t="n">
        <v>46098</v>
      </c>
      <c r="D1809" t="inlineStr">
        <is>
          <t>UPPSALA LÄN</t>
        </is>
      </c>
      <c r="E1809" t="inlineStr">
        <is>
          <t>HEBY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57789-2025</t>
        </is>
      </c>
      <c r="B1810" s="1" t="n">
        <v>45981.57793981482</v>
      </c>
      <c r="C1810" s="1" t="n">
        <v>46098</v>
      </c>
      <c r="D1810" t="inlineStr">
        <is>
          <t>UPPSALA LÄN</t>
        </is>
      </c>
      <c r="E1810" t="inlineStr">
        <is>
          <t>UPPSALA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57878-2025</t>
        </is>
      </c>
      <c r="B1811" s="1" t="n">
        <v>45981.65857638889</v>
      </c>
      <c r="C1811" s="1" t="n">
        <v>46098</v>
      </c>
      <c r="D1811" t="inlineStr">
        <is>
          <t>UPPSALA LÄN</t>
        </is>
      </c>
      <c r="E1811" t="inlineStr">
        <is>
          <t>TIERP</t>
        </is>
      </c>
      <c r="F1811" t="inlineStr">
        <is>
          <t>Bergvik skog väst AB</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28189-2025</t>
        </is>
      </c>
      <c r="B1812" s="1" t="n">
        <v>45818.41357638889</v>
      </c>
      <c r="C1812" s="1" t="n">
        <v>46098</v>
      </c>
      <c r="D1812" t="inlineStr">
        <is>
          <t>UPPSALA LÄN</t>
        </is>
      </c>
      <c r="E1812" t="inlineStr">
        <is>
          <t>KNIVSTA</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57734-2025</t>
        </is>
      </c>
      <c r="B1813" s="1" t="n">
        <v>45981.51148148148</v>
      </c>
      <c r="C1813" s="1" t="n">
        <v>46098</v>
      </c>
      <c r="D1813" t="inlineStr">
        <is>
          <t>UPPSALA LÄN</t>
        </is>
      </c>
      <c r="E1813" t="inlineStr">
        <is>
          <t>ÄLVKARLEBY</t>
        </is>
      </c>
      <c r="F1813" t="inlineStr">
        <is>
          <t>Bergvik skog väst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23728-2025</t>
        </is>
      </c>
      <c r="B1814" s="1" t="n">
        <v>45793.41719907407</v>
      </c>
      <c r="C1814" s="1" t="n">
        <v>46098</v>
      </c>
      <c r="D1814" t="inlineStr">
        <is>
          <t>UPPSALA LÄN</t>
        </is>
      </c>
      <c r="E1814" t="inlineStr">
        <is>
          <t>ÖSTHAMMAR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57631-2025</t>
        </is>
      </c>
      <c r="B1815" s="1" t="n">
        <v>45981.34748842593</v>
      </c>
      <c r="C1815" s="1" t="n">
        <v>46098</v>
      </c>
      <c r="D1815" t="inlineStr">
        <is>
          <t>UPPSALA LÄN</t>
        </is>
      </c>
      <c r="E1815" t="inlineStr">
        <is>
          <t>KNIVSTA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57657-2025</t>
        </is>
      </c>
      <c r="B1816" s="1" t="n">
        <v>45981.40962962963</v>
      </c>
      <c r="C1816" s="1" t="n">
        <v>46098</v>
      </c>
      <c r="D1816" t="inlineStr">
        <is>
          <t>UPPSALA LÄN</t>
        </is>
      </c>
      <c r="E1816" t="inlineStr">
        <is>
          <t>TIERP</t>
        </is>
      </c>
      <c r="F1816" t="inlineStr">
        <is>
          <t>Bergvik skog väst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57377-2025</t>
        </is>
      </c>
      <c r="B1817" s="1" t="n">
        <v>45980.39798611111</v>
      </c>
      <c r="C1817" s="1" t="n">
        <v>46098</v>
      </c>
      <c r="D1817" t="inlineStr">
        <is>
          <t>UPPSALA LÄN</t>
        </is>
      </c>
      <c r="E1817" t="inlineStr">
        <is>
          <t>HEBY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57397-2025</t>
        </is>
      </c>
      <c r="B1818" s="1" t="n">
        <v>45980.43013888889</v>
      </c>
      <c r="C1818" s="1" t="n">
        <v>46098</v>
      </c>
      <c r="D1818" t="inlineStr">
        <is>
          <t>UPPSALA LÄN</t>
        </is>
      </c>
      <c r="E1818" t="inlineStr">
        <is>
          <t>HEBY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57403-2025</t>
        </is>
      </c>
      <c r="B1819" s="1" t="n">
        <v>45980.43474537037</v>
      </c>
      <c r="C1819" s="1" t="n">
        <v>46098</v>
      </c>
      <c r="D1819" t="inlineStr">
        <is>
          <t>UPPSALA LÄN</t>
        </is>
      </c>
      <c r="E1819" t="inlineStr">
        <is>
          <t>HEBY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57736-2025</t>
        </is>
      </c>
      <c r="B1820" s="1" t="n">
        <v>45981</v>
      </c>
      <c r="C1820" s="1" t="n">
        <v>46098</v>
      </c>
      <c r="D1820" t="inlineStr">
        <is>
          <t>UPPSALA LÄN</t>
        </is>
      </c>
      <c r="E1820" t="inlineStr">
        <is>
          <t>UPPSALA</t>
        </is>
      </c>
      <c r="F1820" t="inlineStr">
        <is>
          <t>Kommuner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28745-2025</t>
        </is>
      </c>
      <c r="B1821" s="1" t="n">
        <v>45820.39076388889</v>
      </c>
      <c r="C1821" s="1" t="n">
        <v>46098</v>
      </c>
      <c r="D1821" t="inlineStr">
        <is>
          <t>UPPSALA LÄN</t>
        </is>
      </c>
      <c r="E1821" t="inlineStr">
        <is>
          <t>ÖSTHAMMAR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28748-2025</t>
        </is>
      </c>
      <c r="B1822" s="1" t="n">
        <v>45820.39540509259</v>
      </c>
      <c r="C1822" s="1" t="n">
        <v>46098</v>
      </c>
      <c r="D1822" t="inlineStr">
        <is>
          <t>UPPSALA LÄN</t>
        </is>
      </c>
      <c r="E1822" t="inlineStr">
        <is>
          <t>ÖSTHAMMAR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28758-2025</t>
        </is>
      </c>
      <c r="B1823" s="1" t="n">
        <v>45820.41212962963</v>
      </c>
      <c r="C1823" s="1" t="n">
        <v>46098</v>
      </c>
      <c r="D1823" t="inlineStr">
        <is>
          <t>UPPSALA LÄN</t>
        </is>
      </c>
      <c r="E1823" t="inlineStr">
        <is>
          <t>ENKÖPING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57811-2025</t>
        </is>
      </c>
      <c r="B1824" s="1" t="n">
        <v>45981.5921875</v>
      </c>
      <c r="C1824" s="1" t="n">
        <v>46098</v>
      </c>
      <c r="D1824" t="inlineStr">
        <is>
          <t>UPPSALA LÄN</t>
        </is>
      </c>
      <c r="E1824" t="inlineStr">
        <is>
          <t>TIERP</t>
        </is>
      </c>
      <c r="F1824" t="inlineStr">
        <is>
          <t>Bergvik skog väst AB</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28862-2025</t>
        </is>
      </c>
      <c r="B1825" s="1" t="n">
        <v>45820.59189814814</v>
      </c>
      <c r="C1825" s="1" t="n">
        <v>46098</v>
      </c>
      <c r="D1825" t="inlineStr">
        <is>
          <t>UPPSALA LÄN</t>
        </is>
      </c>
      <c r="E1825" t="inlineStr">
        <is>
          <t>ENKÖPING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28876-2025</t>
        </is>
      </c>
      <c r="B1826" s="1" t="n">
        <v>45820</v>
      </c>
      <c r="C1826" s="1" t="n">
        <v>46098</v>
      </c>
      <c r="D1826" t="inlineStr">
        <is>
          <t>UPPSALA LÄN</t>
        </is>
      </c>
      <c r="E1826" t="inlineStr">
        <is>
          <t>UPPSALA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57709-2025</t>
        </is>
      </c>
      <c r="B1827" s="1" t="n">
        <v>45981</v>
      </c>
      <c r="C1827" s="1" t="n">
        <v>46098</v>
      </c>
      <c r="D1827" t="inlineStr">
        <is>
          <t>UPPSALA LÄN</t>
        </is>
      </c>
      <c r="E1827" t="inlineStr">
        <is>
          <t>UPPSALA</t>
        </is>
      </c>
      <c r="F1827" t="inlineStr">
        <is>
          <t>Kommuner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28855-2025</t>
        </is>
      </c>
      <c r="B1828" s="1" t="n">
        <v>45820.58274305556</v>
      </c>
      <c r="C1828" s="1" t="n">
        <v>46098</v>
      </c>
      <c r="D1828" t="inlineStr">
        <is>
          <t>UPPSALA LÄN</t>
        </is>
      </c>
      <c r="E1828" t="inlineStr">
        <is>
          <t>ENKÖPING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43855-2025</t>
        </is>
      </c>
      <c r="B1829" s="1" t="n">
        <v>45912.64322916666</v>
      </c>
      <c r="C1829" s="1" t="n">
        <v>46098</v>
      </c>
      <c r="D1829" t="inlineStr">
        <is>
          <t>UPPSALA LÄN</t>
        </is>
      </c>
      <c r="E1829" t="inlineStr">
        <is>
          <t>HEBY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57803-2025</t>
        </is>
      </c>
      <c r="B1830" s="1" t="n">
        <v>45981.58480324074</v>
      </c>
      <c r="C1830" s="1" t="n">
        <v>46098</v>
      </c>
      <c r="D1830" t="inlineStr">
        <is>
          <t>UPPSALA LÄN</t>
        </is>
      </c>
      <c r="E1830" t="inlineStr">
        <is>
          <t>HEBY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29024-2025</t>
        </is>
      </c>
      <c r="B1831" s="1" t="n">
        <v>45821.43233796296</v>
      </c>
      <c r="C1831" s="1" t="n">
        <v>46098</v>
      </c>
      <c r="D1831" t="inlineStr">
        <is>
          <t>UPPSALA LÄN</t>
        </is>
      </c>
      <c r="E1831" t="inlineStr">
        <is>
          <t>ÖSTHAMMAR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29031-2025</t>
        </is>
      </c>
      <c r="B1832" s="1" t="n">
        <v>45821.44159722222</v>
      </c>
      <c r="C1832" s="1" t="n">
        <v>46098</v>
      </c>
      <c r="D1832" t="inlineStr">
        <is>
          <t>UPPSALA LÄN</t>
        </is>
      </c>
      <c r="E1832" t="inlineStr">
        <is>
          <t>ÖSTHAMMAR</t>
        </is>
      </c>
      <c r="F1832" t="inlineStr">
        <is>
          <t>Bergvik skog öst AB</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28739-2025</t>
        </is>
      </c>
      <c r="B1833" s="1" t="n">
        <v>45820</v>
      </c>
      <c r="C1833" s="1" t="n">
        <v>46098</v>
      </c>
      <c r="D1833" t="inlineStr">
        <is>
          <t>UPPSALA LÄN</t>
        </is>
      </c>
      <c r="E1833" t="inlineStr">
        <is>
          <t>ÖSTHAMMAR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57827-2025</t>
        </is>
      </c>
      <c r="B1834" s="1" t="n">
        <v>45981.60923611111</v>
      </c>
      <c r="C1834" s="1" t="n">
        <v>46098</v>
      </c>
      <c r="D1834" t="inlineStr">
        <is>
          <t>UPPSALA LÄN</t>
        </is>
      </c>
      <c r="E1834" t="inlineStr">
        <is>
          <t>UPPSALA</t>
        </is>
      </c>
      <c r="F1834" t="inlineStr">
        <is>
          <t>Kyrkan</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57692-2025</t>
        </is>
      </c>
      <c r="B1835" s="1" t="n">
        <v>45981.4483912037</v>
      </c>
      <c r="C1835" s="1" t="n">
        <v>46098</v>
      </c>
      <c r="D1835" t="inlineStr">
        <is>
          <t>UPPSALA LÄN</t>
        </is>
      </c>
      <c r="E1835" t="inlineStr">
        <is>
          <t>TIERP</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57699-2025</t>
        </is>
      </c>
      <c r="B1836" s="1" t="n">
        <v>45981.45741898148</v>
      </c>
      <c r="C1836" s="1" t="n">
        <v>46098</v>
      </c>
      <c r="D1836" t="inlineStr">
        <is>
          <t>UPPSALA LÄN</t>
        </is>
      </c>
      <c r="E1836" t="inlineStr">
        <is>
          <t>TIERP</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28871-2025</t>
        </is>
      </c>
      <c r="B1837" s="1" t="n">
        <v>45820</v>
      </c>
      <c r="C1837" s="1" t="n">
        <v>46098</v>
      </c>
      <c r="D1837" t="inlineStr">
        <is>
          <t>UPPSALA LÄN</t>
        </is>
      </c>
      <c r="E1837" t="inlineStr">
        <is>
          <t>UPPSALA</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28878-2025</t>
        </is>
      </c>
      <c r="B1838" s="1" t="n">
        <v>45820</v>
      </c>
      <c r="C1838" s="1" t="n">
        <v>46098</v>
      </c>
      <c r="D1838" t="inlineStr">
        <is>
          <t>UPPSALA LÄN</t>
        </is>
      </c>
      <c r="E1838" t="inlineStr">
        <is>
          <t>UPPSALA</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57796-2025</t>
        </is>
      </c>
      <c r="B1839" s="1" t="n">
        <v>45981.58204861111</v>
      </c>
      <c r="C1839" s="1" t="n">
        <v>46098</v>
      </c>
      <c r="D1839" t="inlineStr">
        <is>
          <t>UPPSALA LÄN</t>
        </is>
      </c>
      <c r="E1839" t="inlineStr">
        <is>
          <t>UPPSALA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29028-2025</t>
        </is>
      </c>
      <c r="B1840" s="1" t="n">
        <v>45821.4384375</v>
      </c>
      <c r="C1840" s="1" t="n">
        <v>46098</v>
      </c>
      <c r="D1840" t="inlineStr">
        <is>
          <t>UPPSALA LÄN</t>
        </is>
      </c>
      <c r="E1840" t="inlineStr">
        <is>
          <t>ÖSTHAMMAR</t>
        </is>
      </c>
      <c r="F1840" t="inlineStr">
        <is>
          <t>Bergvik skog öst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57836-2025</t>
        </is>
      </c>
      <c r="B1841" s="1" t="n">
        <v>45981.61822916667</v>
      </c>
      <c r="C1841" s="1" t="n">
        <v>46098</v>
      </c>
      <c r="D1841" t="inlineStr">
        <is>
          <t>UPPSALA LÄN</t>
        </is>
      </c>
      <c r="E1841" t="inlineStr">
        <is>
          <t>UPPSALA</t>
        </is>
      </c>
      <c r="F1841" t="inlineStr">
        <is>
          <t>Kyrkan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57410-2025</t>
        </is>
      </c>
      <c r="B1842" s="1" t="n">
        <v>45980.4484837963</v>
      </c>
      <c r="C1842" s="1" t="n">
        <v>46098</v>
      </c>
      <c r="D1842" t="inlineStr">
        <is>
          <t>UPPSALA LÄN</t>
        </is>
      </c>
      <c r="E1842" t="inlineStr">
        <is>
          <t>UPPSALA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57422-2025</t>
        </is>
      </c>
      <c r="B1843" s="1" t="n">
        <v>45980.45951388889</v>
      </c>
      <c r="C1843" s="1" t="n">
        <v>46098</v>
      </c>
      <c r="D1843" t="inlineStr">
        <is>
          <t>UPPSALA LÄN</t>
        </is>
      </c>
      <c r="E1843" t="inlineStr">
        <is>
          <t>TIERP</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29029-2025</t>
        </is>
      </c>
      <c r="B1844" s="1" t="n">
        <v>45821.43973379629</v>
      </c>
      <c r="C1844" s="1" t="n">
        <v>46098</v>
      </c>
      <c r="D1844" t="inlineStr">
        <is>
          <t>UPPSALA LÄN</t>
        </is>
      </c>
      <c r="E1844" t="inlineStr">
        <is>
          <t>ÖSTHAMMAR</t>
        </is>
      </c>
      <c r="F1844" t="inlineStr">
        <is>
          <t>Bergvik skog öst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29030-2025</t>
        </is>
      </c>
      <c r="B1845" s="1" t="n">
        <v>45821.44101851852</v>
      </c>
      <c r="C1845" s="1" t="n">
        <v>46098</v>
      </c>
      <c r="D1845" t="inlineStr">
        <is>
          <t>UPPSALA LÄN</t>
        </is>
      </c>
      <c r="E1845" t="inlineStr">
        <is>
          <t>UPPSALA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28812-2025</t>
        </is>
      </c>
      <c r="B1846" s="1" t="n">
        <v>45820</v>
      </c>
      <c r="C1846" s="1" t="n">
        <v>46098</v>
      </c>
      <c r="D1846" t="inlineStr">
        <is>
          <t>UPPSALA LÄN</t>
        </is>
      </c>
      <c r="E1846" t="inlineStr">
        <is>
          <t>HEBY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29093-2025</t>
        </is>
      </c>
      <c r="B1847" s="1" t="n">
        <v>45821.55743055556</v>
      </c>
      <c r="C1847" s="1" t="n">
        <v>46098</v>
      </c>
      <c r="D1847" t="inlineStr">
        <is>
          <t>UPPSALA LÄN</t>
        </is>
      </c>
      <c r="E1847" t="inlineStr">
        <is>
          <t>ENKÖPING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55780-2024</t>
        </is>
      </c>
      <c r="B1848" s="1" t="n">
        <v>45623.41342592592</v>
      </c>
      <c r="C1848" s="1" t="n">
        <v>46098</v>
      </c>
      <c r="D1848" t="inlineStr">
        <is>
          <t>UPPSALA LÄN</t>
        </is>
      </c>
      <c r="E1848" t="inlineStr">
        <is>
          <t>TIERP</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1572-2023</t>
        </is>
      </c>
      <c r="B1849" s="1" t="n">
        <v>44937.61023148148</v>
      </c>
      <c r="C1849" s="1" t="n">
        <v>46098</v>
      </c>
      <c r="D1849" t="inlineStr">
        <is>
          <t>UPPSALA LÄN</t>
        </is>
      </c>
      <c r="E1849" t="inlineStr">
        <is>
          <t>TIERP</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22529-2025</t>
        </is>
      </c>
      <c r="B1850" s="1" t="n">
        <v>45786</v>
      </c>
      <c r="C1850" s="1" t="n">
        <v>46098</v>
      </c>
      <c r="D1850" t="inlineStr">
        <is>
          <t>UPPSALA LÄN</t>
        </is>
      </c>
      <c r="E1850" t="inlineStr">
        <is>
          <t>TIERP</t>
        </is>
      </c>
      <c r="F1850" t="inlineStr">
        <is>
          <t>Övriga Aktiebolag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57818-2024</t>
        </is>
      </c>
      <c r="B1851" s="1" t="n">
        <v>45631.38019675926</v>
      </c>
      <c r="C1851" s="1" t="n">
        <v>46098</v>
      </c>
      <c r="D1851" t="inlineStr">
        <is>
          <t>UPPSALA LÄN</t>
        </is>
      </c>
      <c r="E1851" t="inlineStr">
        <is>
          <t>TIERP</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33570-2025</t>
        </is>
      </c>
      <c r="B1852" s="1" t="n">
        <v>45841</v>
      </c>
      <c r="C1852" s="1" t="n">
        <v>46098</v>
      </c>
      <c r="D1852" t="inlineStr">
        <is>
          <t>UPPSALA LÄN</t>
        </is>
      </c>
      <c r="E1852" t="inlineStr">
        <is>
          <t>TIERP</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58134-2025</t>
        </is>
      </c>
      <c r="B1853" s="1" t="n">
        <v>45982.61978009259</v>
      </c>
      <c r="C1853" s="1" t="n">
        <v>46098</v>
      </c>
      <c r="D1853" t="inlineStr">
        <is>
          <t>UPPSALA LÄN</t>
        </is>
      </c>
      <c r="E1853" t="inlineStr">
        <is>
          <t>TIERP</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57532-2022</t>
        </is>
      </c>
      <c r="B1854" s="1" t="n">
        <v>44896.68234953703</v>
      </c>
      <c r="C1854" s="1" t="n">
        <v>46098</v>
      </c>
      <c r="D1854" t="inlineStr">
        <is>
          <t>UPPSALA LÄN</t>
        </is>
      </c>
      <c r="E1854" t="inlineStr">
        <is>
          <t>TIERP</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57536-2022</t>
        </is>
      </c>
      <c r="B1855" s="1" t="n">
        <v>44896.69231481481</v>
      </c>
      <c r="C1855" s="1" t="n">
        <v>46098</v>
      </c>
      <c r="D1855" t="inlineStr">
        <is>
          <t>UPPSALA LÄN</t>
        </is>
      </c>
      <c r="E1855" t="inlineStr">
        <is>
          <t>TIERP</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73-2023</t>
        </is>
      </c>
      <c r="B1856" s="1" t="n">
        <v>44928.45600694444</v>
      </c>
      <c r="C1856" s="1" t="n">
        <v>46098</v>
      </c>
      <c r="D1856" t="inlineStr">
        <is>
          <t>UPPSALA LÄN</t>
        </is>
      </c>
      <c r="E1856" t="inlineStr">
        <is>
          <t>TIERP</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4329-2023</t>
        </is>
      </c>
      <c r="B1857" s="1" t="n">
        <v>44953</v>
      </c>
      <c r="C1857" s="1" t="n">
        <v>46098</v>
      </c>
      <c r="D1857" t="inlineStr">
        <is>
          <t>UPPSALA LÄN</t>
        </is>
      </c>
      <c r="E1857" t="inlineStr">
        <is>
          <t>TIERP</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21478-2023</t>
        </is>
      </c>
      <c r="B1858" s="1" t="n">
        <v>45063.47773148148</v>
      </c>
      <c r="C1858" s="1" t="n">
        <v>46098</v>
      </c>
      <c r="D1858" t="inlineStr">
        <is>
          <t>UPPSALA LÄN</t>
        </is>
      </c>
      <c r="E1858" t="inlineStr">
        <is>
          <t>ÖSTHAMMAR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57907-2025</t>
        </is>
      </c>
      <c r="B1859" s="1" t="n">
        <v>45981.78840277778</v>
      </c>
      <c r="C1859" s="1" t="n">
        <v>46098</v>
      </c>
      <c r="D1859" t="inlineStr">
        <is>
          <t>UPPSALA LÄN</t>
        </is>
      </c>
      <c r="E1859" t="inlineStr">
        <is>
          <t>ÖSTHAMMAR</t>
        </is>
      </c>
      <c r="F1859" t="inlineStr">
        <is>
          <t>Bergvik skog öst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44659-2025</t>
        </is>
      </c>
      <c r="B1860" s="1" t="n">
        <v>45917.55430555555</v>
      </c>
      <c r="C1860" s="1" t="n">
        <v>46098</v>
      </c>
      <c r="D1860" t="inlineStr">
        <is>
          <t>UPPSALA LÄN</t>
        </is>
      </c>
      <c r="E1860" t="inlineStr">
        <is>
          <t>TIERP</t>
        </is>
      </c>
      <c r="F1860" t="inlineStr">
        <is>
          <t>Bergvik skog väst AB</t>
        </is>
      </c>
      <c r="G1860" t="n">
        <v>12.2</v>
      </c>
      <c r="H1860" t="n">
        <v>0</v>
      </c>
      <c r="I1860" t="n">
        <v>0</v>
      </c>
      <c r="J1860" t="n">
        <v>0</v>
      </c>
      <c r="K1860" t="n">
        <v>0</v>
      </c>
      <c r="L1860" t="n">
        <v>0</v>
      </c>
      <c r="M1860" t="n">
        <v>0</v>
      </c>
      <c r="N1860" t="n">
        <v>0</v>
      </c>
      <c r="O1860" t="n">
        <v>0</v>
      </c>
      <c r="P1860" t="n">
        <v>0</v>
      </c>
      <c r="Q1860" t="n">
        <v>0</v>
      </c>
      <c r="R1860" s="2" t="inlineStr"/>
    </row>
    <row r="1861" ht="15" customHeight="1">
      <c r="A1861" t="inlineStr">
        <is>
          <t>A 57908-2025</t>
        </is>
      </c>
      <c r="B1861" s="1" t="n">
        <v>45981.78886574074</v>
      </c>
      <c r="C1861" s="1" t="n">
        <v>46098</v>
      </c>
      <c r="D1861" t="inlineStr">
        <is>
          <t>UPPSALA LÄN</t>
        </is>
      </c>
      <c r="E1861" t="inlineStr">
        <is>
          <t>ÖSTHAMMAR</t>
        </is>
      </c>
      <c r="F1861" t="inlineStr">
        <is>
          <t>Bergvik skog öst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57973-2025</t>
        </is>
      </c>
      <c r="B1862" s="1" t="n">
        <v>45982.39260416666</v>
      </c>
      <c r="C1862" s="1" t="n">
        <v>46098</v>
      </c>
      <c r="D1862" t="inlineStr">
        <is>
          <t>UPPSALA LÄN</t>
        </is>
      </c>
      <c r="E1862" t="inlineStr">
        <is>
          <t>HEBY</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206-2024</t>
        </is>
      </c>
      <c r="B1863" s="1" t="n">
        <v>45294.65653935185</v>
      </c>
      <c r="C1863" s="1" t="n">
        <v>46098</v>
      </c>
      <c r="D1863" t="inlineStr">
        <is>
          <t>UPPSALA LÄN</t>
        </is>
      </c>
      <c r="E1863" t="inlineStr">
        <is>
          <t>HEBY</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58168-2025</t>
        </is>
      </c>
      <c r="B1864" s="1" t="n">
        <v>45982.72024305556</v>
      </c>
      <c r="C1864" s="1" t="n">
        <v>46098</v>
      </c>
      <c r="D1864" t="inlineStr">
        <is>
          <t>UPPSALA LÄN</t>
        </is>
      </c>
      <c r="E1864" t="inlineStr">
        <is>
          <t>ÄLVKARLEBY</t>
        </is>
      </c>
      <c r="F1864" t="inlineStr">
        <is>
          <t>Bergvik skog väst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58025-2025</t>
        </is>
      </c>
      <c r="B1865" s="1" t="n">
        <v>45982</v>
      </c>
      <c r="C1865" s="1" t="n">
        <v>46098</v>
      </c>
      <c r="D1865" t="inlineStr">
        <is>
          <t>UPPSALA LÄN</t>
        </is>
      </c>
      <c r="E1865" t="inlineStr">
        <is>
          <t>ENKÖPING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57971-2025</t>
        </is>
      </c>
      <c r="B1866" s="1" t="n">
        <v>45982.3860300926</v>
      </c>
      <c r="C1866" s="1" t="n">
        <v>46098</v>
      </c>
      <c r="D1866" t="inlineStr">
        <is>
          <t>UPPSALA LÄN</t>
        </is>
      </c>
      <c r="E1866" t="inlineStr">
        <is>
          <t>HEBY</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35196-2025</t>
        </is>
      </c>
      <c r="B1867" s="1" t="n">
        <v>45853</v>
      </c>
      <c r="C1867" s="1" t="n">
        <v>46098</v>
      </c>
      <c r="D1867" t="inlineStr">
        <is>
          <t>UPPSALA LÄN</t>
        </is>
      </c>
      <c r="E1867" t="inlineStr">
        <is>
          <t>TIERP</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44419-2025</t>
        </is>
      </c>
      <c r="B1868" s="1" t="n">
        <v>45916.54671296296</v>
      </c>
      <c r="C1868" s="1" t="n">
        <v>46098</v>
      </c>
      <c r="D1868" t="inlineStr">
        <is>
          <t>UPPSALA LÄN</t>
        </is>
      </c>
      <c r="E1868" t="inlineStr">
        <is>
          <t>ENKÖPING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44675-2025</t>
        </is>
      </c>
      <c r="B1869" s="1" t="n">
        <v>45917.56850694444</v>
      </c>
      <c r="C1869" s="1" t="n">
        <v>46098</v>
      </c>
      <c r="D1869" t="inlineStr">
        <is>
          <t>UPPSALA LÄN</t>
        </is>
      </c>
      <c r="E1869" t="inlineStr">
        <is>
          <t>TIERP</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53206-2025</t>
        </is>
      </c>
      <c r="B1870" s="1" t="n">
        <v>45958.58711805556</v>
      </c>
      <c r="C1870" s="1" t="n">
        <v>46098</v>
      </c>
      <c r="D1870" t="inlineStr">
        <is>
          <t>UPPSALA LÄN</t>
        </is>
      </c>
      <c r="E1870" t="inlineStr">
        <is>
          <t>UPPSALA</t>
        </is>
      </c>
      <c r="F1870" t="inlineStr">
        <is>
          <t>Bergvik skog väst AB</t>
        </is>
      </c>
      <c r="G1870" t="n">
        <v>18.6</v>
      </c>
      <c r="H1870" t="n">
        <v>0</v>
      </c>
      <c r="I1870" t="n">
        <v>0</v>
      </c>
      <c r="J1870" t="n">
        <v>0</v>
      </c>
      <c r="K1870" t="n">
        <v>0</v>
      </c>
      <c r="L1870" t="n">
        <v>0</v>
      </c>
      <c r="M1870" t="n">
        <v>0</v>
      </c>
      <c r="N1870" t="n">
        <v>0</v>
      </c>
      <c r="O1870" t="n">
        <v>0</v>
      </c>
      <c r="P1870" t="n">
        <v>0</v>
      </c>
      <c r="Q1870" t="n">
        <v>0</v>
      </c>
      <c r="R1870" s="2" t="inlineStr"/>
    </row>
    <row r="1871" ht="15" customHeight="1">
      <c r="A1871" t="inlineStr">
        <is>
          <t>A 34044-2025</t>
        </is>
      </c>
      <c r="B1871" s="1" t="n">
        <v>45845.38168981481</v>
      </c>
      <c r="C1871" s="1" t="n">
        <v>46098</v>
      </c>
      <c r="D1871" t="inlineStr">
        <is>
          <t>UPPSALA LÄN</t>
        </is>
      </c>
      <c r="E1871" t="inlineStr">
        <is>
          <t>TIERP</t>
        </is>
      </c>
      <c r="F1871" t="inlineStr">
        <is>
          <t>Övriga Aktiebolag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29730-2025</t>
        </is>
      </c>
      <c r="B1872" s="1" t="n">
        <v>45825.58105324074</v>
      </c>
      <c r="C1872" s="1" t="n">
        <v>46098</v>
      </c>
      <c r="D1872" t="inlineStr">
        <is>
          <t>UPPSALA LÄN</t>
        </is>
      </c>
      <c r="E1872" t="inlineStr">
        <is>
          <t>HEBY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57944-2025</t>
        </is>
      </c>
      <c r="B1873" s="1" t="n">
        <v>45982.32059027778</v>
      </c>
      <c r="C1873" s="1" t="n">
        <v>46098</v>
      </c>
      <c r="D1873" t="inlineStr">
        <is>
          <t>UPPSALA LÄN</t>
        </is>
      </c>
      <c r="E1873" t="inlineStr">
        <is>
          <t>TIERP</t>
        </is>
      </c>
      <c r="F1873" t="inlineStr">
        <is>
          <t>Övriga Aktiebolag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57945-2025</t>
        </is>
      </c>
      <c r="B1874" s="1" t="n">
        <v>45982.32641203704</v>
      </c>
      <c r="C1874" s="1" t="n">
        <v>46098</v>
      </c>
      <c r="D1874" t="inlineStr">
        <is>
          <t>UPPSALA LÄN</t>
        </is>
      </c>
      <c r="E1874" t="inlineStr">
        <is>
          <t>TIERP</t>
        </is>
      </c>
      <c r="F1874" t="inlineStr">
        <is>
          <t>Övriga Aktiebolag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57966-2025</t>
        </is>
      </c>
      <c r="B1875" s="1" t="n">
        <v>45982.38324074074</v>
      </c>
      <c r="C1875" s="1" t="n">
        <v>46098</v>
      </c>
      <c r="D1875" t="inlineStr">
        <is>
          <t>UPPSALA LÄN</t>
        </is>
      </c>
      <c r="E1875" t="inlineStr">
        <is>
          <t>TIERP</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30125-2024</t>
        </is>
      </c>
      <c r="B1876" s="1" t="n">
        <v>45489</v>
      </c>
      <c r="C1876" s="1" t="n">
        <v>46098</v>
      </c>
      <c r="D1876" t="inlineStr">
        <is>
          <t>UPPSALA LÄN</t>
        </is>
      </c>
      <c r="E1876" t="inlineStr">
        <is>
          <t>TIERP</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29536-2023</t>
        </is>
      </c>
      <c r="B1877" s="1" t="n">
        <v>45106.63622685185</v>
      </c>
      <c r="C1877" s="1" t="n">
        <v>46098</v>
      </c>
      <c r="D1877" t="inlineStr">
        <is>
          <t>UPPSALA LÄN</t>
        </is>
      </c>
      <c r="E1877" t="inlineStr">
        <is>
          <t>HEBY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1202-2025</t>
        </is>
      </c>
      <c r="B1878" s="1" t="n">
        <v>45667</v>
      </c>
      <c r="C1878" s="1" t="n">
        <v>46098</v>
      </c>
      <c r="D1878" t="inlineStr">
        <is>
          <t>UPPSALA LÄN</t>
        </is>
      </c>
      <c r="E1878" t="inlineStr">
        <is>
          <t>TIERP</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31421-2025</t>
        </is>
      </c>
      <c r="B1879" s="1" t="n">
        <v>45833.48898148148</v>
      </c>
      <c r="C1879" s="1" t="n">
        <v>46098</v>
      </c>
      <c r="D1879" t="inlineStr">
        <is>
          <t>UPPSALA LÄN</t>
        </is>
      </c>
      <c r="E1879" t="inlineStr">
        <is>
          <t>TIERP</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31383-2025</t>
        </is>
      </c>
      <c r="B1880" s="1" t="n">
        <v>45833.45049768518</v>
      </c>
      <c r="C1880" s="1" t="n">
        <v>46098</v>
      </c>
      <c r="D1880" t="inlineStr">
        <is>
          <t>UPPSALA LÄN</t>
        </is>
      </c>
      <c r="E1880" t="inlineStr">
        <is>
          <t>TIERP</t>
        </is>
      </c>
      <c r="F1880" t="inlineStr">
        <is>
          <t>Övriga Aktiebolag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26421-2023</t>
        </is>
      </c>
      <c r="B1881" s="1" t="n">
        <v>45092</v>
      </c>
      <c r="C1881" s="1" t="n">
        <v>46098</v>
      </c>
      <c r="D1881" t="inlineStr">
        <is>
          <t>UPPSALA LÄN</t>
        </is>
      </c>
      <c r="E1881" t="inlineStr">
        <is>
          <t>HEBY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30583-2025</t>
        </is>
      </c>
      <c r="B1882" s="1" t="n">
        <v>45831.42365740741</v>
      </c>
      <c r="C1882" s="1" t="n">
        <v>46098</v>
      </c>
      <c r="D1882" t="inlineStr">
        <is>
          <t>UPPSALA LÄN</t>
        </is>
      </c>
      <c r="E1882" t="inlineStr">
        <is>
          <t>UPPSALA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44470-2025</t>
        </is>
      </c>
      <c r="B1883" s="1" t="n">
        <v>45916</v>
      </c>
      <c r="C1883" s="1" t="n">
        <v>46098</v>
      </c>
      <c r="D1883" t="inlineStr">
        <is>
          <t>UPPSALA LÄN</t>
        </is>
      </c>
      <c r="E1883" t="inlineStr">
        <is>
          <t>UPPSALA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27494-2025</t>
        </is>
      </c>
      <c r="B1884" s="1" t="n">
        <v>45813.39756944445</v>
      </c>
      <c r="C1884" s="1" t="n">
        <v>46098</v>
      </c>
      <c r="D1884" t="inlineStr">
        <is>
          <t>UPPSALA LÄN</t>
        </is>
      </c>
      <c r="E1884" t="inlineStr">
        <is>
          <t>ÖSTHAMMAR</t>
        </is>
      </c>
      <c r="F1884" t="inlineStr">
        <is>
          <t>Bergvik skog öst AB</t>
        </is>
      </c>
      <c r="G1884" t="n">
        <v>23.4</v>
      </c>
      <c r="H1884" t="n">
        <v>0</v>
      </c>
      <c r="I1884" t="n">
        <v>0</v>
      </c>
      <c r="J1884" t="n">
        <v>0</v>
      </c>
      <c r="K1884" t="n">
        <v>0</v>
      </c>
      <c r="L1884" t="n">
        <v>0</v>
      </c>
      <c r="M1884" t="n">
        <v>0</v>
      </c>
      <c r="N1884" t="n">
        <v>0</v>
      </c>
      <c r="O1884" t="n">
        <v>0</v>
      </c>
      <c r="P1884" t="n">
        <v>0</v>
      </c>
      <c r="Q1884" t="n">
        <v>0</v>
      </c>
      <c r="R1884" s="2" t="inlineStr"/>
    </row>
    <row r="1885" ht="15" customHeight="1">
      <c r="A1885" t="inlineStr">
        <is>
          <t>A 34035-2025</t>
        </is>
      </c>
      <c r="B1885" s="1" t="n">
        <v>45845.36872685186</v>
      </c>
      <c r="C1885" s="1" t="n">
        <v>46098</v>
      </c>
      <c r="D1885" t="inlineStr">
        <is>
          <t>UPPSALA LÄN</t>
        </is>
      </c>
      <c r="E1885" t="inlineStr">
        <is>
          <t>TIERP</t>
        </is>
      </c>
      <c r="F1885" t="inlineStr">
        <is>
          <t>Övriga Aktiebolag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34730-2025</t>
        </is>
      </c>
      <c r="B1886" s="1" t="n">
        <v>45848.58708333333</v>
      </c>
      <c r="C1886" s="1" t="n">
        <v>46098</v>
      </c>
      <c r="D1886" t="inlineStr">
        <is>
          <t>UPPSALA LÄN</t>
        </is>
      </c>
      <c r="E1886" t="inlineStr">
        <is>
          <t>TIERP</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43871-2025</t>
        </is>
      </c>
      <c r="B1887" s="1" t="n">
        <v>45912.66787037037</v>
      </c>
      <c r="C1887" s="1" t="n">
        <v>46098</v>
      </c>
      <c r="D1887" t="inlineStr">
        <is>
          <t>UPPSALA LÄN</t>
        </is>
      </c>
      <c r="E1887" t="inlineStr">
        <is>
          <t>TIERP</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43874-2025</t>
        </is>
      </c>
      <c r="B1888" s="1" t="n">
        <v>45912.67517361111</v>
      </c>
      <c r="C1888" s="1" t="n">
        <v>46098</v>
      </c>
      <c r="D1888" t="inlineStr">
        <is>
          <t>UPPSALA LÄN</t>
        </is>
      </c>
      <c r="E1888" t="inlineStr">
        <is>
          <t>TIERP</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58399-2025</t>
        </is>
      </c>
      <c r="B1889" s="1" t="n">
        <v>45985.56244212963</v>
      </c>
      <c r="C1889" s="1" t="n">
        <v>46098</v>
      </c>
      <c r="D1889" t="inlineStr">
        <is>
          <t>UPPSALA LÄN</t>
        </is>
      </c>
      <c r="E1889" t="inlineStr">
        <is>
          <t>ÖSTHAMMAR</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29384-2025</t>
        </is>
      </c>
      <c r="B1890" s="1" t="n">
        <v>45824</v>
      </c>
      <c r="C1890" s="1" t="n">
        <v>46098</v>
      </c>
      <c r="D1890" t="inlineStr">
        <is>
          <t>UPPSALA LÄN</t>
        </is>
      </c>
      <c r="E1890" t="inlineStr">
        <is>
          <t>ÖSTHAMMAR</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29739-2025</t>
        </is>
      </c>
      <c r="B1891" s="1" t="n">
        <v>45825.59010416667</v>
      </c>
      <c r="C1891" s="1" t="n">
        <v>46098</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44491-2025</t>
        </is>
      </c>
      <c r="B1892" s="1" t="n">
        <v>45916.66152777777</v>
      </c>
      <c r="C1892" s="1" t="n">
        <v>46098</v>
      </c>
      <c r="D1892" t="inlineStr">
        <is>
          <t>UPPSALA LÄN</t>
        </is>
      </c>
      <c r="E1892" t="inlineStr">
        <is>
          <t>ÖSTHAMMAR</t>
        </is>
      </c>
      <c r="F1892" t="inlineStr">
        <is>
          <t>Bergvik skog öst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30110-2024</t>
        </is>
      </c>
      <c r="B1893" s="1" t="n">
        <v>45489</v>
      </c>
      <c r="C1893" s="1" t="n">
        <v>46098</v>
      </c>
      <c r="D1893" t="inlineStr">
        <is>
          <t>UPPSALA LÄN</t>
        </is>
      </c>
      <c r="E1893" t="inlineStr">
        <is>
          <t>TIERP</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56350-2022</t>
        </is>
      </c>
      <c r="B1894" s="1" t="n">
        <v>44890</v>
      </c>
      <c r="C1894" s="1" t="n">
        <v>46098</v>
      </c>
      <c r="D1894" t="inlineStr">
        <is>
          <t>UPPSALA LÄN</t>
        </is>
      </c>
      <c r="E1894" t="inlineStr">
        <is>
          <t>TIERP</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22672-2023</t>
        </is>
      </c>
      <c r="B1895" s="1" t="n">
        <v>45071.64012731481</v>
      </c>
      <c r="C1895" s="1" t="n">
        <v>46098</v>
      </c>
      <c r="D1895" t="inlineStr">
        <is>
          <t>UPPSALA LÄN</t>
        </is>
      </c>
      <c r="E1895" t="inlineStr">
        <is>
          <t>TIERP</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26449-2023</t>
        </is>
      </c>
      <c r="B1896" s="1" t="n">
        <v>45092</v>
      </c>
      <c r="C1896" s="1" t="n">
        <v>46098</v>
      </c>
      <c r="D1896" t="inlineStr">
        <is>
          <t>UPPSALA LÄN</t>
        </is>
      </c>
      <c r="E1896" t="inlineStr">
        <is>
          <t>HEBY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59923-2023</t>
        </is>
      </c>
      <c r="B1897" s="1" t="n">
        <v>45257.65261574074</v>
      </c>
      <c r="C1897" s="1" t="n">
        <v>46098</v>
      </c>
      <c r="D1897" t="inlineStr">
        <is>
          <t>UPPSALA LÄN</t>
        </is>
      </c>
      <c r="E1897" t="inlineStr">
        <is>
          <t>TIERP</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56947-2022</t>
        </is>
      </c>
      <c r="B1898" s="1" t="n">
        <v>44894</v>
      </c>
      <c r="C1898" s="1" t="n">
        <v>46098</v>
      </c>
      <c r="D1898" t="inlineStr">
        <is>
          <t>UPPSALA LÄN</t>
        </is>
      </c>
      <c r="E1898" t="inlineStr">
        <is>
          <t>TIERP</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27490-2025</t>
        </is>
      </c>
      <c r="B1899" s="1" t="n">
        <v>45813.39273148148</v>
      </c>
      <c r="C1899" s="1" t="n">
        <v>46098</v>
      </c>
      <c r="D1899" t="inlineStr">
        <is>
          <t>UPPSALA LÄN</t>
        </is>
      </c>
      <c r="E1899" t="inlineStr">
        <is>
          <t>ÖSTHAMMAR</t>
        </is>
      </c>
      <c r="F1899" t="inlineStr">
        <is>
          <t>Bergvik skog öst AB</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29671-2025</t>
        </is>
      </c>
      <c r="B1900" s="1" t="n">
        <v>45825.49863425926</v>
      </c>
      <c r="C1900" s="1" t="n">
        <v>46098</v>
      </c>
      <c r="D1900" t="inlineStr">
        <is>
          <t>UPPSALA LÄN</t>
        </is>
      </c>
      <c r="E1900" t="inlineStr">
        <is>
          <t>HEBY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47505-2024</t>
        </is>
      </c>
      <c r="B1901" s="1" t="n">
        <v>45587.60459490741</v>
      </c>
      <c r="C1901" s="1" t="n">
        <v>46098</v>
      </c>
      <c r="D1901" t="inlineStr">
        <is>
          <t>UPPSALA LÄN</t>
        </is>
      </c>
      <c r="E1901" t="inlineStr">
        <is>
          <t>TIERP</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26182-2022</t>
        </is>
      </c>
      <c r="B1902" s="1" t="n">
        <v>44735</v>
      </c>
      <c r="C1902" s="1" t="n">
        <v>46098</v>
      </c>
      <c r="D1902" t="inlineStr">
        <is>
          <t>UPPSALA LÄN</t>
        </is>
      </c>
      <c r="E1902" t="inlineStr">
        <is>
          <t>KNIVSTA</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58192-2025</t>
        </is>
      </c>
      <c r="B1903" s="1" t="n">
        <v>45983.78957175926</v>
      </c>
      <c r="C1903" s="1" t="n">
        <v>46098</v>
      </c>
      <c r="D1903" t="inlineStr">
        <is>
          <t>UPPSALA LÄN</t>
        </is>
      </c>
      <c r="E1903" t="inlineStr">
        <is>
          <t>HEBY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40864-2023</t>
        </is>
      </c>
      <c r="B1904" s="1" t="n">
        <v>45173.3516087963</v>
      </c>
      <c r="C1904" s="1" t="n">
        <v>46098</v>
      </c>
      <c r="D1904" t="inlineStr">
        <is>
          <t>UPPSALA LÄN</t>
        </is>
      </c>
      <c r="E1904" t="inlineStr">
        <is>
          <t>TIERP</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29775-2025</t>
        </is>
      </c>
      <c r="B1905" s="1" t="n">
        <v>45825.63803240741</v>
      </c>
      <c r="C1905" s="1" t="n">
        <v>46098</v>
      </c>
      <c r="D1905" t="inlineStr">
        <is>
          <t>UPPSALA LÄN</t>
        </is>
      </c>
      <c r="E1905" t="inlineStr">
        <is>
          <t>ÖSTHAMMAR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57188-2025</t>
        </is>
      </c>
      <c r="B1906" s="1" t="n">
        <v>45979</v>
      </c>
      <c r="C1906" s="1" t="n">
        <v>46098</v>
      </c>
      <c r="D1906" t="inlineStr">
        <is>
          <t>UPPSALA LÄN</t>
        </is>
      </c>
      <c r="E1906" t="inlineStr">
        <is>
          <t>ENKÖPING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58104-2025</t>
        </is>
      </c>
      <c r="B1907" s="1" t="n">
        <v>45982</v>
      </c>
      <c r="C1907" s="1" t="n">
        <v>46098</v>
      </c>
      <c r="D1907" t="inlineStr">
        <is>
          <t>UPPSALA LÄN</t>
        </is>
      </c>
      <c r="E1907" t="inlineStr">
        <is>
          <t>UPPSALA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45769-2022</t>
        </is>
      </c>
      <c r="B1908" s="1" t="n">
        <v>44846.38762731481</v>
      </c>
      <c r="C1908" s="1" t="n">
        <v>46098</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43873-2025</t>
        </is>
      </c>
      <c r="B1909" s="1" t="n">
        <v>45912.67254629629</v>
      </c>
      <c r="C1909" s="1" t="n">
        <v>46098</v>
      </c>
      <c r="D1909" t="inlineStr">
        <is>
          <t>UPPSALA LÄN</t>
        </is>
      </c>
      <c r="E1909" t="inlineStr">
        <is>
          <t>TIERP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34243-2021</t>
        </is>
      </c>
      <c r="B1910" s="1" t="n">
        <v>44379.56163194445</v>
      </c>
      <c r="C1910" s="1" t="n">
        <v>46098</v>
      </c>
      <c r="D1910" t="inlineStr">
        <is>
          <t>UPPSALA LÄN</t>
        </is>
      </c>
      <c r="E1910" t="inlineStr">
        <is>
          <t>UPPSALA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29287-2025</t>
        </is>
      </c>
      <c r="B1911" s="1" t="n">
        <v>45824.43798611111</v>
      </c>
      <c r="C1911" s="1" t="n">
        <v>46098</v>
      </c>
      <c r="D1911" t="inlineStr">
        <is>
          <t>UPPSALA LÄN</t>
        </is>
      </c>
      <c r="E1911" t="inlineStr">
        <is>
          <t>UPPSALA</t>
        </is>
      </c>
      <c r="F1911" t="inlineStr">
        <is>
          <t>Kyrkan</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58497-2025</t>
        </is>
      </c>
      <c r="B1912" s="1" t="n">
        <v>45985.67912037037</v>
      </c>
      <c r="C1912" s="1" t="n">
        <v>46098</v>
      </c>
      <c r="D1912" t="inlineStr">
        <is>
          <t>UPPSALA LÄN</t>
        </is>
      </c>
      <c r="E1912" t="inlineStr">
        <is>
          <t>ÄLVKARLEBY</t>
        </is>
      </c>
      <c r="F1912" t="inlineStr">
        <is>
          <t>Bergvik skog väst AB</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4524-2024</t>
        </is>
      </c>
      <c r="B1913" s="1" t="n">
        <v>45327</v>
      </c>
      <c r="C1913" s="1" t="n">
        <v>46098</v>
      </c>
      <c r="D1913" t="inlineStr">
        <is>
          <t>UPPSALA LÄN</t>
        </is>
      </c>
      <c r="E1913" t="inlineStr">
        <is>
          <t>HÅBO</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27486-2025</t>
        </is>
      </c>
      <c r="B1914" s="1" t="n">
        <v>45813.38521990741</v>
      </c>
      <c r="C1914" s="1" t="n">
        <v>46098</v>
      </c>
      <c r="D1914" t="inlineStr">
        <is>
          <t>UPPSALA LÄN</t>
        </is>
      </c>
      <c r="E1914" t="inlineStr">
        <is>
          <t>ÖSTHAMMAR</t>
        </is>
      </c>
      <c r="F1914" t="inlineStr">
        <is>
          <t>Bergvik skog öst AB</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1056-2025</t>
        </is>
      </c>
      <c r="B1915" s="1" t="n">
        <v>45666</v>
      </c>
      <c r="C1915" s="1" t="n">
        <v>46098</v>
      </c>
      <c r="D1915" t="inlineStr">
        <is>
          <t>UPPSALA LÄN</t>
        </is>
      </c>
      <c r="E1915" t="inlineStr">
        <is>
          <t>TIERP</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22528-2025</t>
        </is>
      </c>
      <c r="B1916" s="1" t="n">
        <v>45786</v>
      </c>
      <c r="C1916" s="1" t="n">
        <v>46098</v>
      </c>
      <c r="D1916" t="inlineStr">
        <is>
          <t>UPPSALA LÄN</t>
        </is>
      </c>
      <c r="E1916" t="inlineStr">
        <is>
          <t>TIERP</t>
        </is>
      </c>
      <c r="F1916" t="inlineStr">
        <is>
          <t>Övriga Aktiebolag</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32477-2025</t>
        </is>
      </c>
      <c r="B1917" s="1" t="n">
        <v>45838.43098379629</v>
      </c>
      <c r="C1917" s="1" t="n">
        <v>46098</v>
      </c>
      <c r="D1917" t="inlineStr">
        <is>
          <t>UPPSALA LÄN</t>
        </is>
      </c>
      <c r="E1917" t="inlineStr">
        <is>
          <t>ENKÖPING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29282-2025</t>
        </is>
      </c>
      <c r="B1918" s="1" t="n">
        <v>45824.42741898148</v>
      </c>
      <c r="C1918" s="1" t="n">
        <v>46098</v>
      </c>
      <c r="D1918" t="inlineStr">
        <is>
          <t>UPPSALA LÄN</t>
        </is>
      </c>
      <c r="E1918" t="inlineStr">
        <is>
          <t>TIERP</t>
        </is>
      </c>
      <c r="F1918" t="inlineStr">
        <is>
          <t>Bergvik skog väst AB</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35195-2025</t>
        </is>
      </c>
      <c r="B1919" s="1" t="n">
        <v>45853.36192129629</v>
      </c>
      <c r="C1919" s="1" t="n">
        <v>46098</v>
      </c>
      <c r="D1919" t="inlineStr">
        <is>
          <t>UPPSALA LÄN</t>
        </is>
      </c>
      <c r="E1919" t="inlineStr">
        <is>
          <t>TIERP</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58193-2025</t>
        </is>
      </c>
      <c r="B1920" s="1" t="n">
        <v>45983.85069444445</v>
      </c>
      <c r="C1920" s="1" t="n">
        <v>46098</v>
      </c>
      <c r="D1920" t="inlineStr">
        <is>
          <t>UPPSALA LÄN</t>
        </is>
      </c>
      <c r="E1920" t="inlineStr">
        <is>
          <t>UPPSALA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1384-2023</t>
        </is>
      </c>
      <c r="B1921" s="1" t="n">
        <v>44936</v>
      </c>
      <c r="C1921" s="1" t="n">
        <v>46098</v>
      </c>
      <c r="D1921" t="inlineStr">
        <is>
          <t>UPPSALA LÄN</t>
        </is>
      </c>
      <c r="E1921" t="inlineStr">
        <is>
          <t>TIERP</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57822-2024</t>
        </is>
      </c>
      <c r="B1922" s="1" t="n">
        <v>45631.38398148148</v>
      </c>
      <c r="C1922" s="1" t="n">
        <v>46098</v>
      </c>
      <c r="D1922" t="inlineStr">
        <is>
          <t>UPPSALA LÄN</t>
        </is>
      </c>
      <c r="E1922" t="inlineStr">
        <is>
          <t>TIERP</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44612-2025</t>
        </is>
      </c>
      <c r="B1923" s="1" t="n">
        <v>45917.45171296296</v>
      </c>
      <c r="C1923" s="1" t="n">
        <v>46098</v>
      </c>
      <c r="D1923" t="inlineStr">
        <is>
          <t>UPPSALA LÄN</t>
        </is>
      </c>
      <c r="E1923" t="inlineStr">
        <is>
          <t>TIERP</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49682-2023</t>
        </is>
      </c>
      <c r="B1924" s="1" t="n">
        <v>45212.34997685185</v>
      </c>
      <c r="C1924" s="1" t="n">
        <v>46098</v>
      </c>
      <c r="D1924" t="inlineStr">
        <is>
          <t>UPPSALA LÄN</t>
        </is>
      </c>
      <c r="E1924" t="inlineStr">
        <is>
          <t>UPPSALA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29627-2025</t>
        </is>
      </c>
      <c r="B1925" s="1" t="n">
        <v>45825.44482638889</v>
      </c>
      <c r="C1925" s="1" t="n">
        <v>46098</v>
      </c>
      <c r="D1925" t="inlineStr">
        <is>
          <t>UPPSALA LÄN</t>
        </is>
      </c>
      <c r="E1925" t="inlineStr">
        <is>
          <t>UPPSALA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55816-2024</t>
        </is>
      </c>
      <c r="B1926" s="1" t="n">
        <v>45623.47248842593</v>
      </c>
      <c r="C1926" s="1" t="n">
        <v>46098</v>
      </c>
      <c r="D1926" t="inlineStr">
        <is>
          <t>UPPSALA LÄN</t>
        </is>
      </c>
      <c r="E1926" t="inlineStr">
        <is>
          <t>TIERP</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51652-2025</t>
        </is>
      </c>
      <c r="B1927" s="1" t="n">
        <v>45951.46150462963</v>
      </c>
      <c r="C1927" s="1" t="n">
        <v>46098</v>
      </c>
      <c r="D1927" t="inlineStr">
        <is>
          <t>UPPSALA LÄN</t>
        </is>
      </c>
      <c r="E1927" t="inlineStr">
        <is>
          <t>HEBY</t>
        </is>
      </c>
      <c r="F1927" t="inlineStr">
        <is>
          <t>Bergvik skog öst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50106-2025</t>
        </is>
      </c>
      <c r="B1928" s="1" t="n">
        <v>45943.53659722222</v>
      </c>
      <c r="C1928" s="1" t="n">
        <v>46098</v>
      </c>
      <c r="D1928" t="inlineStr">
        <is>
          <t>UPPSALA LÄN</t>
        </is>
      </c>
      <c r="E1928" t="inlineStr">
        <is>
          <t>UPPSALA</t>
        </is>
      </c>
      <c r="F1928" t="inlineStr">
        <is>
          <t>Bergvik skog öst AB</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29047-2025</t>
        </is>
      </c>
      <c r="B1929" s="1" t="n">
        <v>45821.45905092593</v>
      </c>
      <c r="C1929" s="1" t="n">
        <v>46098</v>
      </c>
      <c r="D1929" t="inlineStr">
        <is>
          <t>UPPSALA LÄN</t>
        </is>
      </c>
      <c r="E1929" t="inlineStr">
        <is>
          <t>UPPSALA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29133-2025</t>
        </is>
      </c>
      <c r="B1930" s="1" t="n">
        <v>45821.60461805556</v>
      </c>
      <c r="C1930" s="1" t="n">
        <v>46098</v>
      </c>
      <c r="D1930" t="inlineStr">
        <is>
          <t>UPPSALA LÄN</t>
        </is>
      </c>
      <c r="E1930" t="inlineStr">
        <is>
          <t>TIERP</t>
        </is>
      </c>
      <c r="F1930" t="inlineStr">
        <is>
          <t>Bergvik skog öst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29382-2025</t>
        </is>
      </c>
      <c r="B1931" s="1" t="n">
        <v>45824.59332175926</v>
      </c>
      <c r="C1931" s="1" t="n">
        <v>46098</v>
      </c>
      <c r="D1931" t="inlineStr">
        <is>
          <t>UPPSALA LÄN</t>
        </is>
      </c>
      <c r="E1931" t="inlineStr">
        <is>
          <t>TIERP</t>
        </is>
      </c>
      <c r="F1931" t="inlineStr">
        <is>
          <t>Bergvik skog väst AB</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27983-2024</t>
        </is>
      </c>
      <c r="B1932" s="1" t="n">
        <v>45476</v>
      </c>
      <c r="C1932" s="1" t="n">
        <v>46098</v>
      </c>
      <c r="D1932" t="inlineStr">
        <is>
          <t>UPPSALA LÄN</t>
        </is>
      </c>
      <c r="E1932" t="inlineStr">
        <is>
          <t>ENKÖPING</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30244-2025</t>
        </is>
      </c>
      <c r="B1933" s="1" t="n">
        <v>45827.40902777778</v>
      </c>
      <c r="C1933" s="1" t="n">
        <v>46098</v>
      </c>
      <c r="D1933" t="inlineStr">
        <is>
          <t>UPPSALA LÄN</t>
        </is>
      </c>
      <c r="E1933" t="inlineStr">
        <is>
          <t>ÖSTHAMMAR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58842-2025</t>
        </is>
      </c>
      <c r="B1934" s="1" t="n">
        <v>45987.36651620371</v>
      </c>
      <c r="C1934" s="1" t="n">
        <v>46098</v>
      </c>
      <c r="D1934" t="inlineStr">
        <is>
          <t>UPPSALA LÄN</t>
        </is>
      </c>
      <c r="E1934" t="inlineStr">
        <is>
          <t>TIERP</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53090-2025</t>
        </is>
      </c>
      <c r="B1935" s="1" t="n">
        <v>45958.42043981481</v>
      </c>
      <c r="C1935" s="1" t="n">
        <v>46098</v>
      </c>
      <c r="D1935" t="inlineStr">
        <is>
          <t>UPPSALA LÄN</t>
        </is>
      </c>
      <c r="E1935" t="inlineStr">
        <is>
          <t>TIERP</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35528-2025</t>
        </is>
      </c>
      <c r="B1936" s="1" t="n">
        <v>45856.43204861111</v>
      </c>
      <c r="C1936" s="1" t="n">
        <v>46098</v>
      </c>
      <c r="D1936" t="inlineStr">
        <is>
          <t>UPPSALA LÄN</t>
        </is>
      </c>
      <c r="E1936" t="inlineStr">
        <is>
          <t>HEBY</t>
        </is>
      </c>
      <c r="F1936" t="inlineStr">
        <is>
          <t>Bergvik skog öst AB</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38392-2025</t>
        </is>
      </c>
      <c r="B1937" s="1" t="n">
        <v>45883.57503472222</v>
      </c>
      <c r="C1937" s="1" t="n">
        <v>46098</v>
      </c>
      <c r="D1937" t="inlineStr">
        <is>
          <t>UPPSALA LÄN</t>
        </is>
      </c>
      <c r="E1937" t="inlineStr">
        <is>
          <t>HEBY</t>
        </is>
      </c>
      <c r="F1937" t="inlineStr">
        <is>
          <t>Bergvik skog öst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44869-2025</t>
        </is>
      </c>
      <c r="B1938" s="1" t="n">
        <v>45918.46758101852</v>
      </c>
      <c r="C1938" s="1" t="n">
        <v>46098</v>
      </c>
      <c r="D1938" t="inlineStr">
        <is>
          <t>UPPSALA LÄN</t>
        </is>
      </c>
      <c r="E1938" t="inlineStr">
        <is>
          <t>KNIVSTA</t>
        </is>
      </c>
      <c r="G1938" t="n">
        <v>17.1</v>
      </c>
      <c r="H1938" t="n">
        <v>0</v>
      </c>
      <c r="I1938" t="n">
        <v>0</v>
      </c>
      <c r="J1938" t="n">
        <v>0</v>
      </c>
      <c r="K1938" t="n">
        <v>0</v>
      </c>
      <c r="L1938" t="n">
        <v>0</v>
      </c>
      <c r="M1938" t="n">
        <v>0</v>
      </c>
      <c r="N1938" t="n">
        <v>0</v>
      </c>
      <c r="O1938" t="n">
        <v>0</v>
      </c>
      <c r="P1938" t="n">
        <v>0</v>
      </c>
      <c r="Q1938" t="n">
        <v>0</v>
      </c>
      <c r="R1938" s="2" t="inlineStr"/>
    </row>
    <row r="1939" ht="15" customHeight="1">
      <c r="A1939" t="inlineStr">
        <is>
          <t>A 51646-2025</t>
        </is>
      </c>
      <c r="B1939" s="1" t="n">
        <v>45951.44916666667</v>
      </c>
      <c r="C1939" s="1" t="n">
        <v>46098</v>
      </c>
      <c r="D1939" t="inlineStr">
        <is>
          <t>UPPSALA LÄN</t>
        </is>
      </c>
      <c r="E1939" t="inlineStr">
        <is>
          <t>TIERP</t>
        </is>
      </c>
      <c r="F1939" t="inlineStr">
        <is>
          <t>Bergvik skog öst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51745-2025</t>
        </is>
      </c>
      <c r="B1940" s="1" t="n">
        <v>45951.61320601852</v>
      </c>
      <c r="C1940" s="1" t="n">
        <v>46098</v>
      </c>
      <c r="D1940" t="inlineStr">
        <is>
          <t>UPPSALA LÄN</t>
        </is>
      </c>
      <c r="E1940" t="inlineStr">
        <is>
          <t>HEBY</t>
        </is>
      </c>
      <c r="F1940" t="inlineStr">
        <is>
          <t>Bergvik skog öst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43549-2025</t>
        </is>
      </c>
      <c r="B1941" s="1" t="n">
        <v>45911.61762731482</v>
      </c>
      <c r="C1941" s="1" t="n">
        <v>46098</v>
      </c>
      <c r="D1941" t="inlineStr">
        <is>
          <t>UPPSALA LÄN</t>
        </is>
      </c>
      <c r="E1941" t="inlineStr">
        <is>
          <t>HEBY</t>
        </is>
      </c>
      <c r="F1941" t="inlineStr">
        <is>
          <t>Bergvik skog öst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35083-2025</t>
        </is>
      </c>
      <c r="B1942" s="1" t="n">
        <v>45852.49586805556</v>
      </c>
      <c r="C1942" s="1" t="n">
        <v>46098</v>
      </c>
      <c r="D1942" t="inlineStr">
        <is>
          <t>UPPSALA LÄN</t>
        </is>
      </c>
      <c r="E1942" t="inlineStr">
        <is>
          <t>HEBY</t>
        </is>
      </c>
      <c r="F1942" t="inlineStr">
        <is>
          <t>Bergvik skog öst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35519-2025</t>
        </is>
      </c>
      <c r="B1943" s="1" t="n">
        <v>45856.41048611111</v>
      </c>
      <c r="C1943" s="1" t="n">
        <v>46098</v>
      </c>
      <c r="D1943" t="inlineStr">
        <is>
          <t>UPPSALA LÄN</t>
        </is>
      </c>
      <c r="E1943" t="inlineStr">
        <is>
          <t>HEBY</t>
        </is>
      </c>
      <c r="F1943" t="inlineStr">
        <is>
          <t>Bergvik skog öst AB</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69691-2021</t>
        </is>
      </c>
      <c r="B1944" s="1" t="n">
        <v>44532</v>
      </c>
      <c r="C1944" s="1" t="n">
        <v>46098</v>
      </c>
      <c r="D1944" t="inlineStr">
        <is>
          <t>UPPSALA LÄN</t>
        </is>
      </c>
      <c r="E1944" t="inlineStr">
        <is>
          <t>UPPSALA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39383-2025</t>
        </is>
      </c>
      <c r="B1945" s="1" t="n">
        <v>45889.61184027778</v>
      </c>
      <c r="C1945" s="1" t="n">
        <v>46098</v>
      </c>
      <c r="D1945" t="inlineStr">
        <is>
          <t>UPPSALA LÄN</t>
        </is>
      </c>
      <c r="E1945" t="inlineStr">
        <is>
          <t>TIERP</t>
        </is>
      </c>
      <c r="F1945" t="inlineStr">
        <is>
          <t>Bergvik skog öst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49777-2025</t>
        </is>
      </c>
      <c r="B1946" s="1" t="n">
        <v>45940.38178240741</v>
      </c>
      <c r="C1946" s="1" t="n">
        <v>46098</v>
      </c>
      <c r="D1946" t="inlineStr">
        <is>
          <t>UPPSALA LÄN</t>
        </is>
      </c>
      <c r="E1946" t="inlineStr">
        <is>
          <t>TIERP</t>
        </is>
      </c>
      <c r="F1946" t="inlineStr">
        <is>
          <t>Bergvik skog öst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53516-2025</t>
        </is>
      </c>
      <c r="B1947" s="1" t="n">
        <v>45960.34961805555</v>
      </c>
      <c r="C1947" s="1" t="n">
        <v>46098</v>
      </c>
      <c r="D1947" t="inlineStr">
        <is>
          <t>UPPSALA LÄN</t>
        </is>
      </c>
      <c r="E1947" t="inlineStr">
        <is>
          <t>TIERP</t>
        </is>
      </c>
      <c r="F1947" t="inlineStr">
        <is>
          <t>Bergvik skog öst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55130-2025</t>
        </is>
      </c>
      <c r="B1948" s="1" t="n">
        <v>45968.41636574074</v>
      </c>
      <c r="C1948" s="1" t="n">
        <v>46098</v>
      </c>
      <c r="D1948" t="inlineStr">
        <is>
          <t>UPPSALA LÄN</t>
        </is>
      </c>
      <c r="E1948" t="inlineStr">
        <is>
          <t>TIERP</t>
        </is>
      </c>
      <c r="F1948" t="inlineStr">
        <is>
          <t>Bergvik skog öst AB</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53679-2025</t>
        </is>
      </c>
      <c r="B1949" s="1" t="n">
        <v>45960.57180555556</v>
      </c>
      <c r="C1949" s="1" t="n">
        <v>46098</v>
      </c>
      <c r="D1949" t="inlineStr">
        <is>
          <t>UPPSALA LÄN</t>
        </is>
      </c>
      <c r="E1949" t="inlineStr">
        <is>
          <t>TIERP</t>
        </is>
      </c>
      <c r="F1949" t="inlineStr">
        <is>
          <t>Bergvik skog öst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51060-2025</t>
        </is>
      </c>
      <c r="B1950" s="1" t="n">
        <v>45947.44677083333</v>
      </c>
      <c r="C1950" s="1" t="n">
        <v>46098</v>
      </c>
      <c r="D1950" t="inlineStr">
        <is>
          <t>UPPSALA LÄN</t>
        </is>
      </c>
      <c r="E1950" t="inlineStr">
        <is>
          <t>TIERP</t>
        </is>
      </c>
      <c r="F1950" t="inlineStr">
        <is>
          <t>Bergvik skog öst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30083-2025</t>
        </is>
      </c>
      <c r="B1951" s="1" t="n">
        <v>45826.65520833333</v>
      </c>
      <c r="C1951" s="1" t="n">
        <v>46098</v>
      </c>
      <c r="D1951" t="inlineStr">
        <is>
          <t>UPPSALA LÄN</t>
        </is>
      </c>
      <c r="E1951" t="inlineStr">
        <is>
          <t>TIERP</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5362-2023</t>
        </is>
      </c>
      <c r="B1952" s="1" t="n">
        <v>44944</v>
      </c>
      <c r="C1952" s="1" t="n">
        <v>46098</v>
      </c>
      <c r="D1952" t="inlineStr">
        <is>
          <t>UPPSALA LÄN</t>
        </is>
      </c>
      <c r="E1952" t="inlineStr">
        <is>
          <t>UPPSALA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30440-2025</t>
        </is>
      </c>
      <c r="B1953" s="1" t="n">
        <v>45827.64317129629</v>
      </c>
      <c r="C1953" s="1" t="n">
        <v>46098</v>
      </c>
      <c r="D1953" t="inlineStr">
        <is>
          <t>UPPSALA LÄN</t>
        </is>
      </c>
      <c r="E1953" t="inlineStr">
        <is>
          <t>HEBY</t>
        </is>
      </c>
      <c r="F1953" t="inlineStr">
        <is>
          <t>Övriga Aktiebolag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53121-2025</t>
        </is>
      </c>
      <c r="B1954" s="1" t="n">
        <v>45958.45113425926</v>
      </c>
      <c r="C1954" s="1" t="n">
        <v>46098</v>
      </c>
      <c r="D1954" t="inlineStr">
        <is>
          <t>UPPSALA LÄN</t>
        </is>
      </c>
      <c r="E1954" t="inlineStr">
        <is>
          <t>TIERP</t>
        </is>
      </c>
      <c r="F1954" t="inlineStr">
        <is>
          <t>Bergvik skog öst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26762-2023</t>
        </is>
      </c>
      <c r="B1955" s="1" t="n">
        <v>45093.46706018518</v>
      </c>
      <c r="C1955" s="1" t="n">
        <v>46098</v>
      </c>
      <c r="D1955" t="inlineStr">
        <is>
          <t>UPPSALA LÄN</t>
        </is>
      </c>
      <c r="E1955" t="inlineStr">
        <is>
          <t>UPPSALA</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45033-2025</t>
        </is>
      </c>
      <c r="B1956" s="1" t="n">
        <v>45918.70299768518</v>
      </c>
      <c r="C1956" s="1" t="n">
        <v>46098</v>
      </c>
      <c r="D1956" t="inlineStr">
        <is>
          <t>UPPSALA LÄN</t>
        </is>
      </c>
      <c r="E1956" t="inlineStr">
        <is>
          <t>ÄLVKARLEBY</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45102-2025</t>
        </is>
      </c>
      <c r="B1957" s="1" t="n">
        <v>45919.39731481481</v>
      </c>
      <c r="C1957" s="1" t="n">
        <v>46098</v>
      </c>
      <c r="D1957" t="inlineStr">
        <is>
          <t>UPPSALA LÄN</t>
        </is>
      </c>
      <c r="E1957" t="inlineStr">
        <is>
          <t>ÖSTHAMMAR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2628-2025</t>
        </is>
      </c>
      <c r="B1958" s="1" t="n">
        <v>45675.68435185185</v>
      </c>
      <c r="C1958" s="1" t="n">
        <v>46098</v>
      </c>
      <c r="D1958" t="inlineStr">
        <is>
          <t>UPPSALA LÄN</t>
        </is>
      </c>
      <c r="E1958" t="inlineStr">
        <is>
          <t>KNIVSTA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35111-2025</t>
        </is>
      </c>
      <c r="B1959" s="1" t="n">
        <v>45852.58091435185</v>
      </c>
      <c r="C1959" s="1" t="n">
        <v>46098</v>
      </c>
      <c r="D1959" t="inlineStr">
        <is>
          <t>UPPSALA LÄN</t>
        </is>
      </c>
      <c r="E1959" t="inlineStr">
        <is>
          <t>HEBY</t>
        </is>
      </c>
      <c r="F1959" t="inlineStr">
        <is>
          <t>Bergvik skog öst AB</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30437-2025</t>
        </is>
      </c>
      <c r="B1960" s="1" t="n">
        <v>45827.64092592592</v>
      </c>
      <c r="C1960" s="1" t="n">
        <v>46098</v>
      </c>
      <c r="D1960" t="inlineStr">
        <is>
          <t>UPPSALA LÄN</t>
        </is>
      </c>
      <c r="E1960" t="inlineStr">
        <is>
          <t>UPPSALA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29968-2025</t>
        </is>
      </c>
      <c r="B1961" s="1" t="n">
        <v>45826.48962962963</v>
      </c>
      <c r="C1961" s="1" t="n">
        <v>46098</v>
      </c>
      <c r="D1961" t="inlineStr">
        <is>
          <t>UPPSALA LÄN</t>
        </is>
      </c>
      <c r="E1961" t="inlineStr">
        <is>
          <t>HEBY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30282-2025</t>
        </is>
      </c>
      <c r="B1962" s="1" t="n">
        <v>45827.46288194445</v>
      </c>
      <c r="C1962" s="1" t="n">
        <v>46098</v>
      </c>
      <c r="D1962" t="inlineStr">
        <is>
          <t>UPPSALA LÄN</t>
        </is>
      </c>
      <c r="E1962" t="inlineStr">
        <is>
          <t>UPPSALA</t>
        </is>
      </c>
      <c r="F1962" t="inlineStr">
        <is>
          <t>Holmen skog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44917-2025</t>
        </is>
      </c>
      <c r="B1963" s="1" t="n">
        <v>45918.54903935185</v>
      </c>
      <c r="C1963" s="1" t="n">
        <v>46098</v>
      </c>
      <c r="D1963" t="inlineStr">
        <is>
          <t>UPPSALA LÄN</t>
        </is>
      </c>
      <c r="E1963" t="inlineStr">
        <is>
          <t>ÖSTHAMMAR</t>
        </is>
      </c>
      <c r="F1963" t="inlineStr">
        <is>
          <t>Allmännings- och besparingsskogar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31575-2023</t>
        </is>
      </c>
      <c r="B1964" s="1" t="n">
        <v>45117</v>
      </c>
      <c r="C1964" s="1" t="n">
        <v>46098</v>
      </c>
      <c r="D1964" t="inlineStr">
        <is>
          <t>UPPSALA LÄN</t>
        </is>
      </c>
      <c r="E1964" t="inlineStr">
        <is>
          <t>HEBY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35517-2025</t>
        </is>
      </c>
      <c r="B1965" s="1" t="n">
        <v>45856.40909722223</v>
      </c>
      <c r="C1965" s="1" t="n">
        <v>46098</v>
      </c>
      <c r="D1965" t="inlineStr">
        <is>
          <t>UPPSALA LÄN</t>
        </is>
      </c>
      <c r="E1965" t="inlineStr">
        <is>
          <t>HEBY</t>
        </is>
      </c>
      <c r="F1965" t="inlineStr">
        <is>
          <t>Bergvik skog öst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45105-2025</t>
        </is>
      </c>
      <c r="B1966" s="1" t="n">
        <v>45919.40252314815</v>
      </c>
      <c r="C1966" s="1" t="n">
        <v>46098</v>
      </c>
      <c r="D1966" t="inlineStr">
        <is>
          <t>UPPSALA LÄN</t>
        </is>
      </c>
      <c r="E1966" t="inlineStr">
        <is>
          <t>ÖSTHAMMAR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40567-2025</t>
        </is>
      </c>
      <c r="B1967" s="1" t="n">
        <v>45896.47104166666</v>
      </c>
      <c r="C1967" s="1" t="n">
        <v>46098</v>
      </c>
      <c r="D1967" t="inlineStr">
        <is>
          <t>UPPSALA LÄN</t>
        </is>
      </c>
      <c r="E1967" t="inlineStr">
        <is>
          <t>HEBY</t>
        </is>
      </c>
      <c r="F1967" t="inlineStr">
        <is>
          <t>Bergvik skog öst AB</t>
        </is>
      </c>
      <c r="G1967" t="n">
        <v>9.800000000000001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35080-2025</t>
        </is>
      </c>
      <c r="B1968" s="1" t="n">
        <v>45852.48943287037</v>
      </c>
      <c r="C1968" s="1" t="n">
        <v>46098</v>
      </c>
      <c r="D1968" t="inlineStr">
        <is>
          <t>UPPSALA LÄN</t>
        </is>
      </c>
      <c r="E1968" t="inlineStr">
        <is>
          <t>HEBY</t>
        </is>
      </c>
      <c r="F1968" t="inlineStr">
        <is>
          <t>Bergvik skog öst AB</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38380-2025</t>
        </is>
      </c>
      <c r="B1969" s="1" t="n">
        <v>45883.5737962963</v>
      </c>
      <c r="C1969" s="1" t="n">
        <v>46098</v>
      </c>
      <c r="D1969" t="inlineStr">
        <is>
          <t>UPPSALA LÄN</t>
        </is>
      </c>
      <c r="E1969" t="inlineStr">
        <is>
          <t>HEBY</t>
        </is>
      </c>
      <c r="F1969" t="inlineStr">
        <is>
          <t>Bergvik skog öst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52795-2025</t>
        </is>
      </c>
      <c r="B1970" s="1" t="n">
        <v>45957.43520833334</v>
      </c>
      <c r="C1970" s="1" t="n">
        <v>46098</v>
      </c>
      <c r="D1970" t="inlineStr">
        <is>
          <t>UPPSALA LÄN</t>
        </is>
      </c>
      <c r="E1970" t="inlineStr">
        <is>
          <t>TIERP</t>
        </is>
      </c>
      <c r="F1970" t="inlineStr">
        <is>
          <t>Bergvik skog öst AB</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55143-2025</t>
        </is>
      </c>
      <c r="B1971" s="1" t="n">
        <v>45968.4377662037</v>
      </c>
      <c r="C1971" s="1" t="n">
        <v>46098</v>
      </c>
      <c r="D1971" t="inlineStr">
        <is>
          <t>UPPSALA LÄN</t>
        </is>
      </c>
      <c r="E1971" t="inlineStr">
        <is>
          <t>TIERP</t>
        </is>
      </c>
      <c r="F1971" t="inlineStr">
        <is>
          <t>Bergvik skog öst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2676-2024</t>
        </is>
      </c>
      <c r="B1972" s="1" t="n">
        <v>45314.43193287037</v>
      </c>
      <c r="C1972" s="1" t="n">
        <v>46098</v>
      </c>
      <c r="D1972" t="inlineStr">
        <is>
          <t>UPPSALA LÄN</t>
        </is>
      </c>
      <c r="E1972" t="inlineStr">
        <is>
          <t>TIERP</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58946-2025</t>
        </is>
      </c>
      <c r="B1973" s="1" t="n">
        <v>45987.58097222223</v>
      </c>
      <c r="C1973" s="1" t="n">
        <v>46098</v>
      </c>
      <c r="D1973" t="inlineStr">
        <is>
          <t>UPPSALA LÄN</t>
        </is>
      </c>
      <c r="E1973" t="inlineStr">
        <is>
          <t>TIERP</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44813-2025</t>
        </is>
      </c>
      <c r="B1974" s="1" t="n">
        <v>45918.37322916667</v>
      </c>
      <c r="C1974" s="1" t="n">
        <v>46098</v>
      </c>
      <c r="D1974" t="inlineStr">
        <is>
          <t>UPPSALA LÄN</t>
        </is>
      </c>
      <c r="E1974" t="inlineStr">
        <is>
          <t>UPPSALA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7058-2023</t>
        </is>
      </c>
      <c r="B1975" s="1" t="n">
        <v>44969</v>
      </c>
      <c r="C1975" s="1" t="n">
        <v>46098</v>
      </c>
      <c r="D1975" t="inlineStr">
        <is>
          <t>UPPSALA LÄN</t>
        </is>
      </c>
      <c r="E1975" t="inlineStr">
        <is>
          <t>UPPSALA</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58661-2025</t>
        </is>
      </c>
      <c r="B1976" s="1" t="n">
        <v>45986.53128472222</v>
      </c>
      <c r="C1976" s="1" t="n">
        <v>46098</v>
      </c>
      <c r="D1976" t="inlineStr">
        <is>
          <t>UPPSALA LÄN</t>
        </is>
      </c>
      <c r="E1976" t="inlineStr">
        <is>
          <t>TIERP</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53094-2025</t>
        </is>
      </c>
      <c r="B1977" s="1" t="n">
        <v>45958.42452546296</v>
      </c>
      <c r="C1977" s="1" t="n">
        <v>46098</v>
      </c>
      <c r="D1977" t="inlineStr">
        <is>
          <t>UPPSALA LÄN</t>
        </is>
      </c>
      <c r="E1977" t="inlineStr">
        <is>
          <t>TIERP</t>
        </is>
      </c>
      <c r="F1977" t="inlineStr">
        <is>
          <t>Bergvik skog öst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53784-2025</t>
        </is>
      </c>
      <c r="B1978" s="1" t="n">
        <v>45960.71332175926</v>
      </c>
      <c r="C1978" s="1" t="n">
        <v>46098</v>
      </c>
      <c r="D1978" t="inlineStr">
        <is>
          <t>UPPSALA LÄN</t>
        </is>
      </c>
      <c r="E1978" t="inlineStr">
        <is>
          <t>TIERP</t>
        </is>
      </c>
      <c r="F1978" t="inlineStr">
        <is>
          <t>Bergvik skog öst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53798-2025</t>
        </is>
      </c>
      <c r="B1979" s="1" t="n">
        <v>45960.76657407408</v>
      </c>
      <c r="C1979" s="1" t="n">
        <v>46098</v>
      </c>
      <c r="D1979" t="inlineStr">
        <is>
          <t>UPPSALA LÄN</t>
        </is>
      </c>
      <c r="E1979" t="inlineStr">
        <is>
          <t>TIERP</t>
        </is>
      </c>
      <c r="F1979" t="inlineStr">
        <is>
          <t>Bergvik skog öst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30418-2025</t>
        </is>
      </c>
      <c r="B1980" s="1" t="n">
        <v>45827.60844907408</v>
      </c>
      <c r="C1980" s="1" t="n">
        <v>46098</v>
      </c>
      <c r="D1980" t="inlineStr">
        <is>
          <t>UPPSALA LÄN</t>
        </is>
      </c>
      <c r="E1980" t="inlineStr">
        <is>
          <t>HEBY</t>
        </is>
      </c>
      <c r="F1980" t="inlineStr">
        <is>
          <t>Övriga Aktiebolag</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19298-2023</t>
        </is>
      </c>
      <c r="B1981" s="1" t="n">
        <v>45048</v>
      </c>
      <c r="C1981" s="1" t="n">
        <v>46098</v>
      </c>
      <c r="D1981" t="inlineStr">
        <is>
          <t>UPPSALA LÄN</t>
        </is>
      </c>
      <c r="E1981" t="inlineStr">
        <is>
          <t>ENKÖPING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39380-2025</t>
        </is>
      </c>
      <c r="B1982" s="1" t="n">
        <v>45889.60385416666</v>
      </c>
      <c r="C1982" s="1" t="n">
        <v>46098</v>
      </c>
      <c r="D1982" t="inlineStr">
        <is>
          <t>UPPSALA LÄN</t>
        </is>
      </c>
      <c r="E1982" t="inlineStr">
        <is>
          <t>TIERP</t>
        </is>
      </c>
      <c r="F1982" t="inlineStr">
        <is>
          <t>Bergvik skog öst AB</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40455-2025</t>
        </is>
      </c>
      <c r="B1983" s="1" t="n">
        <v>45895.63981481481</v>
      </c>
      <c r="C1983" s="1" t="n">
        <v>46098</v>
      </c>
      <c r="D1983" t="inlineStr">
        <is>
          <t>UPPSALA LÄN</t>
        </is>
      </c>
      <c r="E1983" t="inlineStr">
        <is>
          <t>HEBY</t>
        </is>
      </c>
      <c r="F1983" t="inlineStr">
        <is>
          <t>Bergvik skog öst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38309-2025</t>
        </is>
      </c>
      <c r="B1984" s="1" t="n">
        <v>45883.47369212963</v>
      </c>
      <c r="C1984" s="1" t="n">
        <v>46098</v>
      </c>
      <c r="D1984" t="inlineStr">
        <is>
          <t>UPPSALA LÄN</t>
        </is>
      </c>
      <c r="E1984" t="inlineStr">
        <is>
          <t>HEBY</t>
        </is>
      </c>
      <c r="F1984" t="inlineStr">
        <is>
          <t>Bergvik skog öst AB</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58969-2025</t>
        </is>
      </c>
      <c r="B1985" s="1" t="n">
        <v>45987.60527777778</v>
      </c>
      <c r="C1985" s="1" t="n">
        <v>46098</v>
      </c>
      <c r="D1985" t="inlineStr">
        <is>
          <t>UPPSALA LÄN</t>
        </is>
      </c>
      <c r="E1985" t="inlineStr">
        <is>
          <t>TIERP</t>
        </is>
      </c>
      <c r="F1985" t="inlineStr">
        <is>
          <t>Bergvik skog öst AB</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51094-2025</t>
        </is>
      </c>
      <c r="B1986" s="1" t="n">
        <v>45947.47751157408</v>
      </c>
      <c r="C1986" s="1" t="n">
        <v>46098</v>
      </c>
      <c r="D1986" t="inlineStr">
        <is>
          <t>UPPSALA LÄN</t>
        </is>
      </c>
      <c r="E1986" t="inlineStr">
        <is>
          <t>TIERP</t>
        </is>
      </c>
      <c r="F1986" t="inlineStr">
        <is>
          <t>Bergvik skog öst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51125-2025</t>
        </is>
      </c>
      <c r="B1987" s="1" t="n">
        <v>45947.5503587963</v>
      </c>
      <c r="C1987" s="1" t="n">
        <v>46098</v>
      </c>
      <c r="D1987" t="inlineStr">
        <is>
          <t>UPPSALA LÄN</t>
        </is>
      </c>
      <c r="E1987" t="inlineStr">
        <is>
          <t>TIERP</t>
        </is>
      </c>
      <c r="F1987" t="inlineStr">
        <is>
          <t>Bergvik skog öst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51139-2025</t>
        </is>
      </c>
      <c r="B1988" s="1" t="n">
        <v>45947.56074074074</v>
      </c>
      <c r="C1988" s="1" t="n">
        <v>46098</v>
      </c>
      <c r="D1988" t="inlineStr">
        <is>
          <t>UPPSALA LÄN</t>
        </is>
      </c>
      <c r="E1988" t="inlineStr">
        <is>
          <t>TIERP</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42215-2025</t>
        </is>
      </c>
      <c r="B1989" s="1" t="n">
        <v>45904.50881944445</v>
      </c>
      <c r="C1989" s="1" t="n">
        <v>46098</v>
      </c>
      <c r="D1989" t="inlineStr">
        <is>
          <t>UPPSALA LÄN</t>
        </is>
      </c>
      <c r="E1989" t="inlineStr">
        <is>
          <t>HEBY</t>
        </is>
      </c>
      <c r="F1989" t="inlineStr">
        <is>
          <t>Bergvik skog öst AB</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53088-2025</t>
        </is>
      </c>
      <c r="B1990" s="1" t="n">
        <v>45958.41660879629</v>
      </c>
      <c r="C1990" s="1" t="n">
        <v>46098</v>
      </c>
      <c r="D1990" t="inlineStr">
        <is>
          <t>UPPSALA LÄN</t>
        </is>
      </c>
      <c r="E1990" t="inlineStr">
        <is>
          <t>TIERP</t>
        </is>
      </c>
      <c r="F1990" t="inlineStr">
        <is>
          <t>Bergvik skog öst AB</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53106-2025</t>
        </is>
      </c>
      <c r="B1991" s="1" t="n">
        <v>45958.43461805556</v>
      </c>
      <c r="C1991" s="1" t="n">
        <v>46098</v>
      </c>
      <c r="D1991" t="inlineStr">
        <is>
          <t>UPPSALA LÄN</t>
        </is>
      </c>
      <c r="E1991" t="inlineStr">
        <is>
          <t>TIERP</t>
        </is>
      </c>
      <c r="F1991" t="inlineStr">
        <is>
          <t>Bergvik skog öst AB</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55678-2024</t>
        </is>
      </c>
      <c r="B1992" s="1" t="n">
        <v>45622.65828703704</v>
      </c>
      <c r="C1992" s="1" t="n">
        <v>46098</v>
      </c>
      <c r="D1992" t="inlineStr">
        <is>
          <t>UPPSALA LÄN</t>
        </is>
      </c>
      <c r="E1992" t="inlineStr">
        <is>
          <t>TIERP</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1471-2025</t>
        </is>
      </c>
      <c r="B1993" s="1" t="n">
        <v>45670</v>
      </c>
      <c r="C1993" s="1" t="n">
        <v>46098</v>
      </c>
      <c r="D1993" t="inlineStr">
        <is>
          <t>UPPSALA LÄN</t>
        </is>
      </c>
      <c r="E1993" t="inlineStr">
        <is>
          <t>HEBY</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53686-2025</t>
        </is>
      </c>
      <c r="B1994" s="1" t="n">
        <v>45960.57493055556</v>
      </c>
      <c r="C1994" s="1" t="n">
        <v>46098</v>
      </c>
      <c r="D1994" t="inlineStr">
        <is>
          <t>UPPSALA LÄN</t>
        </is>
      </c>
      <c r="E1994" t="inlineStr">
        <is>
          <t>TIERP</t>
        </is>
      </c>
      <c r="F1994" t="inlineStr">
        <is>
          <t>Bergvik skog öst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53795-2025</t>
        </is>
      </c>
      <c r="B1995" s="1" t="n">
        <v>45960.75167824074</v>
      </c>
      <c r="C1995" s="1" t="n">
        <v>46098</v>
      </c>
      <c r="D1995" t="inlineStr">
        <is>
          <t>UPPSALA LÄN</t>
        </is>
      </c>
      <c r="E1995" t="inlineStr">
        <is>
          <t>TIERP</t>
        </is>
      </c>
      <c r="F1995" t="inlineStr">
        <is>
          <t>Bergvik skog öst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50103-2025</t>
        </is>
      </c>
      <c r="B1996" s="1" t="n">
        <v>45943.53451388889</v>
      </c>
      <c r="C1996" s="1" t="n">
        <v>46098</v>
      </c>
      <c r="D1996" t="inlineStr">
        <is>
          <t>UPPSALA LÄN</t>
        </is>
      </c>
      <c r="E1996" t="inlineStr">
        <is>
          <t>UPPSALA</t>
        </is>
      </c>
      <c r="F1996" t="inlineStr">
        <is>
          <t>Bergvik skog öst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50104-2025</t>
        </is>
      </c>
      <c r="B1997" s="1" t="n">
        <v>45943.5354050926</v>
      </c>
      <c r="C1997" s="1" t="n">
        <v>46098</v>
      </c>
      <c r="D1997" t="inlineStr">
        <is>
          <t>UPPSALA LÄN</t>
        </is>
      </c>
      <c r="E1997" t="inlineStr">
        <is>
          <t>UPPSALA</t>
        </is>
      </c>
      <c r="F1997" t="inlineStr">
        <is>
          <t>Bergvik skog öst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16811-2023</t>
        </is>
      </c>
      <c r="B1998" s="1" t="n">
        <v>45033</v>
      </c>
      <c r="C1998" s="1" t="n">
        <v>46098</v>
      </c>
      <c r="D1998" t="inlineStr">
        <is>
          <t>UPPSALA LÄN</t>
        </is>
      </c>
      <c r="E1998" t="inlineStr">
        <is>
          <t>UPPSALA</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19654-2022</t>
        </is>
      </c>
      <c r="B1999" s="1" t="n">
        <v>44694</v>
      </c>
      <c r="C1999" s="1" t="n">
        <v>46098</v>
      </c>
      <c r="D1999" t="inlineStr">
        <is>
          <t>UPPSALA LÄN</t>
        </is>
      </c>
      <c r="E1999" t="inlineStr">
        <is>
          <t>HEBY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58966-2025</t>
        </is>
      </c>
      <c r="B2000" s="1" t="n">
        <v>45987.60256944445</v>
      </c>
      <c r="C2000" s="1" t="n">
        <v>46098</v>
      </c>
      <c r="D2000" t="inlineStr">
        <is>
          <t>UPPSALA LÄN</t>
        </is>
      </c>
      <c r="E2000" t="inlineStr">
        <is>
          <t>TIERP</t>
        </is>
      </c>
      <c r="F2000" t="inlineStr">
        <is>
          <t>Bergvik skog öst AB</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17333-2024</t>
        </is>
      </c>
      <c r="B2001" s="1" t="n">
        <v>45414.5625462963</v>
      </c>
      <c r="C2001" s="1" t="n">
        <v>46098</v>
      </c>
      <c r="D2001" t="inlineStr">
        <is>
          <t>UPPSALA LÄN</t>
        </is>
      </c>
      <c r="E2001" t="inlineStr">
        <is>
          <t>KNIVSTA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40435-2025</t>
        </is>
      </c>
      <c r="B2002" s="1" t="n">
        <v>45895.61859953704</v>
      </c>
      <c r="C2002" s="1" t="n">
        <v>46098</v>
      </c>
      <c r="D2002" t="inlineStr">
        <is>
          <t>UPPSALA LÄN</t>
        </is>
      </c>
      <c r="E2002" t="inlineStr">
        <is>
          <t>HEBY</t>
        </is>
      </c>
      <c r="F2002" t="inlineStr">
        <is>
          <t>Bergvik skog öst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40475-2025</t>
        </is>
      </c>
      <c r="B2003" s="1" t="n">
        <v>45895.68223379629</v>
      </c>
      <c r="C2003" s="1" t="n">
        <v>46098</v>
      </c>
      <c r="D2003" t="inlineStr">
        <is>
          <t>UPPSALA LÄN</t>
        </is>
      </c>
      <c r="E2003" t="inlineStr">
        <is>
          <t>HEBY</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51057-2025</t>
        </is>
      </c>
      <c r="B2004" s="1" t="n">
        <v>45947.44466435185</v>
      </c>
      <c r="C2004" s="1" t="n">
        <v>46098</v>
      </c>
      <c r="D2004" t="inlineStr">
        <is>
          <t>UPPSALA LÄN</t>
        </is>
      </c>
      <c r="E2004" t="inlineStr">
        <is>
          <t>TIERP</t>
        </is>
      </c>
      <c r="F2004" t="inlineStr">
        <is>
          <t>Bergvik skog öst AB</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51733-2025</t>
        </is>
      </c>
      <c r="B2005" s="1" t="n">
        <v>45951.59496527778</v>
      </c>
      <c r="C2005" s="1" t="n">
        <v>46098</v>
      </c>
      <c r="D2005" t="inlineStr">
        <is>
          <t>UPPSALA LÄN</t>
        </is>
      </c>
      <c r="E2005" t="inlineStr">
        <is>
          <t>HEBY</t>
        </is>
      </c>
      <c r="F2005" t="inlineStr">
        <is>
          <t>Bergvik skog öst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50102-2025</t>
        </is>
      </c>
      <c r="B2006" s="1" t="n">
        <v>45943.53341435185</v>
      </c>
      <c r="C2006" s="1" t="n">
        <v>46098</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42216-2025</t>
        </is>
      </c>
      <c r="B2007" s="1" t="n">
        <v>45904.51081018519</v>
      </c>
      <c r="C2007" s="1" t="n">
        <v>46098</v>
      </c>
      <c r="D2007" t="inlineStr">
        <is>
          <t>UPPSALA LÄN</t>
        </is>
      </c>
      <c r="E2007" t="inlineStr">
        <is>
          <t>HEBY</t>
        </is>
      </c>
      <c r="F2007" t="inlineStr">
        <is>
          <t>Bergvik skog öst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45310-2025</t>
        </is>
      </c>
      <c r="B2008" s="1" t="n">
        <v>45921.71658564815</v>
      </c>
      <c r="C2008" s="1" t="n">
        <v>46098</v>
      </c>
      <c r="D2008" t="inlineStr">
        <is>
          <t>UPPSALA LÄN</t>
        </is>
      </c>
      <c r="E2008" t="inlineStr">
        <is>
          <t>TIERP</t>
        </is>
      </c>
      <c r="F2008" t="inlineStr">
        <is>
          <t>Bergvik skog väst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45512-2025</t>
        </is>
      </c>
      <c r="B2009" s="1" t="n">
        <v>45922.58106481482</v>
      </c>
      <c r="C2009" s="1" t="n">
        <v>46098</v>
      </c>
      <c r="D2009" t="inlineStr">
        <is>
          <t>UPPSALA LÄN</t>
        </is>
      </c>
      <c r="E2009" t="inlineStr">
        <is>
          <t>ÄLVKARLEBY</t>
        </is>
      </c>
      <c r="F2009" t="inlineStr">
        <is>
          <t>Bergvik skog väst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30429-2025</t>
        </is>
      </c>
      <c r="B2010" s="1" t="n">
        <v>45827.62096064815</v>
      </c>
      <c r="C2010" s="1" t="n">
        <v>46098</v>
      </c>
      <c r="D2010" t="inlineStr">
        <is>
          <t>UPPSALA LÄN</t>
        </is>
      </c>
      <c r="E2010" t="inlineStr">
        <is>
          <t>UPPSALA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45519-2025</t>
        </is>
      </c>
      <c r="B2011" s="1" t="n">
        <v>45922</v>
      </c>
      <c r="C2011" s="1" t="n">
        <v>46098</v>
      </c>
      <c r="D2011" t="inlineStr">
        <is>
          <t>UPPSALA LÄN</t>
        </is>
      </c>
      <c r="E2011" t="inlineStr">
        <is>
          <t>UPPSALA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30567-2025</t>
        </is>
      </c>
      <c r="B2012" s="1" t="n">
        <v>45831.40671296296</v>
      </c>
      <c r="C2012" s="1" t="n">
        <v>46098</v>
      </c>
      <c r="D2012" t="inlineStr">
        <is>
          <t>UPPSALA LÄN</t>
        </is>
      </c>
      <c r="E2012" t="inlineStr">
        <is>
          <t>UPPSALA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45308-2025</t>
        </is>
      </c>
      <c r="B2013" s="1" t="n">
        <v>45921.71239583333</v>
      </c>
      <c r="C2013" s="1" t="n">
        <v>46098</v>
      </c>
      <c r="D2013" t="inlineStr">
        <is>
          <t>UPPSALA LÄN</t>
        </is>
      </c>
      <c r="E2013" t="inlineStr">
        <is>
          <t>TIERP</t>
        </is>
      </c>
      <c r="F2013" t="inlineStr">
        <is>
          <t>Bergvik skog väst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45406-2025</t>
        </is>
      </c>
      <c r="B2014" s="1" t="n">
        <v>45922.42936342592</v>
      </c>
      <c r="C2014" s="1" t="n">
        <v>46098</v>
      </c>
      <c r="D2014" t="inlineStr">
        <is>
          <t>UPPSALA LÄN</t>
        </is>
      </c>
      <c r="E2014" t="inlineStr">
        <is>
          <t>HÅBO</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45417-2025</t>
        </is>
      </c>
      <c r="B2015" s="1" t="n">
        <v>45922.44664351852</v>
      </c>
      <c r="C2015" s="1" t="n">
        <v>46098</v>
      </c>
      <c r="D2015" t="inlineStr">
        <is>
          <t>UPPSALA LÄN</t>
        </is>
      </c>
      <c r="E2015" t="inlineStr">
        <is>
          <t>HEBY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16516-2025</t>
        </is>
      </c>
      <c r="B2016" s="1" t="n">
        <v>45751.63172453704</v>
      </c>
      <c r="C2016" s="1" t="n">
        <v>46098</v>
      </c>
      <c r="D2016" t="inlineStr">
        <is>
          <t>UPPSALA LÄN</t>
        </is>
      </c>
      <c r="E2016" t="inlineStr">
        <is>
          <t>TIERP</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30610-2025</t>
        </is>
      </c>
      <c r="B2017" s="1" t="n">
        <v>45831.45965277778</v>
      </c>
      <c r="C2017" s="1" t="n">
        <v>46098</v>
      </c>
      <c r="D2017" t="inlineStr">
        <is>
          <t>UPPSALA LÄN</t>
        </is>
      </c>
      <c r="E2017" t="inlineStr">
        <is>
          <t>ÖSTHAMMAR</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45720-2025</t>
        </is>
      </c>
      <c r="B2018" s="1" t="n">
        <v>45923.44583333333</v>
      </c>
      <c r="C2018" s="1" t="n">
        <v>46098</v>
      </c>
      <c r="D2018" t="inlineStr">
        <is>
          <t>UPPSALA LÄN</t>
        </is>
      </c>
      <c r="E2018" t="inlineStr">
        <is>
          <t>ÖSTHAMMAR</t>
        </is>
      </c>
      <c r="F2018" t="inlineStr">
        <is>
          <t>Övriga Aktiebolag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45721-2025</t>
        </is>
      </c>
      <c r="B2019" s="1" t="n">
        <v>45923.44844907407</v>
      </c>
      <c r="C2019" s="1" t="n">
        <v>46098</v>
      </c>
      <c r="D2019" t="inlineStr">
        <is>
          <t>UPPSALA LÄN</t>
        </is>
      </c>
      <c r="E2019" t="inlineStr">
        <is>
          <t>ÖSTHAMMAR</t>
        </is>
      </c>
      <c r="F2019" t="inlineStr">
        <is>
          <t>Övriga Aktiebolag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7127-2024</t>
        </is>
      </c>
      <c r="B2020" s="1" t="n">
        <v>45344.338125</v>
      </c>
      <c r="C2020" s="1" t="n">
        <v>46098</v>
      </c>
      <c r="D2020" t="inlineStr">
        <is>
          <t>UPPSALA LÄN</t>
        </is>
      </c>
      <c r="E2020" t="inlineStr">
        <is>
          <t>TIERP</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45588-2025</t>
        </is>
      </c>
      <c r="B2021" s="1" t="n">
        <v>45922</v>
      </c>
      <c r="C2021" s="1" t="n">
        <v>46098</v>
      </c>
      <c r="D2021" t="inlineStr">
        <is>
          <t>UPPSALA LÄN</t>
        </is>
      </c>
      <c r="E2021" t="inlineStr">
        <is>
          <t>UPPSALA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45586-2025</t>
        </is>
      </c>
      <c r="B2022" s="1" t="n">
        <v>45922.66908564815</v>
      </c>
      <c r="C2022" s="1" t="n">
        <v>46098</v>
      </c>
      <c r="D2022" t="inlineStr">
        <is>
          <t>UPPSALA LÄN</t>
        </is>
      </c>
      <c r="E2022" t="inlineStr">
        <is>
          <t>TIERP</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15939-2022</t>
        </is>
      </c>
      <c r="B2023" s="1" t="n">
        <v>44664</v>
      </c>
      <c r="C2023" s="1" t="n">
        <v>46098</v>
      </c>
      <c r="D2023" t="inlineStr">
        <is>
          <t>UPPSALA LÄN</t>
        </is>
      </c>
      <c r="E2023" t="inlineStr">
        <is>
          <t>ENKÖPING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45904-2025</t>
        </is>
      </c>
      <c r="B2024" s="1" t="n">
        <v>45923.70230324074</v>
      </c>
      <c r="C2024" s="1" t="n">
        <v>46098</v>
      </c>
      <c r="D2024" t="inlineStr">
        <is>
          <t>UPPSALA LÄN</t>
        </is>
      </c>
      <c r="E2024" t="inlineStr">
        <is>
          <t>UPPSALA</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30504-2025</t>
        </is>
      </c>
      <c r="B2025" s="1" t="n">
        <v>45830.8558912037</v>
      </c>
      <c r="C2025" s="1" t="n">
        <v>46098</v>
      </c>
      <c r="D2025" t="inlineStr">
        <is>
          <t>UPPSALA LÄN</t>
        </is>
      </c>
      <c r="E2025" t="inlineStr">
        <is>
          <t>ÖSTHAMMAR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45449-2025</t>
        </is>
      </c>
      <c r="B2026" s="1" t="n">
        <v>45922.48269675926</v>
      </c>
      <c r="C2026" s="1" t="n">
        <v>46098</v>
      </c>
      <c r="D2026" t="inlineStr">
        <is>
          <t>UPPSALA LÄN</t>
        </is>
      </c>
      <c r="E2026" t="inlineStr">
        <is>
          <t>TIERP</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30483-2025</t>
        </is>
      </c>
      <c r="B2027" s="1" t="n">
        <v>45828.68988425926</v>
      </c>
      <c r="C2027" s="1" t="n">
        <v>46098</v>
      </c>
      <c r="D2027" t="inlineStr">
        <is>
          <t>UPPSALA LÄN</t>
        </is>
      </c>
      <c r="E2027" t="inlineStr">
        <is>
          <t>ÄLVKARLEBY</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45453-2025</t>
        </is>
      </c>
      <c r="B2028" s="1" t="n">
        <v>45922.48702546296</v>
      </c>
      <c r="C2028" s="1" t="n">
        <v>46098</v>
      </c>
      <c r="D2028" t="inlineStr">
        <is>
          <t>UPPSALA LÄN</t>
        </is>
      </c>
      <c r="E2028" t="inlineStr">
        <is>
          <t>KNIVSTA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30837-2025</t>
        </is>
      </c>
      <c r="B2029" s="1" t="n">
        <v>45831.7063425926</v>
      </c>
      <c r="C2029" s="1" t="n">
        <v>46098</v>
      </c>
      <c r="D2029" t="inlineStr">
        <is>
          <t>UPPSALA LÄN</t>
        </is>
      </c>
      <c r="E2029" t="inlineStr">
        <is>
          <t>ENKÖPING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45309-2025</t>
        </is>
      </c>
      <c r="B2030" s="1" t="n">
        <v>45921.71451388889</v>
      </c>
      <c r="C2030" s="1" t="n">
        <v>46098</v>
      </c>
      <c r="D2030" t="inlineStr">
        <is>
          <t>UPPSALA LÄN</t>
        </is>
      </c>
      <c r="E2030" t="inlineStr">
        <is>
          <t>TIERP</t>
        </is>
      </c>
      <c r="F2030" t="inlineStr">
        <is>
          <t>Bergvik skog väst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30503-2025</t>
        </is>
      </c>
      <c r="B2031" s="1" t="n">
        <v>45830.8500462963</v>
      </c>
      <c r="C2031" s="1" t="n">
        <v>46098</v>
      </c>
      <c r="D2031" t="inlineStr">
        <is>
          <t>UPPSALA LÄN</t>
        </is>
      </c>
      <c r="E2031" t="inlineStr">
        <is>
          <t>ÖSTHAMMAR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30838-2025</t>
        </is>
      </c>
      <c r="B2032" s="1" t="n">
        <v>45831.72686342592</v>
      </c>
      <c r="C2032" s="1" t="n">
        <v>46098</v>
      </c>
      <c r="D2032" t="inlineStr">
        <is>
          <t>UPPSALA LÄN</t>
        </is>
      </c>
      <c r="E2032" t="inlineStr">
        <is>
          <t>UPPSALA</t>
        </is>
      </c>
      <c r="F2032" t="inlineStr">
        <is>
          <t>Kyrkan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59388-2025</t>
        </is>
      </c>
      <c r="B2033" s="1" t="n">
        <v>45989.46065972222</v>
      </c>
      <c r="C2033" s="1" t="n">
        <v>46098</v>
      </c>
      <c r="D2033" t="inlineStr">
        <is>
          <t>UPPSALA LÄN</t>
        </is>
      </c>
      <c r="E2033" t="inlineStr">
        <is>
          <t>TIERP</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30839-2025</t>
        </is>
      </c>
      <c r="B2034" s="1" t="n">
        <v>45831.73</v>
      </c>
      <c r="C2034" s="1" t="n">
        <v>46098</v>
      </c>
      <c r="D2034" t="inlineStr">
        <is>
          <t>UPPSALA LÄN</t>
        </is>
      </c>
      <c r="E2034" t="inlineStr">
        <is>
          <t>UPPSALA</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59207-2025</t>
        </is>
      </c>
      <c r="B2035" s="1" t="n">
        <v>45988.61304398148</v>
      </c>
      <c r="C2035" s="1" t="n">
        <v>46098</v>
      </c>
      <c r="D2035" t="inlineStr">
        <is>
          <t>UPPSALA LÄN</t>
        </is>
      </c>
      <c r="E2035" t="inlineStr">
        <is>
          <t>UPPSALA</t>
        </is>
      </c>
      <c r="F2035" t="inlineStr">
        <is>
          <t>Kyrkan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21522-2022</t>
        </is>
      </c>
      <c r="B2036" s="1" t="n">
        <v>44706</v>
      </c>
      <c r="C2036" s="1" t="n">
        <v>46098</v>
      </c>
      <c r="D2036" t="inlineStr">
        <is>
          <t>UPPSALA LÄN</t>
        </is>
      </c>
      <c r="E2036" t="inlineStr">
        <is>
          <t>ÖSTHAMMAR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30585-2025</t>
        </is>
      </c>
      <c r="B2037" s="1" t="n">
        <v>45831.42616898148</v>
      </c>
      <c r="C2037" s="1" t="n">
        <v>46098</v>
      </c>
      <c r="D2037" t="inlineStr">
        <is>
          <t>UPPSALA LÄN</t>
        </is>
      </c>
      <c r="E2037" t="inlineStr">
        <is>
          <t>UPPSALA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45382-2025</t>
        </is>
      </c>
      <c r="B2038" s="1" t="n">
        <v>45922.40297453704</v>
      </c>
      <c r="C2038" s="1" t="n">
        <v>46098</v>
      </c>
      <c r="D2038" t="inlineStr">
        <is>
          <t>UPPSALA LÄN</t>
        </is>
      </c>
      <c r="E2038" t="inlineStr">
        <is>
          <t>HEBY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45436-2025</t>
        </is>
      </c>
      <c r="B2039" s="1" t="n">
        <v>45922.46763888889</v>
      </c>
      <c r="C2039" s="1" t="n">
        <v>46098</v>
      </c>
      <c r="D2039" t="inlineStr">
        <is>
          <t>UPPSALA LÄN</t>
        </is>
      </c>
      <c r="E2039" t="inlineStr">
        <is>
          <t>UPPSALA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45405-2025</t>
        </is>
      </c>
      <c r="B2040" s="1" t="n">
        <v>45922.42865740741</v>
      </c>
      <c r="C2040" s="1" t="n">
        <v>46098</v>
      </c>
      <c r="D2040" t="inlineStr">
        <is>
          <t>UPPSALA LÄN</t>
        </is>
      </c>
      <c r="E2040" t="inlineStr">
        <is>
          <t>UPPSALA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45440-2025</t>
        </is>
      </c>
      <c r="B2041" s="1" t="n">
        <v>45922.47185185185</v>
      </c>
      <c r="C2041" s="1" t="n">
        <v>46098</v>
      </c>
      <c r="D2041" t="inlineStr">
        <is>
          <t>UPPSALA LÄN</t>
        </is>
      </c>
      <c r="E2041" t="inlineStr">
        <is>
          <t>HEBY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53893-2023</t>
        </is>
      </c>
      <c r="B2042" s="1" t="n">
        <v>45231</v>
      </c>
      <c r="C2042" s="1" t="n">
        <v>46098</v>
      </c>
      <c r="D2042" t="inlineStr">
        <is>
          <t>UPPSALA LÄN</t>
        </is>
      </c>
      <c r="E2042" t="inlineStr">
        <is>
          <t>UPPSALA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31525-2025</t>
        </is>
      </c>
      <c r="B2043" s="1" t="n">
        <v>45833.61322916667</v>
      </c>
      <c r="C2043" s="1" t="n">
        <v>46098</v>
      </c>
      <c r="D2043" t="inlineStr">
        <is>
          <t>UPPSALA LÄN</t>
        </is>
      </c>
      <c r="E2043" t="inlineStr">
        <is>
          <t>TIERP</t>
        </is>
      </c>
      <c r="F2043" t="inlineStr">
        <is>
          <t>Bergvik skog öst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33103-2025</t>
        </is>
      </c>
      <c r="B2044" s="1" t="n">
        <v>45832</v>
      </c>
      <c r="C2044" s="1" t="n">
        <v>46098</v>
      </c>
      <c r="D2044" t="inlineStr">
        <is>
          <t>UPPSALA LÄN</t>
        </is>
      </c>
      <c r="E2044" t="inlineStr">
        <is>
          <t>HEBY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45311-2025</t>
        </is>
      </c>
      <c r="B2045" s="1" t="n">
        <v>45921.71875</v>
      </c>
      <c r="C2045" s="1" t="n">
        <v>46098</v>
      </c>
      <c r="D2045" t="inlineStr">
        <is>
          <t>UPPSALA LÄN</t>
        </is>
      </c>
      <c r="E2045" t="inlineStr">
        <is>
          <t>TIERP</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45903-2025</t>
        </is>
      </c>
      <c r="B2046" s="1" t="n">
        <v>45923.70146990741</v>
      </c>
      <c r="C2046" s="1" t="n">
        <v>46098</v>
      </c>
      <c r="D2046" t="inlineStr">
        <is>
          <t>UPPSALA LÄN</t>
        </is>
      </c>
      <c r="E2046" t="inlineStr">
        <is>
          <t>UPPSALA</t>
        </is>
      </c>
      <c r="F2046" t="inlineStr">
        <is>
          <t>Kyrkan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59174-2025</t>
        </is>
      </c>
      <c r="B2047" s="1" t="n">
        <v>45988.56907407408</v>
      </c>
      <c r="C2047" s="1" t="n">
        <v>46098</v>
      </c>
      <c r="D2047" t="inlineStr">
        <is>
          <t>UPPSALA LÄN</t>
        </is>
      </c>
      <c r="E2047" t="inlineStr">
        <is>
          <t>TIERP</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45328-2025</t>
        </is>
      </c>
      <c r="B2048" s="1" t="n">
        <v>45922.33063657407</v>
      </c>
      <c r="C2048" s="1" t="n">
        <v>46098</v>
      </c>
      <c r="D2048" t="inlineStr">
        <is>
          <t>UPPSALA LÄN</t>
        </is>
      </c>
      <c r="E2048" t="inlineStr">
        <is>
          <t>TIERP</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53812-2025</t>
        </is>
      </c>
      <c r="B2049" s="1" t="n">
        <v>45960</v>
      </c>
      <c r="C2049" s="1" t="n">
        <v>46098</v>
      </c>
      <c r="D2049" t="inlineStr">
        <is>
          <t>UPPSALA LÄN</t>
        </is>
      </c>
      <c r="E2049" t="inlineStr">
        <is>
          <t>KNIVSTA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30936-2025</t>
        </is>
      </c>
      <c r="B2050" s="1" t="n">
        <v>45832.40586805555</v>
      </c>
      <c r="C2050" s="1" t="n">
        <v>46098</v>
      </c>
      <c r="D2050" t="inlineStr">
        <is>
          <t>UPPSALA LÄN</t>
        </is>
      </c>
      <c r="E2050" t="inlineStr">
        <is>
          <t>ÄLVKARLEBY</t>
        </is>
      </c>
      <c r="F2050" t="inlineStr">
        <is>
          <t>Bergvik skog öst AB</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45715-2025</t>
        </is>
      </c>
      <c r="B2051" s="1" t="n">
        <v>45923.44094907407</v>
      </c>
      <c r="C2051" s="1" t="n">
        <v>46098</v>
      </c>
      <c r="D2051" t="inlineStr">
        <is>
          <t>UPPSALA LÄN</t>
        </is>
      </c>
      <c r="E2051" t="inlineStr">
        <is>
          <t>ÖSTHAMMAR</t>
        </is>
      </c>
      <c r="F2051" t="inlineStr">
        <is>
          <t>Övriga Aktiebolag</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59398-2025</t>
        </is>
      </c>
      <c r="B2052" s="1" t="n">
        <v>45989.47987268519</v>
      </c>
      <c r="C2052" s="1" t="n">
        <v>46098</v>
      </c>
      <c r="D2052" t="inlineStr">
        <is>
          <t>UPPSALA LÄN</t>
        </is>
      </c>
      <c r="E2052" t="inlineStr">
        <is>
          <t>TIERP</t>
        </is>
      </c>
      <c r="F2052" t="inlineStr">
        <is>
          <t>Bergvik skog väst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57153-2021</t>
        </is>
      </c>
      <c r="B2053" s="1" t="n">
        <v>44482</v>
      </c>
      <c r="C2053" s="1" t="n">
        <v>46098</v>
      </c>
      <c r="D2053" t="inlineStr">
        <is>
          <t>UPPSALA LÄN</t>
        </is>
      </c>
      <c r="E2053" t="inlineStr">
        <is>
          <t>ENKÖPING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59185-2025</t>
        </is>
      </c>
      <c r="B2054" s="1" t="n">
        <v>45988.57533564815</v>
      </c>
      <c r="C2054" s="1" t="n">
        <v>46098</v>
      </c>
      <c r="D2054" t="inlineStr">
        <is>
          <t>UPPSALA LÄN</t>
        </is>
      </c>
      <c r="E2054" t="inlineStr">
        <is>
          <t>TIERP</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31083-2025</t>
        </is>
      </c>
      <c r="B2055" s="1" t="n">
        <v>45832.58662037037</v>
      </c>
      <c r="C2055" s="1" t="n">
        <v>46098</v>
      </c>
      <c r="D2055" t="inlineStr">
        <is>
          <t>UPPSALA LÄN</t>
        </is>
      </c>
      <c r="E2055" t="inlineStr">
        <is>
          <t>TIERP</t>
        </is>
      </c>
      <c r="F2055" t="inlineStr">
        <is>
          <t>Bergvik skog öst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30897-2025</t>
        </is>
      </c>
      <c r="B2056" s="1" t="n">
        <v>45832.35545138889</v>
      </c>
      <c r="C2056" s="1" t="n">
        <v>46098</v>
      </c>
      <c r="D2056" t="inlineStr">
        <is>
          <t>UPPSALA LÄN</t>
        </is>
      </c>
      <c r="E2056" t="inlineStr">
        <is>
          <t>UPPSALA</t>
        </is>
      </c>
      <c r="F2056" t="inlineStr">
        <is>
          <t>Kyrkan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31549-2025</t>
        </is>
      </c>
      <c r="B2057" s="1" t="n">
        <v>45833.63829861111</v>
      </c>
      <c r="C2057" s="1" t="n">
        <v>46098</v>
      </c>
      <c r="D2057" t="inlineStr">
        <is>
          <t>UPPSALA LÄN</t>
        </is>
      </c>
      <c r="E2057" t="inlineStr">
        <is>
          <t>TIERP</t>
        </is>
      </c>
      <c r="F2057" t="inlineStr">
        <is>
          <t>Bergvik skog öst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31556-2025</t>
        </is>
      </c>
      <c r="B2058" s="1" t="n">
        <v>45833.65157407407</v>
      </c>
      <c r="C2058" s="1" t="n">
        <v>46098</v>
      </c>
      <c r="D2058" t="inlineStr">
        <is>
          <t>UPPSALA LÄN</t>
        </is>
      </c>
      <c r="E2058" t="inlineStr">
        <is>
          <t>TIERP</t>
        </is>
      </c>
      <c r="F2058" t="inlineStr">
        <is>
          <t>Bergvik skog öst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19132-2025</t>
        </is>
      </c>
      <c r="B2059" s="1" t="n">
        <v>45764</v>
      </c>
      <c r="C2059" s="1" t="n">
        <v>46098</v>
      </c>
      <c r="D2059" t="inlineStr">
        <is>
          <t>UPPSALA LÄN</t>
        </is>
      </c>
      <c r="E2059" t="inlineStr">
        <is>
          <t>HEBY</t>
        </is>
      </c>
      <c r="F2059" t="inlineStr">
        <is>
          <t>Bergvik skog väst AB</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31249-2025</t>
        </is>
      </c>
      <c r="B2060" s="1" t="n">
        <v>45832.89476851852</v>
      </c>
      <c r="C2060" s="1" t="n">
        <v>46098</v>
      </c>
      <c r="D2060" t="inlineStr">
        <is>
          <t>UPPSALA LÄN</t>
        </is>
      </c>
      <c r="E2060" t="inlineStr">
        <is>
          <t>ÖSTHAMMAR</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31201-2025</t>
        </is>
      </c>
      <c r="B2061" s="1" t="n">
        <v>45832.69688657407</v>
      </c>
      <c r="C2061" s="1" t="n">
        <v>46098</v>
      </c>
      <c r="D2061" t="inlineStr">
        <is>
          <t>UPPSALA LÄN</t>
        </is>
      </c>
      <c r="E2061" t="inlineStr">
        <is>
          <t>TIERP</t>
        </is>
      </c>
      <c r="F2061" t="inlineStr">
        <is>
          <t>Bergvik skog öst AB</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59668-2025</t>
        </is>
      </c>
      <c r="B2062" s="1" t="n">
        <v>45992.45567129629</v>
      </c>
      <c r="C2062" s="1" t="n">
        <v>46098</v>
      </c>
      <c r="D2062" t="inlineStr">
        <is>
          <t>UPPSALA LÄN</t>
        </is>
      </c>
      <c r="E2062" t="inlineStr">
        <is>
          <t>ENKÖPING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19132-2025</t>
        </is>
      </c>
      <c r="B2063" s="1" t="n">
        <v>45764</v>
      </c>
      <c r="C2063" s="1" t="n">
        <v>46098</v>
      </c>
      <c r="D2063" t="inlineStr">
        <is>
          <t>UPPSALA LÄN</t>
        </is>
      </c>
      <c r="E2063" t="inlineStr">
        <is>
          <t>HEBY</t>
        </is>
      </c>
      <c r="F2063" t="inlineStr">
        <is>
          <t>Bergvik skog väst AB</t>
        </is>
      </c>
      <c r="G2063" t="n">
        <v>43.4</v>
      </c>
      <c r="H2063" t="n">
        <v>0</v>
      </c>
      <c r="I2063" t="n">
        <v>0</v>
      </c>
      <c r="J2063" t="n">
        <v>0</v>
      </c>
      <c r="K2063" t="n">
        <v>0</v>
      </c>
      <c r="L2063" t="n">
        <v>0</v>
      </c>
      <c r="M2063" t="n">
        <v>0</v>
      </c>
      <c r="N2063" t="n">
        <v>0</v>
      </c>
      <c r="O2063" t="n">
        <v>0</v>
      </c>
      <c r="P2063" t="n">
        <v>0</v>
      </c>
      <c r="Q2063" t="n">
        <v>0</v>
      </c>
      <c r="R2063" s="2" t="inlineStr"/>
    </row>
    <row r="2064" ht="15" customHeight="1">
      <c r="A2064" t="inlineStr">
        <is>
          <t>A 30898-2025</t>
        </is>
      </c>
      <c r="B2064" s="1" t="n">
        <v>45832.35590277778</v>
      </c>
      <c r="C2064" s="1" t="n">
        <v>46098</v>
      </c>
      <c r="D2064" t="inlineStr">
        <is>
          <t>UPPSALA LÄN</t>
        </is>
      </c>
      <c r="E2064" t="inlineStr">
        <is>
          <t>UPPSALA</t>
        </is>
      </c>
      <c r="F2064" t="inlineStr">
        <is>
          <t>Kyrkan</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45755-2025</t>
        </is>
      </c>
      <c r="B2065" s="1" t="n">
        <v>45923.50240740741</v>
      </c>
      <c r="C2065" s="1" t="n">
        <v>46098</v>
      </c>
      <c r="D2065" t="inlineStr">
        <is>
          <t>UPPSALA LÄN</t>
        </is>
      </c>
      <c r="E2065" t="inlineStr">
        <is>
          <t>ENKÖPING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31523-2025</t>
        </is>
      </c>
      <c r="B2066" s="1" t="n">
        <v>45833.60854166667</v>
      </c>
      <c r="C2066" s="1" t="n">
        <v>46098</v>
      </c>
      <c r="D2066" t="inlineStr">
        <is>
          <t>UPPSALA LÄN</t>
        </is>
      </c>
      <c r="E2066" t="inlineStr">
        <is>
          <t>TIERP</t>
        </is>
      </c>
      <c r="F2066" t="inlineStr">
        <is>
          <t>Bergvik skog öst AB</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31579-2025</t>
        </is>
      </c>
      <c r="B2067" s="1" t="n">
        <v>45833.68211805556</v>
      </c>
      <c r="C2067" s="1" t="n">
        <v>46098</v>
      </c>
      <c r="D2067" t="inlineStr">
        <is>
          <t>UPPSALA LÄN</t>
        </is>
      </c>
      <c r="E2067" t="inlineStr">
        <is>
          <t>ÖSTHAMMAR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45447-2025</t>
        </is>
      </c>
      <c r="B2068" s="1" t="n">
        <v>45922.48148148148</v>
      </c>
      <c r="C2068" s="1" t="n">
        <v>46098</v>
      </c>
      <c r="D2068" t="inlineStr">
        <is>
          <t>UPPSALA LÄN</t>
        </is>
      </c>
      <c r="E2068" t="inlineStr">
        <is>
          <t>UPPSALA</t>
        </is>
      </c>
      <c r="G2068" t="n">
        <v>2</v>
      </c>
      <c r="H2068" t="n">
        <v>0</v>
      </c>
      <c r="I2068" t="n">
        <v>0</v>
      </c>
      <c r="J2068" t="n">
        <v>0</v>
      </c>
      <c r="K2068" t="n">
        <v>0</v>
      </c>
      <c r="L2068" t="n">
        <v>0</v>
      </c>
      <c r="M2068" t="n">
        <v>0</v>
      </c>
      <c r="N2068" t="n">
        <v>0</v>
      </c>
      <c r="O2068" t="n">
        <v>0</v>
      </c>
      <c r="P2068" t="n">
        <v>0</v>
      </c>
      <c r="Q2068" t="n">
        <v>0</v>
      </c>
      <c r="R2068" s="2" t="inlineStr"/>
      <c r="U2068">
        <f>HYPERLINK("https://klasma.github.io/Logging_0380/knärot/A 45447-2025 karta knärot.png", "A 45447-2025")</f>
        <v/>
      </c>
      <c r="V2068">
        <f>HYPERLINK("https://klasma.github.io/Logging_0380/klagomål/A 45447-2025 FSC-klagomål.docx", "A 45447-2025")</f>
        <v/>
      </c>
      <c r="W2068">
        <f>HYPERLINK("https://klasma.github.io/Logging_0380/klagomålsmail/A 45447-2025 FSC-klagomål mail.docx", "A 45447-2025")</f>
        <v/>
      </c>
      <c r="X2068">
        <f>HYPERLINK("https://klasma.github.io/Logging_0380/tillsyn/A 45447-2025 tillsynsbegäran.docx", "A 45447-2025")</f>
        <v/>
      </c>
      <c r="Y2068">
        <f>HYPERLINK("https://klasma.github.io/Logging_0380/tillsynsmail/A 45447-2025 tillsynsbegäran mail.docx", "A 45447-2025")</f>
        <v/>
      </c>
    </row>
    <row r="2069" ht="15" customHeight="1">
      <c r="A2069" t="inlineStr">
        <is>
          <t>A 1567-2025</t>
        </is>
      </c>
      <c r="B2069" s="1" t="n">
        <v>45670</v>
      </c>
      <c r="C2069" s="1" t="n">
        <v>46098</v>
      </c>
      <c r="D2069" t="inlineStr">
        <is>
          <t>UPPSALA LÄN</t>
        </is>
      </c>
      <c r="E2069" t="inlineStr">
        <is>
          <t>ÖSTHAMMAR</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31360-2025</t>
        </is>
      </c>
      <c r="B2070" s="1" t="n">
        <v>45833.43527777777</v>
      </c>
      <c r="C2070" s="1" t="n">
        <v>46098</v>
      </c>
      <c r="D2070" t="inlineStr">
        <is>
          <t>UPPSALA LÄN</t>
        </is>
      </c>
      <c r="E2070" t="inlineStr">
        <is>
          <t>ÖSTHAMMAR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46406-2025</t>
        </is>
      </c>
      <c r="B2071" s="1" t="n">
        <v>45925</v>
      </c>
      <c r="C2071" s="1" t="n">
        <v>46098</v>
      </c>
      <c r="D2071" t="inlineStr">
        <is>
          <t>UPPSALA LÄN</t>
        </is>
      </c>
      <c r="E2071" t="inlineStr">
        <is>
          <t>HEBY</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59837-2025</t>
        </is>
      </c>
      <c r="B2072" s="1" t="n">
        <v>45992.67348379629</v>
      </c>
      <c r="C2072" s="1" t="n">
        <v>46098</v>
      </c>
      <c r="D2072" t="inlineStr">
        <is>
          <t>UPPSALA LÄN</t>
        </is>
      </c>
      <c r="E2072" t="inlineStr">
        <is>
          <t>HEBY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31199-2025</t>
        </is>
      </c>
      <c r="B2073" s="1" t="n">
        <v>45832.69494212963</v>
      </c>
      <c r="C2073" s="1" t="n">
        <v>46098</v>
      </c>
      <c r="D2073" t="inlineStr">
        <is>
          <t>UPPSALA LÄN</t>
        </is>
      </c>
      <c r="E2073" t="inlineStr">
        <is>
          <t>TIERP</t>
        </is>
      </c>
      <c r="F2073" t="inlineStr">
        <is>
          <t>Bergvik skog öst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59572-2025</t>
        </is>
      </c>
      <c r="B2074" s="1" t="n">
        <v>45992.28574074074</v>
      </c>
      <c r="C2074" s="1" t="n">
        <v>46098</v>
      </c>
      <c r="D2074" t="inlineStr">
        <is>
          <t>UPPSALA LÄN</t>
        </is>
      </c>
      <c r="E2074" t="inlineStr">
        <is>
          <t>TIERP</t>
        </is>
      </c>
      <c r="F2074" t="inlineStr">
        <is>
          <t>Bergvik skog öst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59573-2025</t>
        </is>
      </c>
      <c r="B2075" s="1" t="n">
        <v>45992.29383101852</v>
      </c>
      <c r="C2075" s="1" t="n">
        <v>46098</v>
      </c>
      <c r="D2075" t="inlineStr">
        <is>
          <t>UPPSALA LÄN</t>
        </is>
      </c>
      <c r="E2075" t="inlineStr">
        <is>
          <t>TIERP</t>
        </is>
      </c>
      <c r="F2075" t="inlineStr">
        <is>
          <t>Bergvik skog öst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59578-2025</t>
        </is>
      </c>
      <c r="B2076" s="1" t="n">
        <v>45992.30194444444</v>
      </c>
      <c r="C2076" s="1" t="n">
        <v>46098</v>
      </c>
      <c r="D2076" t="inlineStr">
        <is>
          <t>UPPSALA LÄN</t>
        </is>
      </c>
      <c r="E2076" t="inlineStr">
        <is>
          <t>TIERP</t>
        </is>
      </c>
      <c r="F2076" t="inlineStr">
        <is>
          <t>Bergvik skog öst AB</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59964-2025</t>
        </is>
      </c>
      <c r="B2077" s="1" t="n">
        <v>45993.48043981481</v>
      </c>
      <c r="C2077" s="1" t="n">
        <v>46098</v>
      </c>
      <c r="D2077" t="inlineStr">
        <is>
          <t>UPPSALA LÄN</t>
        </is>
      </c>
      <c r="E2077" t="inlineStr">
        <is>
          <t>ENKÖPING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60083-2025</t>
        </is>
      </c>
      <c r="B2078" s="1" t="n">
        <v>45993.69733796296</v>
      </c>
      <c r="C2078" s="1" t="n">
        <v>46098</v>
      </c>
      <c r="D2078" t="inlineStr">
        <is>
          <t>UPPSALA LÄN</t>
        </is>
      </c>
      <c r="E2078" t="inlineStr">
        <is>
          <t>ÄLVKARLEBY</t>
        </is>
      </c>
      <c r="F2078" t="inlineStr">
        <is>
          <t>Bergvik skog väst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59745-2025</t>
        </is>
      </c>
      <c r="B2079" s="1" t="n">
        <v>45992.57708333333</v>
      </c>
      <c r="C2079" s="1" t="n">
        <v>46098</v>
      </c>
      <c r="D2079" t="inlineStr">
        <is>
          <t>UPPSALA LÄN</t>
        </is>
      </c>
      <c r="E2079" t="inlineStr">
        <is>
          <t>ÖSTHAMMAR</t>
        </is>
      </c>
      <c r="F2079" t="inlineStr">
        <is>
          <t>Bergvik skog öst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49938-2025</t>
        </is>
      </c>
      <c r="B2080" s="1" t="n">
        <v>45940</v>
      </c>
      <c r="C2080" s="1" t="n">
        <v>46098</v>
      </c>
      <c r="D2080" t="inlineStr">
        <is>
          <t>UPPSALA LÄN</t>
        </is>
      </c>
      <c r="E2080" t="inlineStr">
        <is>
          <t>UPPSALA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31058-2025</t>
        </is>
      </c>
      <c r="B2081" s="1" t="n">
        <v>45832.57018518518</v>
      </c>
      <c r="C2081" s="1" t="n">
        <v>46098</v>
      </c>
      <c r="D2081" t="inlineStr">
        <is>
          <t>UPPSALA LÄN</t>
        </is>
      </c>
      <c r="E2081" t="inlineStr">
        <is>
          <t>HEBY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59779-2025</t>
        </is>
      </c>
      <c r="B2082" s="1" t="n">
        <v>45992.60832175926</v>
      </c>
      <c r="C2082" s="1" t="n">
        <v>46098</v>
      </c>
      <c r="D2082" t="inlineStr">
        <is>
          <t>UPPSALA LÄN</t>
        </is>
      </c>
      <c r="E2082" t="inlineStr">
        <is>
          <t>UPPSALA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30944-2025</t>
        </is>
      </c>
      <c r="B2083" s="1" t="n">
        <v>45832.41182870371</v>
      </c>
      <c r="C2083" s="1" t="n">
        <v>46098</v>
      </c>
      <c r="D2083" t="inlineStr">
        <is>
          <t>UPPSALA LÄN</t>
        </is>
      </c>
      <c r="E2083" t="inlineStr">
        <is>
          <t>ÄLVKARLEBY</t>
        </is>
      </c>
      <c r="F2083" t="inlineStr">
        <is>
          <t>Bergvik skog öst AB</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30867-2025</t>
        </is>
      </c>
      <c r="B2084" s="1" t="n">
        <v>45832.32575231481</v>
      </c>
      <c r="C2084" s="1" t="n">
        <v>46098</v>
      </c>
      <c r="D2084" t="inlineStr">
        <is>
          <t>UPPSALA LÄN</t>
        </is>
      </c>
      <c r="E2084" t="inlineStr">
        <is>
          <t>TIERP</t>
        </is>
      </c>
      <c r="F2084" t="inlineStr">
        <is>
          <t>Bergvik skog väst AB</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34989-2025</t>
        </is>
      </c>
      <c r="B2085" s="1" t="n">
        <v>45849</v>
      </c>
      <c r="C2085" s="1" t="n">
        <v>46098</v>
      </c>
      <c r="D2085" t="inlineStr">
        <is>
          <t>UPPSALA LÄN</t>
        </is>
      </c>
      <c r="E2085" t="inlineStr">
        <is>
          <t>ENKÖPING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31330-2025</t>
        </is>
      </c>
      <c r="B2086" s="1" t="n">
        <v>45833.41546296296</v>
      </c>
      <c r="C2086" s="1" t="n">
        <v>46098</v>
      </c>
      <c r="D2086" t="inlineStr">
        <is>
          <t>UPPSALA LÄN</t>
        </is>
      </c>
      <c r="E2086" t="inlineStr">
        <is>
          <t>HEBY</t>
        </is>
      </c>
      <c r="F2086" t="inlineStr">
        <is>
          <t>Bergvik skog öst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59706-2025</t>
        </is>
      </c>
      <c r="B2087" s="1" t="n">
        <v>45992.50333333333</v>
      </c>
      <c r="C2087" s="1" t="n">
        <v>46098</v>
      </c>
      <c r="D2087" t="inlineStr">
        <is>
          <t>UPPSALA LÄN</t>
        </is>
      </c>
      <c r="E2087" t="inlineStr">
        <is>
          <t>ÖSTHAMMAR</t>
        </is>
      </c>
      <c r="F2087" t="inlineStr">
        <is>
          <t>Bergvik skog öst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59575-2025</t>
        </is>
      </c>
      <c r="B2088" s="1" t="n">
        <v>45992.29976851852</v>
      </c>
      <c r="C2088" s="1" t="n">
        <v>46098</v>
      </c>
      <c r="D2088" t="inlineStr">
        <is>
          <t>UPPSALA LÄN</t>
        </is>
      </c>
      <c r="E2088" t="inlineStr">
        <is>
          <t>TIERP</t>
        </is>
      </c>
      <c r="F2088" t="inlineStr">
        <is>
          <t>Bergvik skog öst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40325-2023</t>
        </is>
      </c>
      <c r="B2089" s="1" t="n">
        <v>45169</v>
      </c>
      <c r="C2089" s="1" t="n">
        <v>46098</v>
      </c>
      <c r="D2089" t="inlineStr">
        <is>
          <t>UPPSALA LÄN</t>
        </is>
      </c>
      <c r="E2089" t="inlineStr">
        <is>
          <t>UPPSALA</t>
        </is>
      </c>
      <c r="F2089" t="inlineStr">
        <is>
          <t>Kommuner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13040-2025</t>
        </is>
      </c>
      <c r="B2090" s="1" t="n">
        <v>45734</v>
      </c>
      <c r="C2090" s="1" t="n">
        <v>46098</v>
      </c>
      <c r="D2090" t="inlineStr">
        <is>
          <t>UPPSALA LÄN</t>
        </is>
      </c>
      <c r="E2090" t="inlineStr">
        <is>
          <t>KNIVSTA</t>
        </is>
      </c>
      <c r="F2090" t="inlineStr">
        <is>
          <t>Allmännings- och besparingsskogar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34990-2025</t>
        </is>
      </c>
      <c r="B2091" s="1" t="n">
        <v>45849.78916666667</v>
      </c>
      <c r="C2091" s="1" t="n">
        <v>46098</v>
      </c>
      <c r="D2091" t="inlineStr">
        <is>
          <t>UPPSALA LÄN</t>
        </is>
      </c>
      <c r="E2091" t="inlineStr">
        <is>
          <t>ENKÖPING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59555-2025</t>
        </is>
      </c>
      <c r="B2092" s="1" t="n">
        <v>45991.36298611111</v>
      </c>
      <c r="C2092" s="1" t="n">
        <v>46098</v>
      </c>
      <c r="D2092" t="inlineStr">
        <is>
          <t>UPPSALA LÄN</t>
        </is>
      </c>
      <c r="E2092" t="inlineStr">
        <is>
          <t>TIERP</t>
        </is>
      </c>
      <c r="F2092" t="inlineStr">
        <is>
          <t>Bergvik skog väst AB</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59688-2025</t>
        </is>
      </c>
      <c r="B2093" s="1" t="n">
        <v>45992.47825231482</v>
      </c>
      <c r="C2093" s="1" t="n">
        <v>46098</v>
      </c>
      <c r="D2093" t="inlineStr">
        <is>
          <t>UPPSALA LÄN</t>
        </is>
      </c>
      <c r="E2093" t="inlineStr">
        <is>
          <t>UPPSALA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33092-2025</t>
        </is>
      </c>
      <c r="B2094" s="1" t="n">
        <v>45832</v>
      </c>
      <c r="C2094" s="1" t="n">
        <v>46098</v>
      </c>
      <c r="D2094" t="inlineStr">
        <is>
          <t>UPPSALA LÄN</t>
        </is>
      </c>
      <c r="E2094" t="inlineStr">
        <is>
          <t>HEBY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52869-2025</t>
        </is>
      </c>
      <c r="B2095" s="1" t="n">
        <v>45957</v>
      </c>
      <c r="C2095" s="1" t="n">
        <v>46098</v>
      </c>
      <c r="D2095" t="inlineStr">
        <is>
          <t>UPPSALA LÄN</t>
        </is>
      </c>
      <c r="E2095" t="inlineStr">
        <is>
          <t>TIERP</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59708-2025</t>
        </is>
      </c>
      <c r="B2096" s="1" t="n">
        <v>45992.50802083333</v>
      </c>
      <c r="C2096" s="1" t="n">
        <v>46098</v>
      </c>
      <c r="D2096" t="inlineStr">
        <is>
          <t>UPPSALA LÄN</t>
        </is>
      </c>
      <c r="E2096" t="inlineStr">
        <is>
          <t>ÖSTHAMMAR</t>
        </is>
      </c>
      <c r="F2096" t="inlineStr">
        <is>
          <t>Bergvik skog öst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59743-2025</t>
        </is>
      </c>
      <c r="B2097" s="1" t="n">
        <v>45992.57668981481</v>
      </c>
      <c r="C2097" s="1" t="n">
        <v>46098</v>
      </c>
      <c r="D2097" t="inlineStr">
        <is>
          <t>UPPSALA LÄN</t>
        </is>
      </c>
      <c r="E2097" t="inlineStr">
        <is>
          <t>ÖSTHAMMAR</t>
        </is>
      </c>
      <c r="F2097" t="inlineStr">
        <is>
          <t>Bergvik skog öst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46407-2025</t>
        </is>
      </c>
      <c r="B2098" s="1" t="n">
        <v>45925</v>
      </c>
      <c r="C2098" s="1" t="n">
        <v>46098</v>
      </c>
      <c r="D2098" t="inlineStr">
        <is>
          <t>UPPSALA LÄN</t>
        </is>
      </c>
      <c r="E2098" t="inlineStr">
        <is>
          <t>HEBY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46335-2025</t>
        </is>
      </c>
      <c r="B2099" s="1" t="n">
        <v>45925.46199074074</v>
      </c>
      <c r="C2099" s="1" t="n">
        <v>46098</v>
      </c>
      <c r="D2099" t="inlineStr">
        <is>
          <t>UPPSALA LÄN</t>
        </is>
      </c>
      <c r="E2099" t="inlineStr">
        <is>
          <t>ÄLVKARLEBY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32187-2025</t>
        </is>
      </c>
      <c r="B2100" s="1" t="n">
        <v>45835.56949074074</v>
      </c>
      <c r="C2100" s="1" t="n">
        <v>46098</v>
      </c>
      <c r="D2100" t="inlineStr">
        <is>
          <t>UPPSALA LÄN</t>
        </is>
      </c>
      <c r="E2100" t="inlineStr">
        <is>
          <t>ÄLVKARLEBY</t>
        </is>
      </c>
      <c r="F2100" t="inlineStr">
        <is>
          <t>Bergvik skog väst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45993-2025</t>
        </is>
      </c>
      <c r="B2101" s="1" t="n">
        <v>45924.39706018518</v>
      </c>
      <c r="C2101" s="1" t="n">
        <v>46098</v>
      </c>
      <c r="D2101" t="inlineStr">
        <is>
          <t>UPPSALA LÄN</t>
        </is>
      </c>
      <c r="E2101" t="inlineStr">
        <is>
          <t>ÖSTHAMMAR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32111-2025</t>
        </is>
      </c>
      <c r="B2102" s="1" t="n">
        <v>45835</v>
      </c>
      <c r="C2102" s="1" t="n">
        <v>46098</v>
      </c>
      <c r="D2102" t="inlineStr">
        <is>
          <t>UPPSALA LÄN</t>
        </is>
      </c>
      <c r="E2102" t="inlineStr">
        <is>
          <t>ENKÖPING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60340-2025</t>
        </is>
      </c>
      <c r="B2103" s="1" t="n">
        <v>45994.83415509259</v>
      </c>
      <c r="C2103" s="1" t="n">
        <v>46098</v>
      </c>
      <c r="D2103" t="inlineStr">
        <is>
          <t>UPPSALA LÄN</t>
        </is>
      </c>
      <c r="E2103" t="inlineStr">
        <is>
          <t>ENKÖPING</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60272-2025</t>
        </is>
      </c>
      <c r="B2104" s="1" t="n">
        <v>45994.62863425926</v>
      </c>
      <c r="C2104" s="1" t="n">
        <v>46098</v>
      </c>
      <c r="D2104" t="inlineStr">
        <is>
          <t>UPPSALA LÄN</t>
        </is>
      </c>
      <c r="E2104" t="inlineStr">
        <is>
          <t>HEBY</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43697-2024</t>
        </is>
      </c>
      <c r="B2105" s="1" t="n">
        <v>45569</v>
      </c>
      <c r="C2105" s="1" t="n">
        <v>46098</v>
      </c>
      <c r="D2105" t="inlineStr">
        <is>
          <t>UPPSALA LÄN</t>
        </is>
      </c>
      <c r="E2105" t="inlineStr">
        <is>
          <t>ENKÖPING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52380-2023</t>
        </is>
      </c>
      <c r="B2106" s="1" t="n">
        <v>45224.79760416667</v>
      </c>
      <c r="C2106" s="1" t="n">
        <v>46098</v>
      </c>
      <c r="D2106" t="inlineStr">
        <is>
          <t>UPPSALA LÄN</t>
        </is>
      </c>
      <c r="E2106" t="inlineStr">
        <is>
          <t>TIERP</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50395-2023</t>
        </is>
      </c>
      <c r="B2107" s="1" t="n">
        <v>45216</v>
      </c>
      <c r="C2107" s="1" t="n">
        <v>46098</v>
      </c>
      <c r="D2107" t="inlineStr">
        <is>
          <t>UPPSALA LÄN</t>
        </is>
      </c>
      <c r="E2107" t="inlineStr">
        <is>
          <t>UPPSALA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5570-2023</t>
        </is>
      </c>
      <c r="B2108" s="1" t="n">
        <v>44960.48622685186</v>
      </c>
      <c r="C2108" s="1" t="n">
        <v>46098</v>
      </c>
      <c r="D2108" t="inlineStr">
        <is>
          <t>UPPSALA LÄN</t>
        </is>
      </c>
      <c r="E2108" t="inlineStr">
        <is>
          <t>HEBY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4412-2024</t>
        </is>
      </c>
      <c r="B2109" s="1" t="n">
        <v>45327</v>
      </c>
      <c r="C2109" s="1" t="n">
        <v>46098</v>
      </c>
      <c r="D2109" t="inlineStr">
        <is>
          <t>UPPSALA LÄN</t>
        </is>
      </c>
      <c r="E2109" t="inlineStr">
        <is>
          <t>UPPSALA</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60142-2025</t>
        </is>
      </c>
      <c r="B2110" s="1" t="n">
        <v>45994.37430555555</v>
      </c>
      <c r="C2110" s="1" t="n">
        <v>46098</v>
      </c>
      <c r="D2110" t="inlineStr">
        <is>
          <t>UPPSALA LÄN</t>
        </is>
      </c>
      <c r="E2110" t="inlineStr">
        <is>
          <t>TIERP</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60256-2025</t>
        </is>
      </c>
      <c r="B2111" s="1" t="n">
        <v>45994.60216435185</v>
      </c>
      <c r="C2111" s="1" t="n">
        <v>46098</v>
      </c>
      <c r="D2111" t="inlineStr">
        <is>
          <t>UPPSALA LÄN</t>
        </is>
      </c>
      <c r="E2111" t="inlineStr">
        <is>
          <t>ÄLVKARLEBY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60269-2025</t>
        </is>
      </c>
      <c r="B2112" s="1" t="n">
        <v>45994.62346064814</v>
      </c>
      <c r="C2112" s="1" t="n">
        <v>46098</v>
      </c>
      <c r="D2112" t="inlineStr">
        <is>
          <t>UPPSALA LÄN</t>
        </is>
      </c>
      <c r="E2112" t="inlineStr">
        <is>
          <t>UPPSALA</t>
        </is>
      </c>
      <c r="F2112" t="inlineStr">
        <is>
          <t>Allmännings- och besparingsskogar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60139-2025</t>
        </is>
      </c>
      <c r="B2113" s="1" t="n">
        <v>45994.3599537037</v>
      </c>
      <c r="C2113" s="1" t="n">
        <v>46098</v>
      </c>
      <c r="D2113" t="inlineStr">
        <is>
          <t>UPPSALA LÄN</t>
        </is>
      </c>
      <c r="E2113" t="inlineStr">
        <is>
          <t>TIERP</t>
        </is>
      </c>
      <c r="F2113" t="inlineStr">
        <is>
          <t>Bergvik skog öst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60243-2025</t>
        </is>
      </c>
      <c r="B2114" s="1" t="n">
        <v>45994.58650462963</v>
      </c>
      <c r="C2114" s="1" t="n">
        <v>46098</v>
      </c>
      <c r="D2114" t="inlineStr">
        <is>
          <t>UPPSALA LÄN</t>
        </is>
      </c>
      <c r="E2114" t="inlineStr">
        <is>
          <t>KNIVSTA</t>
        </is>
      </c>
      <c r="F2114" t="inlineStr">
        <is>
          <t>Holmen skog AB</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60512-2025</t>
        </is>
      </c>
      <c r="B2115" s="1" t="n">
        <v>45995.63483796296</v>
      </c>
      <c r="C2115" s="1" t="n">
        <v>46098</v>
      </c>
      <c r="D2115" t="inlineStr">
        <is>
          <t>UPPSALA LÄN</t>
        </is>
      </c>
      <c r="E2115" t="inlineStr">
        <is>
          <t>UPPSALA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32031-2025</t>
        </is>
      </c>
      <c r="B2116" s="1" t="n">
        <v>45835.41712962963</v>
      </c>
      <c r="C2116" s="1" t="n">
        <v>46098</v>
      </c>
      <c r="D2116" t="inlineStr">
        <is>
          <t>UPPSALA LÄN</t>
        </is>
      </c>
      <c r="E2116" t="inlineStr">
        <is>
          <t>ENKÖPING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60146-2025</t>
        </is>
      </c>
      <c r="B2117" s="1" t="n">
        <v>45994.38209490741</v>
      </c>
      <c r="C2117" s="1" t="n">
        <v>46098</v>
      </c>
      <c r="D2117" t="inlineStr">
        <is>
          <t>UPPSALA LÄN</t>
        </is>
      </c>
      <c r="E2117" t="inlineStr">
        <is>
          <t>HEBY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18056-2025</t>
        </is>
      </c>
      <c r="B2118" s="1" t="n">
        <v>45761</v>
      </c>
      <c r="C2118" s="1" t="n">
        <v>46098</v>
      </c>
      <c r="D2118" t="inlineStr">
        <is>
          <t>UPPSALA LÄN</t>
        </is>
      </c>
      <c r="E2118" t="inlineStr">
        <is>
          <t>HEBY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45283-2022</t>
        </is>
      </c>
      <c r="B2119" s="1" t="n">
        <v>44844</v>
      </c>
      <c r="C2119" s="1" t="n">
        <v>46098</v>
      </c>
      <c r="D2119" t="inlineStr">
        <is>
          <t>UPPSALA LÄN</t>
        </is>
      </c>
      <c r="E2119" t="inlineStr">
        <is>
          <t>ENKÖPING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19740-2025</t>
        </is>
      </c>
      <c r="B2120" s="1" t="n">
        <v>45771</v>
      </c>
      <c r="C2120" s="1" t="n">
        <v>46098</v>
      </c>
      <c r="D2120" t="inlineStr">
        <is>
          <t>UPPSALA LÄN</t>
        </is>
      </c>
      <c r="E2120" t="inlineStr">
        <is>
          <t>ÄLVKARLEBY</t>
        </is>
      </c>
      <c r="F2120" t="inlineStr">
        <is>
          <t>Bergvik skog väst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45313-2022</t>
        </is>
      </c>
      <c r="B2121" s="1" t="n">
        <v>44844.57619212963</v>
      </c>
      <c r="C2121" s="1" t="n">
        <v>46098</v>
      </c>
      <c r="D2121" t="inlineStr">
        <is>
          <t>UPPSALA LÄN</t>
        </is>
      </c>
      <c r="E2121" t="inlineStr">
        <is>
          <t>HEBY</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18060-2025</t>
        </is>
      </c>
      <c r="B2122" s="1" t="n">
        <v>45761</v>
      </c>
      <c r="C2122" s="1" t="n">
        <v>46098</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37103-2024</t>
        </is>
      </c>
      <c r="B2123" s="1" t="n">
        <v>45539.50813657408</v>
      </c>
      <c r="C2123" s="1" t="n">
        <v>46098</v>
      </c>
      <c r="D2123" t="inlineStr">
        <is>
          <t>UPPSALA LÄN</t>
        </is>
      </c>
      <c r="E2123" t="inlineStr">
        <is>
          <t>HEBY</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60788-2022</t>
        </is>
      </c>
      <c r="B2124" s="1" t="n">
        <v>44914.41196759259</v>
      </c>
      <c r="C2124" s="1" t="n">
        <v>46098</v>
      </c>
      <c r="D2124" t="inlineStr">
        <is>
          <t>UPPSALA LÄN</t>
        </is>
      </c>
      <c r="E2124" t="inlineStr">
        <is>
          <t>HEBY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35474-2023</t>
        </is>
      </c>
      <c r="B2125" s="1" t="n">
        <v>45146.68921296296</v>
      </c>
      <c r="C2125" s="1" t="n">
        <v>46098</v>
      </c>
      <c r="D2125" t="inlineStr">
        <is>
          <t>UPPSALA LÄN</t>
        </is>
      </c>
      <c r="E2125" t="inlineStr">
        <is>
          <t>ÖSTHAMMAR</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70976-2021</t>
        </is>
      </c>
      <c r="B2126" s="1" t="n">
        <v>44538</v>
      </c>
      <c r="C2126" s="1" t="n">
        <v>46098</v>
      </c>
      <c r="D2126" t="inlineStr">
        <is>
          <t>UPPSALA LÄN</t>
        </is>
      </c>
      <c r="E2126" t="inlineStr">
        <is>
          <t>HEBY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17407-2023</t>
        </is>
      </c>
      <c r="B2127" s="1" t="n">
        <v>45035.75166666666</v>
      </c>
      <c r="C2127" s="1" t="n">
        <v>46098</v>
      </c>
      <c r="D2127" t="inlineStr">
        <is>
          <t>UPPSALA LÄN</t>
        </is>
      </c>
      <c r="E2127" t="inlineStr">
        <is>
          <t>HEBY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9313-2023</t>
        </is>
      </c>
      <c r="B2128" s="1" t="n">
        <v>44980</v>
      </c>
      <c r="C2128" s="1" t="n">
        <v>46098</v>
      </c>
      <c r="D2128" t="inlineStr">
        <is>
          <t>UPPSALA LÄN</t>
        </is>
      </c>
      <c r="E2128" t="inlineStr">
        <is>
          <t>UPPSALA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16083-2025</t>
        </is>
      </c>
      <c r="B2129" s="1" t="n">
        <v>45749.80582175926</v>
      </c>
      <c r="C2129" s="1" t="n">
        <v>46098</v>
      </c>
      <c r="D2129" t="inlineStr">
        <is>
          <t>UPPSALA LÄN</t>
        </is>
      </c>
      <c r="E2129" t="inlineStr">
        <is>
          <t>HEBY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39818-2024</t>
        </is>
      </c>
      <c r="B2130" s="1" t="n">
        <v>45552</v>
      </c>
      <c r="C2130" s="1" t="n">
        <v>46098</v>
      </c>
      <c r="D2130" t="inlineStr">
        <is>
          <t>UPPSALA LÄN</t>
        </is>
      </c>
      <c r="E2130" t="inlineStr">
        <is>
          <t>UPPSALA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18451-2025</t>
        </is>
      </c>
      <c r="B2131" s="1" t="n">
        <v>45762</v>
      </c>
      <c r="C2131" s="1" t="n">
        <v>46098</v>
      </c>
      <c r="D2131" t="inlineStr">
        <is>
          <t>UPPSALA LÄN</t>
        </is>
      </c>
      <c r="E2131" t="inlineStr">
        <is>
          <t>ÄLVKARLEBY</t>
        </is>
      </c>
      <c r="F2131" t="inlineStr">
        <is>
          <t>Bergvik skog väst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15787-2025</t>
        </is>
      </c>
      <c r="B2132" s="1" t="n">
        <v>45748.62291666667</v>
      </c>
      <c r="C2132" s="1" t="n">
        <v>46098</v>
      </c>
      <c r="D2132" t="inlineStr">
        <is>
          <t>UPPSALA LÄN</t>
        </is>
      </c>
      <c r="E2132" t="inlineStr">
        <is>
          <t>HEBY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60357-2025</t>
        </is>
      </c>
      <c r="B2133" s="1" t="n">
        <v>45995.31793981481</v>
      </c>
      <c r="C2133" s="1" t="n">
        <v>46098</v>
      </c>
      <c r="D2133" t="inlineStr">
        <is>
          <t>UPPSALA LÄN</t>
        </is>
      </c>
      <c r="E2133" t="inlineStr">
        <is>
          <t>UPPSALA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31949-2025</t>
        </is>
      </c>
      <c r="B2134" s="1" t="n">
        <v>45835.32549768518</v>
      </c>
      <c r="C2134" s="1" t="n">
        <v>46098</v>
      </c>
      <c r="D2134" t="inlineStr">
        <is>
          <t>UPPSALA LÄN</t>
        </is>
      </c>
      <c r="E2134" t="inlineStr">
        <is>
          <t>TIERP</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46089-2025</t>
        </is>
      </c>
      <c r="B2135" s="1" t="n">
        <v>45924.52100694444</v>
      </c>
      <c r="C2135" s="1" t="n">
        <v>46098</v>
      </c>
      <c r="D2135" t="inlineStr">
        <is>
          <t>UPPSALA LÄN</t>
        </is>
      </c>
      <c r="E2135" t="inlineStr">
        <is>
          <t>ÖSTHAMMAR</t>
        </is>
      </c>
      <c r="F2135" t="inlineStr">
        <is>
          <t>Bergvik skog öst AB</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46390-2025</t>
        </is>
      </c>
      <c r="B2136" s="1" t="n">
        <v>45925.54199074074</v>
      </c>
      <c r="C2136" s="1" t="n">
        <v>46098</v>
      </c>
      <c r="D2136" t="inlineStr">
        <is>
          <t>UPPSALA LÄN</t>
        </is>
      </c>
      <c r="E2136" t="inlineStr">
        <is>
          <t>TIERP</t>
        </is>
      </c>
      <c r="F2136" t="inlineStr">
        <is>
          <t>Bergvik skog öst AB</t>
        </is>
      </c>
      <c r="G2136" t="n">
        <v>16.3</v>
      </c>
      <c r="H2136" t="n">
        <v>0</v>
      </c>
      <c r="I2136" t="n">
        <v>0</v>
      </c>
      <c r="J2136" t="n">
        <v>0</v>
      </c>
      <c r="K2136" t="n">
        <v>0</v>
      </c>
      <c r="L2136" t="n">
        <v>0</v>
      </c>
      <c r="M2136" t="n">
        <v>0</v>
      </c>
      <c r="N2136" t="n">
        <v>0</v>
      </c>
      <c r="O2136" t="n">
        <v>0</v>
      </c>
      <c r="P2136" t="n">
        <v>0</v>
      </c>
      <c r="Q2136" t="n">
        <v>0</v>
      </c>
      <c r="R2136" s="2" t="inlineStr"/>
    </row>
    <row r="2137" ht="15" customHeight="1">
      <c r="A2137" t="inlineStr">
        <is>
          <t>A 46088-2025</t>
        </is>
      </c>
      <c r="B2137" s="1" t="n">
        <v>45924.52010416667</v>
      </c>
      <c r="C2137" s="1" t="n">
        <v>46098</v>
      </c>
      <c r="D2137" t="inlineStr">
        <is>
          <t>UPPSALA LÄN</t>
        </is>
      </c>
      <c r="E2137" t="inlineStr">
        <is>
          <t>ÖSTHAMMAR</t>
        </is>
      </c>
      <c r="F2137" t="inlineStr">
        <is>
          <t>Bergvik skog öst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60280-2025</t>
        </is>
      </c>
      <c r="B2138" s="1" t="n">
        <v>45994.63814814815</v>
      </c>
      <c r="C2138" s="1" t="n">
        <v>46098</v>
      </c>
      <c r="D2138" t="inlineStr">
        <is>
          <t>UPPSALA LÄN</t>
        </is>
      </c>
      <c r="E2138" t="inlineStr">
        <is>
          <t>TIERP</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60282-2025</t>
        </is>
      </c>
      <c r="B2139" s="1" t="n">
        <v>45994.64087962963</v>
      </c>
      <c r="C2139" s="1" t="n">
        <v>46098</v>
      </c>
      <c r="D2139" t="inlineStr">
        <is>
          <t>UPPSALA LÄN</t>
        </is>
      </c>
      <c r="E2139" t="inlineStr">
        <is>
          <t>HEBY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41826-2024</t>
        </is>
      </c>
      <c r="B2140" s="1" t="n">
        <v>45561</v>
      </c>
      <c r="C2140" s="1" t="n">
        <v>46098</v>
      </c>
      <c r="D2140" t="inlineStr">
        <is>
          <t>UPPSALA LÄN</t>
        </is>
      </c>
      <c r="E2140" t="inlineStr">
        <is>
          <t>ENKÖPING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60174-2025</t>
        </is>
      </c>
      <c r="B2141" s="1" t="n">
        <v>45994.45039351852</v>
      </c>
      <c r="C2141" s="1" t="n">
        <v>46098</v>
      </c>
      <c r="D2141" t="inlineStr">
        <is>
          <t>UPPSALA LÄN</t>
        </is>
      </c>
      <c r="E2141" t="inlineStr">
        <is>
          <t>ENKÖPING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60356-2025</t>
        </is>
      </c>
      <c r="B2142" s="1" t="n">
        <v>45995.31737268518</v>
      </c>
      <c r="C2142" s="1" t="n">
        <v>46098</v>
      </c>
      <c r="D2142" t="inlineStr">
        <is>
          <t>UPPSALA LÄN</t>
        </is>
      </c>
      <c r="E2142" t="inlineStr">
        <is>
          <t>UPPSALA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60175-2025</t>
        </is>
      </c>
      <c r="B2143" s="1" t="n">
        <v>45994.45378472222</v>
      </c>
      <c r="C2143" s="1" t="n">
        <v>46098</v>
      </c>
      <c r="D2143" t="inlineStr">
        <is>
          <t>UPPSALA LÄN</t>
        </is>
      </c>
      <c r="E2143" t="inlineStr">
        <is>
          <t>ENKÖPING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46772-2025</t>
        </is>
      </c>
      <c r="B2144" s="1" t="n">
        <v>45926.63232638889</v>
      </c>
      <c r="C2144" s="1" t="n">
        <v>46098</v>
      </c>
      <c r="D2144" t="inlineStr">
        <is>
          <t>UPPSALA LÄN</t>
        </is>
      </c>
      <c r="E2144" t="inlineStr">
        <is>
          <t>UPPSALA</t>
        </is>
      </c>
      <c r="F2144" t="inlineStr">
        <is>
          <t>Kyrkan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60217-2025</t>
        </is>
      </c>
      <c r="B2145" s="1" t="n">
        <v>45994.54125</v>
      </c>
      <c r="C2145" s="1" t="n">
        <v>46098</v>
      </c>
      <c r="D2145" t="inlineStr">
        <is>
          <t>UPPSALA LÄN</t>
        </is>
      </c>
      <c r="E2145" t="inlineStr">
        <is>
          <t>HEBY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60102-2025</t>
        </is>
      </c>
      <c r="B2146" s="1" t="n">
        <v>45993.98945601852</v>
      </c>
      <c r="C2146" s="1" t="n">
        <v>46098</v>
      </c>
      <c r="D2146" t="inlineStr">
        <is>
          <t>UPPSALA LÄN</t>
        </is>
      </c>
      <c r="E2146" t="inlineStr">
        <is>
          <t>HEBY</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32203-2025</t>
        </is>
      </c>
      <c r="B2147" s="1" t="n">
        <v>45835.57951388889</v>
      </c>
      <c r="C2147" s="1" t="n">
        <v>46098</v>
      </c>
      <c r="D2147" t="inlineStr">
        <is>
          <t>UPPSALA LÄN</t>
        </is>
      </c>
      <c r="E2147" t="inlineStr">
        <is>
          <t>ÄLVKARLEBY</t>
        </is>
      </c>
      <c r="F2147" t="inlineStr">
        <is>
          <t>Bergvik skog väst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32227-2025</t>
        </is>
      </c>
      <c r="B2148" s="1" t="n">
        <v>45835.59493055556</v>
      </c>
      <c r="C2148" s="1" t="n">
        <v>46098</v>
      </c>
      <c r="D2148" t="inlineStr">
        <is>
          <t>UPPSALA LÄN</t>
        </is>
      </c>
      <c r="E2148" t="inlineStr">
        <is>
          <t>TIERP</t>
        </is>
      </c>
      <c r="F2148" t="inlineStr">
        <is>
          <t>Bergvik skog väst AB</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31616-2025</t>
        </is>
      </c>
      <c r="B2149" s="1" t="n">
        <v>45833.816875</v>
      </c>
      <c r="C2149" s="1" t="n">
        <v>46098</v>
      </c>
      <c r="D2149" t="inlineStr">
        <is>
          <t>UPPSALA LÄN</t>
        </is>
      </c>
      <c r="E2149" t="inlineStr">
        <is>
          <t>TIERP</t>
        </is>
      </c>
      <c r="F2149" t="inlineStr">
        <is>
          <t>Bergvik skog väst AB</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60211-2025</t>
        </is>
      </c>
      <c r="B2150" s="1" t="n">
        <v>45994.52657407407</v>
      </c>
      <c r="C2150" s="1" t="n">
        <v>46098</v>
      </c>
      <c r="D2150" t="inlineStr">
        <is>
          <t>UPPSALA LÄN</t>
        </is>
      </c>
      <c r="E2150" t="inlineStr">
        <is>
          <t>TIERP</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46632-2025</t>
        </is>
      </c>
      <c r="B2151" s="1" t="n">
        <v>45926.45846064815</v>
      </c>
      <c r="C2151" s="1" t="n">
        <v>46098</v>
      </c>
      <c r="D2151" t="inlineStr">
        <is>
          <t>UPPSALA LÄN</t>
        </is>
      </c>
      <c r="E2151" t="inlineStr">
        <is>
          <t>UPPSALA</t>
        </is>
      </c>
      <c r="F2151" t="inlineStr">
        <is>
          <t>Bergvik skog öst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61038-2024</t>
        </is>
      </c>
      <c r="B2152" s="1" t="n">
        <v>45645.47047453704</v>
      </c>
      <c r="C2152" s="1" t="n">
        <v>46098</v>
      </c>
      <c r="D2152" t="inlineStr">
        <is>
          <t>UPPSALA LÄN</t>
        </is>
      </c>
      <c r="E2152" t="inlineStr">
        <is>
          <t>HEBY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31035-2022</t>
        </is>
      </c>
      <c r="B2153" s="1" t="n">
        <v>44768.88685185185</v>
      </c>
      <c r="C2153" s="1" t="n">
        <v>46098</v>
      </c>
      <c r="D2153" t="inlineStr">
        <is>
          <t>UPPSALA LÄN</t>
        </is>
      </c>
      <c r="E2153" t="inlineStr">
        <is>
          <t>ÖSTHAMMAR</t>
        </is>
      </c>
      <c r="F2153" t="inlineStr">
        <is>
          <t>Bergvik skog öst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18607-2024</t>
        </is>
      </c>
      <c r="B2154" s="1" t="n">
        <v>45425.94947916667</v>
      </c>
      <c r="C2154" s="1" t="n">
        <v>46098</v>
      </c>
      <c r="D2154" t="inlineStr">
        <is>
          <t>UPPSALA LÄN</t>
        </is>
      </c>
      <c r="E2154" t="inlineStr">
        <is>
          <t>UPPSALA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46863-2025</t>
        </is>
      </c>
      <c r="B2155" s="1" t="n">
        <v>45929</v>
      </c>
      <c r="C2155" s="1" t="n">
        <v>46098</v>
      </c>
      <c r="D2155" t="inlineStr">
        <is>
          <t>UPPSALA LÄN</t>
        </is>
      </c>
      <c r="E2155" t="inlineStr">
        <is>
          <t>HEBY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32186-2025</t>
        </is>
      </c>
      <c r="B2156" s="1" t="n">
        <v>45835.5667824074</v>
      </c>
      <c r="C2156" s="1" t="n">
        <v>46098</v>
      </c>
      <c r="D2156" t="inlineStr">
        <is>
          <t>UPPSALA LÄN</t>
        </is>
      </c>
      <c r="E2156" t="inlineStr">
        <is>
          <t>ÄLVKARLEBY</t>
        </is>
      </c>
      <c r="F2156" t="inlineStr">
        <is>
          <t>Bergvik skog väst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53384-2024</t>
        </is>
      </c>
      <c r="B2157" s="1" t="n">
        <v>45614</v>
      </c>
      <c r="C2157" s="1" t="n">
        <v>46098</v>
      </c>
      <c r="D2157" t="inlineStr">
        <is>
          <t>UPPSALA LÄN</t>
        </is>
      </c>
      <c r="E2157" t="inlineStr">
        <is>
          <t>UPPSALA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49971-2022</t>
        </is>
      </c>
      <c r="B2158" s="1" t="n">
        <v>44865.38575231482</v>
      </c>
      <c r="C2158" s="1" t="n">
        <v>46098</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55688-2024</t>
        </is>
      </c>
      <c r="B2159" s="1" t="n">
        <v>45622.67170138889</v>
      </c>
      <c r="C2159" s="1" t="n">
        <v>46098</v>
      </c>
      <c r="D2159" t="inlineStr">
        <is>
          <t>UPPSALA LÄN</t>
        </is>
      </c>
      <c r="E2159" t="inlineStr">
        <is>
          <t>TIERP</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14124-2022</t>
        </is>
      </c>
      <c r="B2160" s="1" t="n">
        <v>44651.40924768519</v>
      </c>
      <c r="C2160" s="1" t="n">
        <v>46098</v>
      </c>
      <c r="D2160" t="inlineStr">
        <is>
          <t>UPPSALA LÄN</t>
        </is>
      </c>
      <c r="E2160" t="inlineStr">
        <is>
          <t>ÖSTHAMMAR</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42589-2022</t>
        </is>
      </c>
      <c r="B2161" s="1" t="n">
        <v>44831</v>
      </c>
      <c r="C2161" s="1" t="n">
        <v>46098</v>
      </c>
      <c r="D2161" t="inlineStr">
        <is>
          <t>UPPSALA LÄN</t>
        </is>
      </c>
      <c r="E2161" t="inlineStr">
        <is>
          <t>ENKÖPING</t>
        </is>
      </c>
      <c r="G2161" t="n">
        <v>20</v>
      </c>
      <c r="H2161" t="n">
        <v>0</v>
      </c>
      <c r="I2161" t="n">
        <v>0</v>
      </c>
      <c r="J2161" t="n">
        <v>0</v>
      </c>
      <c r="K2161" t="n">
        <v>0</v>
      </c>
      <c r="L2161" t="n">
        <v>0</v>
      </c>
      <c r="M2161" t="n">
        <v>0</v>
      </c>
      <c r="N2161" t="n">
        <v>0</v>
      </c>
      <c r="O2161" t="n">
        <v>0</v>
      </c>
      <c r="P2161" t="n">
        <v>0</v>
      </c>
      <c r="Q2161" t="n">
        <v>0</v>
      </c>
      <c r="R2161" s="2" t="inlineStr"/>
    </row>
    <row r="2162" ht="15" customHeight="1">
      <c r="A2162" t="inlineStr">
        <is>
          <t>A 36494-2021</t>
        </is>
      </c>
      <c r="B2162" s="1" t="n">
        <v>44391</v>
      </c>
      <c r="C2162" s="1" t="n">
        <v>46098</v>
      </c>
      <c r="D2162" t="inlineStr">
        <is>
          <t>UPPSALA LÄN</t>
        </is>
      </c>
      <c r="E2162" t="inlineStr">
        <is>
          <t>HEBY</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58324-2023</t>
        </is>
      </c>
      <c r="B2163" s="1" t="n">
        <v>45250.58635416667</v>
      </c>
      <c r="C2163" s="1" t="n">
        <v>46098</v>
      </c>
      <c r="D2163" t="inlineStr">
        <is>
          <t>UPPSALA LÄN</t>
        </is>
      </c>
      <c r="E2163" t="inlineStr">
        <is>
          <t>ÖSTHAMMAR</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56872-2023</t>
        </is>
      </c>
      <c r="B2164" s="1" t="n">
        <v>45244.52202546296</v>
      </c>
      <c r="C2164" s="1" t="n">
        <v>46098</v>
      </c>
      <c r="D2164" t="inlineStr">
        <is>
          <t>UPPSALA LÄN</t>
        </is>
      </c>
      <c r="E2164" t="inlineStr">
        <is>
          <t>UPPSALA</t>
        </is>
      </c>
      <c r="F2164" t="inlineStr">
        <is>
          <t>Holmen skog AB</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5204-2025</t>
        </is>
      </c>
      <c r="B2165" s="1" t="n">
        <v>45691</v>
      </c>
      <c r="C2165" s="1" t="n">
        <v>46098</v>
      </c>
      <c r="D2165" t="inlineStr">
        <is>
          <t>UPPSALA LÄN</t>
        </is>
      </c>
      <c r="E2165" t="inlineStr">
        <is>
          <t>UPPSALA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840-2025</t>
        </is>
      </c>
      <c r="B2166" s="1" t="n">
        <v>45665</v>
      </c>
      <c r="C2166" s="1" t="n">
        <v>46098</v>
      </c>
      <c r="D2166" t="inlineStr">
        <is>
          <t>UPPSALA LÄN</t>
        </is>
      </c>
      <c r="E2166" t="inlineStr">
        <is>
          <t>ENKÖPING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5678-2023</t>
        </is>
      </c>
      <c r="B2167" s="1" t="n">
        <v>44960</v>
      </c>
      <c r="C2167" s="1" t="n">
        <v>46098</v>
      </c>
      <c r="D2167" t="inlineStr">
        <is>
          <t>UPPSALA LÄN</t>
        </is>
      </c>
      <c r="E2167" t="inlineStr">
        <is>
          <t>UPPSALA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4099-2025</t>
        </is>
      </c>
      <c r="B2168" s="1" t="n">
        <v>45684</v>
      </c>
      <c r="C2168" s="1" t="n">
        <v>46098</v>
      </c>
      <c r="D2168" t="inlineStr">
        <is>
          <t>UPPSALA LÄN</t>
        </is>
      </c>
      <c r="E2168" t="inlineStr">
        <is>
          <t>ÖSTHAMMAR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39333-2024</t>
        </is>
      </c>
      <c r="B2169" s="1" t="n">
        <v>45551</v>
      </c>
      <c r="C2169" s="1" t="n">
        <v>46098</v>
      </c>
      <c r="D2169" t="inlineStr">
        <is>
          <t>UPPSALA LÄN</t>
        </is>
      </c>
      <c r="E2169" t="inlineStr">
        <is>
          <t>TIERP</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46796-2024</t>
        </is>
      </c>
      <c r="B2170" s="1" t="n">
        <v>45583</v>
      </c>
      <c r="C2170" s="1" t="n">
        <v>46098</v>
      </c>
      <c r="D2170" t="inlineStr">
        <is>
          <t>UPPSALA LÄN</t>
        </is>
      </c>
      <c r="E2170" t="inlineStr">
        <is>
          <t>UPPSALA</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46826-2025</t>
        </is>
      </c>
      <c r="B2171" s="1" t="n">
        <v>45927.00606481481</v>
      </c>
      <c r="C2171" s="1" t="n">
        <v>46098</v>
      </c>
      <c r="D2171" t="inlineStr">
        <is>
          <t>UPPSALA LÄN</t>
        </is>
      </c>
      <c r="E2171" t="inlineStr">
        <is>
          <t>ÖSTHAMMAR</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46842-2025</t>
        </is>
      </c>
      <c r="B2172" s="1" t="n">
        <v>45928.59989583334</v>
      </c>
      <c r="C2172" s="1" t="n">
        <v>46098</v>
      </c>
      <c r="D2172" t="inlineStr">
        <is>
          <t>UPPSALA LÄN</t>
        </is>
      </c>
      <c r="E2172" t="inlineStr">
        <is>
          <t>TIERP</t>
        </is>
      </c>
      <c r="F2172" t="inlineStr">
        <is>
          <t>Bergvik skog väst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46571-2025</t>
        </is>
      </c>
      <c r="B2173" s="1" t="n">
        <v>45926.366875</v>
      </c>
      <c r="C2173" s="1" t="n">
        <v>46098</v>
      </c>
      <c r="D2173" t="inlineStr">
        <is>
          <t>UPPSALA LÄN</t>
        </is>
      </c>
      <c r="E2173" t="inlineStr">
        <is>
          <t>UPPSALA</t>
        </is>
      </c>
      <c r="F2173" t="inlineStr">
        <is>
          <t>Bergvik skog öst AB</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46952-2025</t>
        </is>
      </c>
      <c r="B2174" s="1" t="n">
        <v>45929.471875</v>
      </c>
      <c r="C2174" s="1" t="n">
        <v>46098</v>
      </c>
      <c r="D2174" t="inlineStr">
        <is>
          <t>UPPSALA LÄN</t>
        </is>
      </c>
      <c r="E2174" t="inlineStr">
        <is>
          <t>TIERP</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37111-2024</t>
        </is>
      </c>
      <c r="B2175" s="1" t="n">
        <v>45539.51753472222</v>
      </c>
      <c r="C2175" s="1" t="n">
        <v>46098</v>
      </c>
      <c r="D2175" t="inlineStr">
        <is>
          <t>UPPSALA LÄN</t>
        </is>
      </c>
      <c r="E2175" t="inlineStr">
        <is>
          <t>HEBY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37115-2024</t>
        </is>
      </c>
      <c r="B2176" s="1" t="n">
        <v>45539</v>
      </c>
      <c r="C2176" s="1" t="n">
        <v>46098</v>
      </c>
      <c r="D2176" t="inlineStr">
        <is>
          <t>UPPSALA LÄN</t>
        </is>
      </c>
      <c r="E2176" t="inlineStr">
        <is>
          <t>ENKÖPING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341-2024</t>
        </is>
      </c>
      <c r="B2177" s="1" t="n">
        <v>45295</v>
      </c>
      <c r="C2177" s="1" t="n">
        <v>46098</v>
      </c>
      <c r="D2177" t="inlineStr">
        <is>
          <t>UPPSALA LÄN</t>
        </is>
      </c>
      <c r="E2177" t="inlineStr">
        <is>
          <t>UPPSALA</t>
        </is>
      </c>
      <c r="F2177" t="inlineStr">
        <is>
          <t>Allmännings- och besparingsskogar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31795-2025</t>
        </is>
      </c>
      <c r="B2178" s="1" t="n">
        <v>45834.54577546296</v>
      </c>
      <c r="C2178" s="1" t="n">
        <v>46098</v>
      </c>
      <c r="D2178" t="inlineStr">
        <is>
          <t>UPPSALA LÄN</t>
        </is>
      </c>
      <c r="E2178" t="inlineStr">
        <is>
          <t>HEBY</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60749-2025</t>
        </is>
      </c>
      <c r="B2179" s="1" t="n">
        <v>45999.38054398148</v>
      </c>
      <c r="C2179" s="1" t="n">
        <v>46098</v>
      </c>
      <c r="D2179" t="inlineStr">
        <is>
          <t>UPPSALA LÄN</t>
        </is>
      </c>
      <c r="E2179" t="inlineStr">
        <is>
          <t>TIERP</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4737-2025</t>
        </is>
      </c>
      <c r="B2180" s="1" t="n">
        <v>45688</v>
      </c>
      <c r="C2180" s="1" t="n">
        <v>46098</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2183-2024</t>
        </is>
      </c>
      <c r="B2181" s="1" t="n">
        <v>45309</v>
      </c>
      <c r="C2181" s="1" t="n">
        <v>46098</v>
      </c>
      <c r="D2181" t="inlineStr">
        <is>
          <t>UPPSALA LÄN</t>
        </is>
      </c>
      <c r="E2181" t="inlineStr">
        <is>
          <t>ÄLVKARLEBY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10827-2024</t>
        </is>
      </c>
      <c r="B2182" s="1" t="n">
        <v>45369</v>
      </c>
      <c r="C2182" s="1" t="n">
        <v>46098</v>
      </c>
      <c r="D2182" t="inlineStr">
        <is>
          <t>UPPSALA LÄN</t>
        </is>
      </c>
      <c r="E2182" t="inlineStr">
        <is>
          <t>UPPSALA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32252-2025</t>
        </is>
      </c>
      <c r="B2183" s="1" t="n">
        <v>45835.62752314815</v>
      </c>
      <c r="C2183" s="1" t="n">
        <v>46098</v>
      </c>
      <c r="D2183" t="inlineStr">
        <is>
          <t>UPPSALA LÄN</t>
        </is>
      </c>
      <c r="E2183" t="inlineStr">
        <is>
          <t>UPPSALA</t>
        </is>
      </c>
      <c r="F2183" t="inlineStr">
        <is>
          <t>Kyrkan</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46773-2025</t>
        </is>
      </c>
      <c r="B2184" s="1" t="n">
        <v>45926.63290509259</v>
      </c>
      <c r="C2184" s="1" t="n">
        <v>46098</v>
      </c>
      <c r="D2184" t="inlineStr">
        <is>
          <t>UPPSALA LÄN</t>
        </is>
      </c>
      <c r="E2184" t="inlineStr">
        <is>
          <t>UPPSALA</t>
        </is>
      </c>
      <c r="F2184" t="inlineStr">
        <is>
          <t>Kyrkan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12830-2025</t>
        </is>
      </c>
      <c r="B2185" s="1" t="n">
        <v>45733.63099537037</v>
      </c>
      <c r="C2185" s="1" t="n">
        <v>46098</v>
      </c>
      <c r="D2185" t="inlineStr">
        <is>
          <t>UPPSALA LÄN</t>
        </is>
      </c>
      <c r="E2185" t="inlineStr">
        <is>
          <t>UPPSALA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9914-2024</t>
        </is>
      </c>
      <c r="B2186" s="1" t="n">
        <v>45363.54878472222</v>
      </c>
      <c r="C2186" s="1" t="n">
        <v>46098</v>
      </c>
      <c r="D2186" t="inlineStr">
        <is>
          <t>UPPSALA LÄN</t>
        </is>
      </c>
      <c r="E2186" t="inlineStr">
        <is>
          <t>UPPSALA</t>
        </is>
      </c>
      <c r="F2186" t="inlineStr">
        <is>
          <t>Bergvik skog väst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45142-2023</t>
        </is>
      </c>
      <c r="B2187" s="1" t="n">
        <v>45191.4702662037</v>
      </c>
      <c r="C2187" s="1" t="n">
        <v>46098</v>
      </c>
      <c r="D2187" t="inlineStr">
        <is>
          <t>UPPSALA LÄN</t>
        </is>
      </c>
      <c r="E2187" t="inlineStr">
        <is>
          <t>ENKÖPING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60795-2025</t>
        </is>
      </c>
      <c r="B2188" s="1" t="n">
        <v>45999.42177083333</v>
      </c>
      <c r="C2188" s="1" t="n">
        <v>46098</v>
      </c>
      <c r="D2188" t="inlineStr">
        <is>
          <t>UPPSALA LÄN</t>
        </is>
      </c>
      <c r="E2188" t="inlineStr">
        <is>
          <t>TIERP</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46202-2024</t>
        </is>
      </c>
      <c r="B2189" s="1" t="n">
        <v>45581</v>
      </c>
      <c r="C2189" s="1" t="n">
        <v>46098</v>
      </c>
      <c r="D2189" t="inlineStr">
        <is>
          <t>UPPSALA LÄN</t>
        </is>
      </c>
      <c r="E2189" t="inlineStr">
        <is>
          <t>UPPSALA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11918-2025</t>
        </is>
      </c>
      <c r="B2190" s="1" t="n">
        <v>45728.49331018519</v>
      </c>
      <c r="C2190" s="1" t="n">
        <v>46098</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49097-2022</t>
        </is>
      </c>
      <c r="B2191" s="1" t="n">
        <v>44860</v>
      </c>
      <c r="C2191" s="1" t="n">
        <v>46098</v>
      </c>
      <c r="D2191" t="inlineStr">
        <is>
          <t>UPPSALA LÄN</t>
        </is>
      </c>
      <c r="E2191" t="inlineStr">
        <is>
          <t>ÖSTHAMMAR</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47131-2025</t>
        </is>
      </c>
      <c r="B2192" s="1" t="n">
        <v>45929.69553240741</v>
      </c>
      <c r="C2192" s="1" t="n">
        <v>46098</v>
      </c>
      <c r="D2192" t="inlineStr">
        <is>
          <t>UPPSALA LÄN</t>
        </is>
      </c>
      <c r="E2192" t="inlineStr">
        <is>
          <t>UPPSALA</t>
        </is>
      </c>
      <c r="F2192" t="inlineStr">
        <is>
          <t>Kyrkan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47132-2025</t>
        </is>
      </c>
      <c r="B2193" s="1" t="n">
        <v>45929.6965162037</v>
      </c>
      <c r="C2193" s="1" t="n">
        <v>46098</v>
      </c>
      <c r="D2193" t="inlineStr">
        <is>
          <t>UPPSALA LÄN</t>
        </is>
      </c>
      <c r="E2193" t="inlineStr">
        <is>
          <t>UPPSALA</t>
        </is>
      </c>
      <c r="F2193" t="inlineStr">
        <is>
          <t>Kyrkan</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57156-2025</t>
        </is>
      </c>
      <c r="B2194" s="1" t="n">
        <v>45979.51591435185</v>
      </c>
      <c r="C2194" s="1" t="n">
        <v>46098</v>
      </c>
      <c r="D2194" t="inlineStr">
        <is>
          <t>UPPSALA LÄN</t>
        </is>
      </c>
      <c r="E2194" t="inlineStr">
        <is>
          <t>ÖSTHAMMAR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22636-2024</t>
        </is>
      </c>
      <c r="B2195" s="1" t="n">
        <v>45447</v>
      </c>
      <c r="C2195" s="1" t="n">
        <v>46098</v>
      </c>
      <c r="D2195" t="inlineStr">
        <is>
          <t>UPPSALA LÄN</t>
        </is>
      </c>
      <c r="E2195" t="inlineStr">
        <is>
          <t>TIERP</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15851-2023</t>
        </is>
      </c>
      <c r="B2196" s="1" t="n">
        <v>45022</v>
      </c>
      <c r="C2196" s="1" t="n">
        <v>46098</v>
      </c>
      <c r="D2196" t="inlineStr">
        <is>
          <t>UPPSALA LÄN</t>
        </is>
      </c>
      <c r="E2196" t="inlineStr">
        <is>
          <t>TIERP</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31242-2024</t>
        </is>
      </c>
      <c r="B2197" s="1" t="n">
        <v>45503</v>
      </c>
      <c r="C2197" s="1" t="n">
        <v>46098</v>
      </c>
      <c r="D2197" t="inlineStr">
        <is>
          <t>UPPSALA LÄN</t>
        </is>
      </c>
      <c r="E2197" t="inlineStr">
        <is>
          <t>ENKÖPING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60836-2025</t>
        </is>
      </c>
      <c r="B2198" s="1" t="n">
        <v>45999.47586805555</v>
      </c>
      <c r="C2198" s="1" t="n">
        <v>46098</v>
      </c>
      <c r="D2198" t="inlineStr">
        <is>
          <t>UPPSALA LÄN</t>
        </is>
      </c>
      <c r="E2198" t="inlineStr">
        <is>
          <t>HEBY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60842-2025</t>
        </is>
      </c>
      <c r="B2199" s="1" t="n">
        <v>45999.48721064815</v>
      </c>
      <c r="C2199" s="1" t="n">
        <v>46098</v>
      </c>
      <c r="D2199" t="inlineStr">
        <is>
          <t>UPPSALA LÄN</t>
        </is>
      </c>
      <c r="E2199" t="inlineStr">
        <is>
          <t>ÄLVKARLEBY</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60947-2025</t>
        </is>
      </c>
      <c r="B2200" s="1" t="n">
        <v>45999</v>
      </c>
      <c r="C2200" s="1" t="n">
        <v>46098</v>
      </c>
      <c r="D2200" t="inlineStr">
        <is>
          <t>UPPSALA LÄN</t>
        </is>
      </c>
      <c r="E2200" t="inlineStr">
        <is>
          <t>ENKÖPING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10449-2023</t>
        </is>
      </c>
      <c r="B2201" s="1" t="n">
        <v>44987</v>
      </c>
      <c r="C2201" s="1" t="n">
        <v>46098</v>
      </c>
      <c r="D2201" t="inlineStr">
        <is>
          <t>UPPSALA LÄN</t>
        </is>
      </c>
      <c r="E2201" t="inlineStr">
        <is>
          <t>ÖSTHAMMAR</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61875-2022</t>
        </is>
      </c>
      <c r="B2202" s="1" t="n">
        <v>44917.65171296296</v>
      </c>
      <c r="C2202" s="1" t="n">
        <v>46098</v>
      </c>
      <c r="D2202" t="inlineStr">
        <is>
          <t>UPPSALA LÄN</t>
        </is>
      </c>
      <c r="E2202" t="inlineStr">
        <is>
          <t>HEBY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16124-2021</t>
        </is>
      </c>
      <c r="B2203" s="1" t="n">
        <v>44291</v>
      </c>
      <c r="C2203" s="1" t="n">
        <v>46098</v>
      </c>
      <c r="D2203" t="inlineStr">
        <is>
          <t>UPPSALA LÄN</t>
        </is>
      </c>
      <c r="E2203" t="inlineStr">
        <is>
          <t>TIERP</t>
        </is>
      </c>
      <c r="F2203" t="inlineStr">
        <is>
          <t>Bergvik skog väst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32209-2025</t>
        </is>
      </c>
      <c r="B2204" s="1" t="n">
        <v>45835.58365740741</v>
      </c>
      <c r="C2204" s="1" t="n">
        <v>46098</v>
      </c>
      <c r="D2204" t="inlineStr">
        <is>
          <t>UPPSALA LÄN</t>
        </is>
      </c>
      <c r="E2204" t="inlineStr">
        <is>
          <t>TIERP</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32296-2025</t>
        </is>
      </c>
      <c r="B2205" s="1" t="n">
        <v>45835</v>
      </c>
      <c r="C2205" s="1" t="n">
        <v>46098</v>
      </c>
      <c r="D2205" t="inlineStr">
        <is>
          <t>UPPSALA LÄN</t>
        </is>
      </c>
      <c r="E2205" t="inlineStr">
        <is>
          <t>TIERP</t>
        </is>
      </c>
      <c r="F2205" t="inlineStr">
        <is>
          <t>Bergvik skog väst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32199-2025</t>
        </is>
      </c>
      <c r="B2206" s="1" t="n">
        <v>45835.57688657408</v>
      </c>
      <c r="C2206" s="1" t="n">
        <v>46098</v>
      </c>
      <c r="D2206" t="inlineStr">
        <is>
          <t>UPPSALA LÄN</t>
        </is>
      </c>
      <c r="E2206" t="inlineStr">
        <is>
          <t>TIERP</t>
        </is>
      </c>
      <c r="F2206" t="inlineStr">
        <is>
          <t>Bergvik skog väst AB</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32212-2025</t>
        </is>
      </c>
      <c r="B2207" s="1" t="n">
        <v>45835.58509259259</v>
      </c>
      <c r="C2207" s="1" t="n">
        <v>46098</v>
      </c>
      <c r="D2207" t="inlineStr">
        <is>
          <t>UPPSALA LÄN</t>
        </is>
      </c>
      <c r="E2207" t="inlineStr">
        <is>
          <t>ÄLVKARLEBY</t>
        </is>
      </c>
      <c r="F2207" t="inlineStr">
        <is>
          <t>Bergvik skog väst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32221-2025</t>
        </is>
      </c>
      <c r="B2208" s="1" t="n">
        <v>45835.5909837963</v>
      </c>
      <c r="C2208" s="1" t="n">
        <v>46098</v>
      </c>
      <c r="D2208" t="inlineStr">
        <is>
          <t>UPPSALA LÄN</t>
        </is>
      </c>
      <c r="E2208" t="inlineStr">
        <is>
          <t>ÄLVKARLEBY</t>
        </is>
      </c>
      <c r="F2208" t="inlineStr">
        <is>
          <t>Bergvik skog väst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31813-2025</t>
        </is>
      </c>
      <c r="B2209" s="1" t="n">
        <v>45834.56706018518</v>
      </c>
      <c r="C2209" s="1" t="n">
        <v>46098</v>
      </c>
      <c r="D2209" t="inlineStr">
        <is>
          <t>UPPSALA LÄN</t>
        </is>
      </c>
      <c r="E2209" t="inlineStr">
        <is>
          <t>HEBY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31614-2025</t>
        </is>
      </c>
      <c r="B2210" s="1" t="n">
        <v>45833.81484953704</v>
      </c>
      <c r="C2210" s="1" t="n">
        <v>46098</v>
      </c>
      <c r="D2210" t="inlineStr">
        <is>
          <t>UPPSALA LÄN</t>
        </is>
      </c>
      <c r="E2210" t="inlineStr">
        <is>
          <t>TIERP</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31103-2022</t>
        </is>
      </c>
      <c r="B2211" s="1" t="n">
        <v>44769.65189814815</v>
      </c>
      <c r="C2211" s="1" t="n">
        <v>46098</v>
      </c>
      <c r="D2211" t="inlineStr">
        <is>
          <t>UPPSALA LÄN</t>
        </is>
      </c>
      <c r="E2211" t="inlineStr">
        <is>
          <t>TIERP</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37588-2022</t>
        </is>
      </c>
      <c r="B2212" s="1" t="n">
        <v>44809.92752314815</v>
      </c>
      <c r="C2212" s="1" t="n">
        <v>46098</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31956-2025</t>
        </is>
      </c>
      <c r="B2213" s="1" t="n">
        <v>45835.34184027778</v>
      </c>
      <c r="C2213" s="1" t="n">
        <v>46098</v>
      </c>
      <c r="D2213" t="inlineStr">
        <is>
          <t>UPPSALA LÄN</t>
        </is>
      </c>
      <c r="E2213" t="inlineStr">
        <is>
          <t>ÖSTHAMMAR</t>
        </is>
      </c>
      <c r="F2213" t="inlineStr">
        <is>
          <t>Övriga Aktiebolag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60738-2025</t>
        </is>
      </c>
      <c r="B2214" s="1" t="n">
        <v>45996.83506944445</v>
      </c>
      <c r="C2214" s="1" t="n">
        <v>46098</v>
      </c>
      <c r="D2214" t="inlineStr">
        <is>
          <t>UPPSALA LÄN</t>
        </is>
      </c>
      <c r="E2214" t="inlineStr">
        <is>
          <t>ÖSTHAMMAR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60603-2025</t>
        </is>
      </c>
      <c r="B2215" s="1" t="n">
        <v>45996.3543287037</v>
      </c>
      <c r="C2215" s="1" t="n">
        <v>46098</v>
      </c>
      <c r="D2215" t="inlineStr">
        <is>
          <t>UPPSALA LÄN</t>
        </is>
      </c>
      <c r="E2215" t="inlineStr">
        <is>
          <t>ÖSTHAMMAR</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46940-2025</t>
        </is>
      </c>
      <c r="B2216" s="1" t="n">
        <v>45929.45483796296</v>
      </c>
      <c r="C2216" s="1" t="n">
        <v>46098</v>
      </c>
      <c r="D2216" t="inlineStr">
        <is>
          <t>UPPSALA LÄN</t>
        </is>
      </c>
      <c r="E2216" t="inlineStr">
        <is>
          <t>ENKÖPING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60847-2025</t>
        </is>
      </c>
      <c r="B2217" s="1" t="n">
        <v>45999.50025462963</v>
      </c>
      <c r="C2217" s="1" t="n">
        <v>46098</v>
      </c>
      <c r="D2217" t="inlineStr">
        <is>
          <t>UPPSALA LÄN</t>
        </is>
      </c>
      <c r="E2217" t="inlineStr">
        <is>
          <t>HEBY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31977-2025</t>
        </is>
      </c>
      <c r="B2218" s="1" t="n">
        <v>45835.3554050926</v>
      </c>
      <c r="C2218" s="1" t="n">
        <v>46098</v>
      </c>
      <c r="D2218" t="inlineStr">
        <is>
          <t>UPPSALA LÄN</t>
        </is>
      </c>
      <c r="E2218" t="inlineStr">
        <is>
          <t>ÖSTHAMMAR</t>
        </is>
      </c>
      <c r="F2218" t="inlineStr">
        <is>
          <t>Övriga Aktiebolag</t>
        </is>
      </c>
      <c r="G2218" t="n">
        <v>35.3</v>
      </c>
      <c r="H2218" t="n">
        <v>0</v>
      </c>
      <c r="I2218" t="n">
        <v>0</v>
      </c>
      <c r="J2218" t="n">
        <v>0</v>
      </c>
      <c r="K2218" t="n">
        <v>0</v>
      </c>
      <c r="L2218" t="n">
        <v>0</v>
      </c>
      <c r="M2218" t="n">
        <v>0</v>
      </c>
      <c r="N2218" t="n">
        <v>0</v>
      </c>
      <c r="O2218" t="n">
        <v>0</v>
      </c>
      <c r="P2218" t="n">
        <v>0</v>
      </c>
      <c r="Q2218" t="n">
        <v>0</v>
      </c>
      <c r="R2218" s="2" t="inlineStr"/>
    </row>
    <row r="2219" ht="15" customHeight="1">
      <c r="A2219" t="inlineStr">
        <is>
          <t>A 17579-2025</t>
        </is>
      </c>
      <c r="B2219" s="1" t="n">
        <v>45757.65542824074</v>
      </c>
      <c r="C2219" s="1" t="n">
        <v>46098</v>
      </c>
      <c r="D2219" t="inlineStr">
        <is>
          <t>UPPSALA LÄN</t>
        </is>
      </c>
      <c r="E2219" t="inlineStr">
        <is>
          <t>TIERP</t>
        </is>
      </c>
      <c r="F2219" t="inlineStr">
        <is>
          <t>Bergvik skog öst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27476-2025</t>
        </is>
      </c>
      <c r="B2220" s="1" t="n">
        <v>45813.37517361111</v>
      </c>
      <c r="C2220" s="1" t="n">
        <v>46098</v>
      </c>
      <c r="D2220" t="inlineStr">
        <is>
          <t>UPPSALA LÄN</t>
        </is>
      </c>
      <c r="E2220" t="inlineStr">
        <is>
          <t>ÖSTHAMMAR</t>
        </is>
      </c>
      <c r="F2220" t="inlineStr">
        <is>
          <t>Bergvik skog öst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46510-2025</t>
        </is>
      </c>
      <c r="B2221" s="1" t="n">
        <v>45925.92368055556</v>
      </c>
      <c r="C2221" s="1" t="n">
        <v>46098</v>
      </c>
      <c r="D2221" t="inlineStr">
        <is>
          <t>UPPSALA LÄN</t>
        </is>
      </c>
      <c r="E2221" t="inlineStr">
        <is>
          <t>ÄLVKARLEBY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46576-2025</t>
        </is>
      </c>
      <c r="B2222" s="1" t="n">
        <v>45926.37047453703</v>
      </c>
      <c r="C2222" s="1" t="n">
        <v>46098</v>
      </c>
      <c r="D2222" t="inlineStr">
        <is>
          <t>UPPSALA LÄN</t>
        </is>
      </c>
      <c r="E2222" t="inlineStr">
        <is>
          <t>HEBY</t>
        </is>
      </c>
      <c r="F2222" t="inlineStr">
        <is>
          <t>Bergvik skog väst AB</t>
        </is>
      </c>
      <c r="G2222" t="n">
        <v>22.5</v>
      </c>
      <c r="H2222" t="n">
        <v>0</v>
      </c>
      <c r="I2222" t="n">
        <v>0</v>
      </c>
      <c r="J2222" t="n">
        <v>0</v>
      </c>
      <c r="K2222" t="n">
        <v>0</v>
      </c>
      <c r="L2222" t="n">
        <v>0</v>
      </c>
      <c r="M2222" t="n">
        <v>0</v>
      </c>
      <c r="N2222" t="n">
        <v>0</v>
      </c>
      <c r="O2222" t="n">
        <v>0</v>
      </c>
      <c r="P2222" t="n">
        <v>0</v>
      </c>
      <c r="Q2222" t="n">
        <v>0</v>
      </c>
      <c r="R2222" s="2" t="inlineStr"/>
    </row>
    <row r="2223" ht="15" customHeight="1">
      <c r="A2223" t="inlineStr">
        <is>
          <t>A 46590-2025</t>
        </is>
      </c>
      <c r="B2223" s="1" t="n">
        <v>45926.39542824074</v>
      </c>
      <c r="C2223" s="1" t="n">
        <v>46098</v>
      </c>
      <c r="D2223" t="inlineStr">
        <is>
          <t>UPPSALA LÄN</t>
        </is>
      </c>
      <c r="E2223" t="inlineStr">
        <is>
          <t>ENKÖPING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835-2025</t>
        </is>
      </c>
      <c r="B2224" s="1" t="n">
        <v>45665.58465277778</v>
      </c>
      <c r="C2224" s="1" t="n">
        <v>46098</v>
      </c>
      <c r="D2224" t="inlineStr">
        <is>
          <t>UPPSALA LÄN</t>
        </is>
      </c>
      <c r="E2224" t="inlineStr">
        <is>
          <t>ÖSTHAMMAR</t>
        </is>
      </c>
      <c r="F2224" t="inlineStr">
        <is>
          <t>Övriga Aktiebolag</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60910-2025</t>
        </is>
      </c>
      <c r="B2225" s="1" t="n">
        <v>45999.59837962963</v>
      </c>
      <c r="C2225" s="1" t="n">
        <v>46098</v>
      </c>
      <c r="D2225" t="inlineStr">
        <is>
          <t>UPPSALA LÄN</t>
        </is>
      </c>
      <c r="E2225" t="inlineStr">
        <is>
          <t>ÖSTHAMMAR</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845-2025</t>
        </is>
      </c>
      <c r="B2226" s="1" t="n">
        <v>45665</v>
      </c>
      <c r="C2226" s="1" t="n">
        <v>46098</v>
      </c>
      <c r="D2226" t="inlineStr">
        <is>
          <t>UPPSALA LÄN</t>
        </is>
      </c>
      <c r="E2226" t="inlineStr">
        <is>
          <t>ENKÖPING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849-2025</t>
        </is>
      </c>
      <c r="B2227" s="1" t="n">
        <v>45665</v>
      </c>
      <c r="C2227" s="1" t="n">
        <v>46098</v>
      </c>
      <c r="D2227" t="inlineStr">
        <is>
          <t>UPPSALA LÄN</t>
        </is>
      </c>
      <c r="E2227" t="inlineStr">
        <is>
          <t>ENKÖPING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59549-2024</t>
        </is>
      </c>
      <c r="B2228" s="1" t="n">
        <v>45638</v>
      </c>
      <c r="C2228" s="1" t="n">
        <v>46098</v>
      </c>
      <c r="D2228" t="inlineStr">
        <is>
          <t>UPPSALA LÄN</t>
        </is>
      </c>
      <c r="E2228" t="inlineStr">
        <is>
          <t>UPPSALA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51521-2023</t>
        </is>
      </c>
      <c r="B2229" s="1" t="n">
        <v>45215</v>
      </c>
      <c r="C2229" s="1" t="n">
        <v>46098</v>
      </c>
      <c r="D2229" t="inlineStr">
        <is>
          <t>UPPSALA LÄN</t>
        </is>
      </c>
      <c r="E2229" t="inlineStr">
        <is>
          <t>HEBY</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36904-2023</t>
        </is>
      </c>
      <c r="B2230" s="1" t="n">
        <v>45154</v>
      </c>
      <c r="C2230" s="1" t="n">
        <v>46098</v>
      </c>
      <c r="D2230" t="inlineStr">
        <is>
          <t>UPPSALA LÄN</t>
        </is>
      </c>
      <c r="E2230" t="inlineStr">
        <is>
          <t>ÖSTHAMMAR</t>
        </is>
      </c>
      <c r="F2230" t="inlineStr">
        <is>
          <t>Övriga Aktiebolag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13248-2025</t>
        </is>
      </c>
      <c r="B2231" s="1" t="n">
        <v>45735</v>
      </c>
      <c r="C2231" s="1" t="n">
        <v>46098</v>
      </c>
      <c r="D2231" t="inlineStr">
        <is>
          <t>UPPSALA LÄN</t>
        </is>
      </c>
      <c r="E2231" t="inlineStr">
        <is>
          <t>ÖSTHAMMAR</t>
        </is>
      </c>
      <c r="F2231" t="inlineStr">
        <is>
          <t>Kyrkan</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58965-2025</t>
        </is>
      </c>
      <c r="B2232" s="1" t="n">
        <v>45987</v>
      </c>
      <c r="C2232" s="1" t="n">
        <v>46098</v>
      </c>
      <c r="D2232" t="inlineStr">
        <is>
          <t>UPPSALA LÄN</t>
        </is>
      </c>
      <c r="E2232" t="inlineStr">
        <is>
          <t>UPPSALA</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46983-2025</t>
        </is>
      </c>
      <c r="B2233" s="1" t="n">
        <v>45929.53203703704</v>
      </c>
      <c r="C2233" s="1" t="n">
        <v>46098</v>
      </c>
      <c r="D2233" t="inlineStr">
        <is>
          <t>UPPSALA LÄN</t>
        </is>
      </c>
      <c r="E2233" t="inlineStr">
        <is>
          <t>UPPSALA</t>
        </is>
      </c>
      <c r="F2233" t="inlineStr">
        <is>
          <t>Bergvik skog öst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72180-2021</t>
        </is>
      </c>
      <c r="B2234" s="1" t="n">
        <v>44543</v>
      </c>
      <c r="C2234" s="1" t="n">
        <v>46098</v>
      </c>
      <c r="D2234" t="inlineStr">
        <is>
          <t>UPPSALA LÄN</t>
        </is>
      </c>
      <c r="E2234" t="inlineStr">
        <is>
          <t>HEBY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1527-2025</t>
        </is>
      </c>
      <c r="B2235" s="1" t="n">
        <v>45670</v>
      </c>
      <c r="C2235" s="1" t="n">
        <v>46098</v>
      </c>
      <c r="D2235" t="inlineStr">
        <is>
          <t>UPPSALA LÄN</t>
        </is>
      </c>
      <c r="E2235" t="inlineStr">
        <is>
          <t>ÖSTHAMMAR</t>
        </is>
      </c>
      <c r="F2235" t="inlineStr">
        <is>
          <t>Bergvik skog öst AB</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4304-2025</t>
        </is>
      </c>
      <c r="B2236" s="1" t="n">
        <v>45685.68193287037</v>
      </c>
      <c r="C2236" s="1" t="n">
        <v>46098</v>
      </c>
      <c r="D2236" t="inlineStr">
        <is>
          <t>UPPSALA LÄN</t>
        </is>
      </c>
      <c r="E2236" t="inlineStr">
        <is>
          <t>ÖSTHAMMAR</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60641-2025</t>
        </is>
      </c>
      <c r="B2237" s="1" t="n">
        <v>45996.44386574074</v>
      </c>
      <c r="C2237" s="1" t="n">
        <v>46098</v>
      </c>
      <c r="D2237" t="inlineStr">
        <is>
          <t>UPPSALA LÄN</t>
        </is>
      </c>
      <c r="E2237" t="inlineStr">
        <is>
          <t>TIERP</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60829-2025</t>
        </is>
      </c>
      <c r="B2238" s="1" t="n">
        <v>45999.46523148148</v>
      </c>
      <c r="C2238" s="1" t="n">
        <v>46098</v>
      </c>
      <c r="D2238" t="inlineStr">
        <is>
          <t>UPPSALA LÄN</t>
        </is>
      </c>
      <c r="E2238" t="inlineStr">
        <is>
          <t>ÄLVKARLEBY</t>
        </is>
      </c>
      <c r="F2238" t="inlineStr">
        <is>
          <t>Bergvik skog väst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33379-2022</t>
        </is>
      </c>
      <c r="B2239" s="1" t="n">
        <v>44788</v>
      </c>
      <c r="C2239" s="1" t="n">
        <v>46098</v>
      </c>
      <c r="D2239" t="inlineStr">
        <is>
          <t>UPPSALA LÄN</t>
        </is>
      </c>
      <c r="E2239" t="inlineStr">
        <is>
          <t>HEBY</t>
        </is>
      </c>
      <c r="G2239" t="n">
        <v>18.8</v>
      </c>
      <c r="H2239" t="n">
        <v>0</v>
      </c>
      <c r="I2239" t="n">
        <v>0</v>
      </c>
      <c r="J2239" t="n">
        <v>0</v>
      </c>
      <c r="K2239" t="n">
        <v>0</v>
      </c>
      <c r="L2239" t="n">
        <v>0</v>
      </c>
      <c r="M2239" t="n">
        <v>0</v>
      </c>
      <c r="N2239" t="n">
        <v>0</v>
      </c>
      <c r="O2239" t="n">
        <v>0</v>
      </c>
      <c r="P2239" t="n">
        <v>0</v>
      </c>
      <c r="Q2239" t="n">
        <v>0</v>
      </c>
      <c r="R2239" s="2" t="inlineStr"/>
    </row>
    <row r="2240" ht="15" customHeight="1">
      <c r="A2240" t="inlineStr">
        <is>
          <t>A 46530-2025</t>
        </is>
      </c>
      <c r="B2240" s="1" t="n">
        <v>45926.33668981482</v>
      </c>
      <c r="C2240" s="1" t="n">
        <v>46098</v>
      </c>
      <c r="D2240" t="inlineStr">
        <is>
          <t>UPPSALA LÄN</t>
        </is>
      </c>
      <c r="E2240" t="inlineStr">
        <is>
          <t>HEBY</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60934-2025</t>
        </is>
      </c>
      <c r="B2241" s="1" t="n">
        <v>45999</v>
      </c>
      <c r="C2241" s="1" t="n">
        <v>46098</v>
      </c>
      <c r="D2241" t="inlineStr">
        <is>
          <t>UPPSALA LÄN</t>
        </is>
      </c>
      <c r="E2241" t="inlineStr">
        <is>
          <t>ENKÖPING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61245-2025</t>
        </is>
      </c>
      <c r="B2242" s="1" t="n">
        <v>45999</v>
      </c>
      <c r="C2242" s="1" t="n">
        <v>46098</v>
      </c>
      <c r="D2242" t="inlineStr">
        <is>
          <t>UPPSALA LÄN</t>
        </is>
      </c>
      <c r="E2242" t="inlineStr">
        <is>
          <t>UPPSALA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46775-2025</t>
        </is>
      </c>
      <c r="B2243" s="1" t="n">
        <v>45926.63366898148</v>
      </c>
      <c r="C2243" s="1" t="n">
        <v>46098</v>
      </c>
      <c r="D2243" t="inlineStr">
        <is>
          <t>UPPSALA LÄN</t>
        </is>
      </c>
      <c r="E2243" t="inlineStr">
        <is>
          <t>UPPSALA</t>
        </is>
      </c>
      <c r="F2243" t="inlineStr">
        <is>
          <t>Kyrkan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61437-2025</t>
        </is>
      </c>
      <c r="B2244" s="1" t="n">
        <v>46001.5659375</v>
      </c>
      <c r="C2244" s="1" t="n">
        <v>46098</v>
      </c>
      <c r="D2244" t="inlineStr">
        <is>
          <t>UPPSALA LÄN</t>
        </is>
      </c>
      <c r="E2244" t="inlineStr">
        <is>
          <t>ENKÖPING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28958-2025</t>
        </is>
      </c>
      <c r="B2245" s="1" t="n">
        <v>45821.31292824074</v>
      </c>
      <c r="C2245" s="1" t="n">
        <v>46098</v>
      </c>
      <c r="D2245" t="inlineStr">
        <is>
          <t>UPPSALA LÄN</t>
        </is>
      </c>
      <c r="E2245" t="inlineStr">
        <is>
          <t>UPPSALA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38109-2023</t>
        </is>
      </c>
      <c r="B2246" s="1" t="n">
        <v>45161.32083333333</v>
      </c>
      <c r="C2246" s="1" t="n">
        <v>46098</v>
      </c>
      <c r="D2246" t="inlineStr">
        <is>
          <t>UPPSALA LÄN</t>
        </is>
      </c>
      <c r="E2246" t="inlineStr">
        <is>
          <t>TIERP</t>
        </is>
      </c>
      <c r="F2246" t="inlineStr">
        <is>
          <t>Bergvik skog öst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32435-2025</t>
        </is>
      </c>
      <c r="B2247" s="1" t="n">
        <v>45838</v>
      </c>
      <c r="C2247" s="1" t="n">
        <v>46098</v>
      </c>
      <c r="D2247" t="inlineStr">
        <is>
          <t>UPPSALA LÄN</t>
        </is>
      </c>
      <c r="E2247" t="inlineStr">
        <is>
          <t>HEBY</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61250-2025</t>
        </is>
      </c>
      <c r="B2248" s="1" t="n">
        <v>46000.66645833333</v>
      </c>
      <c r="C2248" s="1" t="n">
        <v>46098</v>
      </c>
      <c r="D2248" t="inlineStr">
        <is>
          <t>UPPSALA LÄN</t>
        </is>
      </c>
      <c r="E2248" t="inlineStr">
        <is>
          <t>ÖSTHAMMAR</t>
        </is>
      </c>
      <c r="F2248" t="inlineStr">
        <is>
          <t>Bergvik skog öst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781-2024</t>
        </is>
      </c>
      <c r="B2249" s="1" t="n">
        <v>45300.55028935185</v>
      </c>
      <c r="C2249" s="1" t="n">
        <v>46098</v>
      </c>
      <c r="D2249" t="inlineStr">
        <is>
          <t>UPPSALA LÄN</t>
        </is>
      </c>
      <c r="E2249" t="inlineStr">
        <is>
          <t>UPPSALA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61617-2022</t>
        </is>
      </c>
      <c r="B2250" s="1" t="n">
        <v>44916.6696875</v>
      </c>
      <c r="C2250" s="1" t="n">
        <v>46098</v>
      </c>
      <c r="D2250" t="inlineStr">
        <is>
          <t>UPPSALA LÄN</t>
        </is>
      </c>
      <c r="E2250" t="inlineStr">
        <is>
          <t>TIERP</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32923-2025</t>
        </is>
      </c>
      <c r="B2251" s="1" t="n">
        <v>45839</v>
      </c>
      <c r="C2251" s="1" t="n">
        <v>46098</v>
      </c>
      <c r="D2251" t="inlineStr">
        <is>
          <t>UPPSALA LÄN</t>
        </is>
      </c>
      <c r="E2251" t="inlineStr">
        <is>
          <t>UPPSALA</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44946-2022</t>
        </is>
      </c>
      <c r="B2252" s="1" t="n">
        <v>44841.57192129629</v>
      </c>
      <c r="C2252" s="1" t="n">
        <v>46098</v>
      </c>
      <c r="D2252" t="inlineStr">
        <is>
          <t>UPPSALA LÄN</t>
        </is>
      </c>
      <c r="E2252" t="inlineStr">
        <is>
          <t>TIERP</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61251-2025</t>
        </is>
      </c>
      <c r="B2253" s="1" t="n">
        <v>46000.6669675926</v>
      </c>
      <c r="C2253" s="1" t="n">
        <v>46098</v>
      </c>
      <c r="D2253" t="inlineStr">
        <is>
          <t>UPPSALA LÄN</t>
        </is>
      </c>
      <c r="E2253" t="inlineStr">
        <is>
          <t>ÖSTHAMMAR</t>
        </is>
      </c>
      <c r="F2253" t="inlineStr">
        <is>
          <t>Bergvik skog öst AB</t>
        </is>
      </c>
      <c r="G2253" t="n">
        <v>22.2</v>
      </c>
      <c r="H2253" t="n">
        <v>0</v>
      </c>
      <c r="I2253" t="n">
        <v>0</v>
      </c>
      <c r="J2253" t="n">
        <v>0</v>
      </c>
      <c r="K2253" t="n">
        <v>0</v>
      </c>
      <c r="L2253" t="n">
        <v>0</v>
      </c>
      <c r="M2253" t="n">
        <v>0</v>
      </c>
      <c r="N2253" t="n">
        <v>0</v>
      </c>
      <c r="O2253" t="n">
        <v>0</v>
      </c>
      <c r="P2253" t="n">
        <v>0</v>
      </c>
      <c r="Q2253" t="n">
        <v>0</v>
      </c>
      <c r="R2253" s="2" t="inlineStr"/>
    </row>
    <row r="2254" ht="15" customHeight="1">
      <c r="A2254" t="inlineStr">
        <is>
          <t>A 53735-2023</t>
        </is>
      </c>
      <c r="B2254" s="1" t="n">
        <v>45230.77258101852</v>
      </c>
      <c r="C2254" s="1" t="n">
        <v>46098</v>
      </c>
      <c r="D2254" t="inlineStr">
        <is>
          <t>UPPSALA LÄN</t>
        </is>
      </c>
      <c r="E2254" t="inlineStr">
        <is>
          <t>ÖSTHAMMAR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38702-2022</t>
        </is>
      </c>
      <c r="B2255" s="1" t="n">
        <v>44814.5991087963</v>
      </c>
      <c r="C2255" s="1" t="n">
        <v>46098</v>
      </c>
      <c r="D2255" t="inlineStr">
        <is>
          <t>UPPSALA LÄN</t>
        </is>
      </c>
      <c r="E2255" t="inlineStr">
        <is>
          <t>ÖSTHAMMAR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46843-2025</t>
        </is>
      </c>
      <c r="B2256" s="1" t="n">
        <v>45928.60292824074</v>
      </c>
      <c r="C2256" s="1" t="n">
        <v>46098</v>
      </c>
      <c r="D2256" t="inlineStr">
        <is>
          <t>UPPSALA LÄN</t>
        </is>
      </c>
      <c r="E2256" t="inlineStr">
        <is>
          <t>TIERP</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46844-2025</t>
        </is>
      </c>
      <c r="B2257" s="1" t="n">
        <v>45928.60719907407</v>
      </c>
      <c r="C2257" s="1" t="n">
        <v>46098</v>
      </c>
      <c r="D2257" t="inlineStr">
        <is>
          <t>UPPSALA LÄN</t>
        </is>
      </c>
      <c r="E2257" t="inlineStr">
        <is>
          <t>TIERP</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46564-2025</t>
        </is>
      </c>
      <c r="B2258" s="1" t="n">
        <v>45926.35917824074</v>
      </c>
      <c r="C2258" s="1" t="n">
        <v>46098</v>
      </c>
      <c r="D2258" t="inlineStr">
        <is>
          <t>UPPSALA LÄN</t>
        </is>
      </c>
      <c r="E2258" t="inlineStr">
        <is>
          <t>UPPSALA</t>
        </is>
      </c>
      <c r="F2258" t="inlineStr">
        <is>
          <t>Bergvik skog öst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46565-2025</t>
        </is>
      </c>
      <c r="B2259" s="1" t="n">
        <v>45926.35998842592</v>
      </c>
      <c r="C2259" s="1" t="n">
        <v>46098</v>
      </c>
      <c r="D2259" t="inlineStr">
        <is>
          <t>UPPSALA LÄN</t>
        </is>
      </c>
      <c r="E2259" t="inlineStr">
        <is>
          <t>UPPSALA</t>
        </is>
      </c>
      <c r="F2259" t="inlineStr">
        <is>
          <t>Bergvik skog öst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46644-2025</t>
        </is>
      </c>
      <c r="B2260" s="1" t="n">
        <v>45926.47443287037</v>
      </c>
      <c r="C2260" s="1" t="n">
        <v>46098</v>
      </c>
      <c r="D2260" t="inlineStr">
        <is>
          <t>UPPSALA LÄN</t>
        </is>
      </c>
      <c r="E2260" t="inlineStr">
        <is>
          <t>TIERP</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11570-2025</t>
        </is>
      </c>
      <c r="B2261" s="1" t="n">
        <v>45727.37976851852</v>
      </c>
      <c r="C2261" s="1" t="n">
        <v>46098</v>
      </c>
      <c r="D2261" t="inlineStr">
        <is>
          <t>UPPSALA LÄN</t>
        </is>
      </c>
      <c r="E2261" t="inlineStr">
        <is>
          <t>TIERP</t>
        </is>
      </c>
      <c r="F2261" t="inlineStr">
        <is>
          <t>Bergvik skog öst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32718-2025</t>
        </is>
      </c>
      <c r="B2262" s="1" t="n">
        <v>45839.37740740741</v>
      </c>
      <c r="C2262" s="1" t="n">
        <v>46098</v>
      </c>
      <c r="D2262" t="inlineStr">
        <is>
          <t>UPPSALA LÄN</t>
        </is>
      </c>
      <c r="E2262" t="inlineStr">
        <is>
          <t>ÖSTHAMMAR</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6450-2025</t>
        </is>
      </c>
      <c r="B2263" s="1" t="n">
        <v>45699.54886574074</v>
      </c>
      <c r="C2263" s="1" t="n">
        <v>46098</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9592-2022</t>
        </is>
      </c>
      <c r="B2264" s="1" t="n">
        <v>44617.48311342593</v>
      </c>
      <c r="C2264" s="1" t="n">
        <v>46098</v>
      </c>
      <c r="D2264" t="inlineStr">
        <is>
          <t>UPPSALA LÄN</t>
        </is>
      </c>
      <c r="E2264" t="inlineStr">
        <is>
          <t>UPPSALA</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47422-2022</t>
        </is>
      </c>
      <c r="B2265" s="1" t="n">
        <v>44853.57118055555</v>
      </c>
      <c r="C2265" s="1" t="n">
        <v>46098</v>
      </c>
      <c r="D2265" t="inlineStr">
        <is>
          <t>UPPSALA LÄN</t>
        </is>
      </c>
      <c r="E2265" t="inlineStr">
        <is>
          <t>TIERP</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1439-2025</t>
        </is>
      </c>
      <c r="B2266" s="1" t="n">
        <v>45669.69075231482</v>
      </c>
      <c r="C2266" s="1" t="n">
        <v>46098</v>
      </c>
      <c r="D2266" t="inlineStr">
        <is>
          <t>UPPSALA LÄN</t>
        </is>
      </c>
      <c r="E2266" t="inlineStr">
        <is>
          <t>ÖSTHAMMAR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1575-2025</t>
        </is>
      </c>
      <c r="B2267" s="1" t="n">
        <v>45670</v>
      </c>
      <c r="C2267" s="1" t="n">
        <v>46098</v>
      </c>
      <c r="D2267" t="inlineStr">
        <is>
          <t>UPPSALA LÄN</t>
        </is>
      </c>
      <c r="E2267" t="inlineStr">
        <is>
          <t>ÖSTHAMMAR</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37782-2022</t>
        </is>
      </c>
      <c r="B2268" s="1" t="n">
        <v>44810</v>
      </c>
      <c r="C2268" s="1" t="n">
        <v>46098</v>
      </c>
      <c r="D2268" t="inlineStr">
        <is>
          <t>UPPSALA LÄN</t>
        </is>
      </c>
      <c r="E2268" t="inlineStr">
        <is>
          <t>HEBY</t>
        </is>
      </c>
      <c r="F2268" t="inlineStr">
        <is>
          <t>Bergvik skog väst AB</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47338-2025</t>
        </is>
      </c>
      <c r="B2269" s="1" t="n">
        <v>45930.56626157407</v>
      </c>
      <c r="C2269" s="1" t="n">
        <v>46098</v>
      </c>
      <c r="D2269" t="inlineStr">
        <is>
          <t>UPPSALA LÄN</t>
        </is>
      </c>
      <c r="E2269" t="inlineStr">
        <is>
          <t>ÖSTHAMMAR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47558-2025</t>
        </is>
      </c>
      <c r="B2270" s="1" t="n">
        <v>45931.37796296296</v>
      </c>
      <c r="C2270" s="1" t="n">
        <v>46098</v>
      </c>
      <c r="D2270" t="inlineStr">
        <is>
          <t>UPPSALA LÄN</t>
        </is>
      </c>
      <c r="E2270" t="inlineStr">
        <is>
          <t>UPPSALA</t>
        </is>
      </c>
      <c r="F2270" t="inlineStr">
        <is>
          <t>Kyrkan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47649-2025</t>
        </is>
      </c>
      <c r="B2271" s="1" t="n">
        <v>45931.52792824074</v>
      </c>
      <c r="C2271" s="1" t="n">
        <v>46098</v>
      </c>
      <c r="D2271" t="inlineStr">
        <is>
          <t>UPPSALA LÄN</t>
        </is>
      </c>
      <c r="E2271" t="inlineStr">
        <is>
          <t>UPPSALA</t>
        </is>
      </c>
      <c r="F2271" t="inlineStr">
        <is>
          <t>Bergvik skog öst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32432-2025</t>
        </is>
      </c>
      <c r="B2272" s="1" t="n">
        <v>45838.37053240741</v>
      </c>
      <c r="C2272" s="1" t="n">
        <v>46098</v>
      </c>
      <c r="D2272" t="inlineStr">
        <is>
          <t>UPPSALA LÄN</t>
        </is>
      </c>
      <c r="E2272" t="inlineStr">
        <is>
          <t>HEBY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32545-2025</t>
        </is>
      </c>
      <c r="B2273" s="1" t="n">
        <v>45838</v>
      </c>
      <c r="C2273" s="1" t="n">
        <v>46098</v>
      </c>
      <c r="D2273" t="inlineStr">
        <is>
          <t>UPPSALA LÄN</t>
        </is>
      </c>
      <c r="E2273" t="inlineStr">
        <is>
          <t>HEBY</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32547-2025</t>
        </is>
      </c>
      <c r="B2274" s="1" t="n">
        <v>45838.53759259259</v>
      </c>
      <c r="C2274" s="1" t="n">
        <v>46098</v>
      </c>
      <c r="D2274" t="inlineStr">
        <is>
          <t>UPPSALA LÄN</t>
        </is>
      </c>
      <c r="E2274" t="inlineStr">
        <is>
          <t>HEBY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32711-2025</t>
        </is>
      </c>
      <c r="B2275" s="1" t="n">
        <v>45839</v>
      </c>
      <c r="C2275" s="1" t="n">
        <v>46098</v>
      </c>
      <c r="D2275" t="inlineStr">
        <is>
          <t>UPPSALA LÄN</t>
        </is>
      </c>
      <c r="E2275" t="inlineStr">
        <is>
          <t>UPPSALA</t>
        </is>
      </c>
      <c r="G2275" t="n">
        <v>0.8</v>
      </c>
      <c r="H2275" t="n">
        <v>0</v>
      </c>
      <c r="I2275" t="n">
        <v>0</v>
      </c>
      <c r="J2275" t="n">
        <v>0</v>
      </c>
      <c r="K2275" t="n">
        <v>0</v>
      </c>
      <c r="L2275" t="n">
        <v>0</v>
      </c>
      <c r="M2275" t="n">
        <v>0</v>
      </c>
      <c r="N2275" t="n">
        <v>0</v>
      </c>
      <c r="O2275" t="n">
        <v>0</v>
      </c>
      <c r="P2275" t="n">
        <v>0</v>
      </c>
      <c r="Q2275" t="n">
        <v>0</v>
      </c>
      <c r="R2275" s="2" t="inlineStr"/>
      <c r="U2275">
        <f>HYPERLINK("https://klasma.github.io/Logging_0380/knärot/A 32711-2025 karta knärot.png", "A 32711-2025")</f>
        <v/>
      </c>
      <c r="V2275">
        <f>HYPERLINK("https://klasma.github.io/Logging_0380/klagomål/A 32711-2025 FSC-klagomål.docx", "A 32711-2025")</f>
        <v/>
      </c>
      <c r="W2275">
        <f>HYPERLINK("https://klasma.github.io/Logging_0380/klagomålsmail/A 32711-2025 FSC-klagomål mail.docx", "A 32711-2025")</f>
        <v/>
      </c>
      <c r="X2275">
        <f>HYPERLINK("https://klasma.github.io/Logging_0380/tillsyn/A 32711-2025 tillsynsbegäran.docx", "A 32711-2025")</f>
        <v/>
      </c>
      <c r="Y2275">
        <f>HYPERLINK("https://klasma.github.io/Logging_0380/tillsynsmail/A 32711-2025 tillsynsbegäran mail.docx", "A 32711-2025")</f>
        <v/>
      </c>
    </row>
    <row r="2276" ht="15" customHeight="1">
      <c r="A2276" t="inlineStr">
        <is>
          <t>A 61252-2025</t>
        </is>
      </c>
      <c r="B2276" s="1" t="n">
        <v>46000.668125</v>
      </c>
      <c r="C2276" s="1" t="n">
        <v>46098</v>
      </c>
      <c r="D2276" t="inlineStr">
        <is>
          <t>UPPSALA LÄN</t>
        </is>
      </c>
      <c r="E2276" t="inlineStr">
        <is>
          <t>TIERP</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32376-2025</t>
        </is>
      </c>
      <c r="B2277" s="1" t="n">
        <v>45837.72260416667</v>
      </c>
      <c r="C2277" s="1" t="n">
        <v>46098</v>
      </c>
      <c r="D2277" t="inlineStr">
        <is>
          <t>UPPSALA LÄN</t>
        </is>
      </c>
      <c r="E2277" t="inlineStr">
        <is>
          <t>TIERP</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61143-2025</t>
        </is>
      </c>
      <c r="B2278" s="1" t="n">
        <v>46000.53084490741</v>
      </c>
      <c r="C2278" s="1" t="n">
        <v>46098</v>
      </c>
      <c r="D2278" t="inlineStr">
        <is>
          <t>UPPSALA LÄN</t>
        </is>
      </c>
      <c r="E2278" t="inlineStr">
        <is>
          <t>ÖSTHAMMAR</t>
        </is>
      </c>
      <c r="F2278" t="inlineStr">
        <is>
          <t>Bergvik skog öst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53991-2025</t>
        </is>
      </c>
      <c r="B2279" s="1" t="n">
        <v>45961.5821412037</v>
      </c>
      <c r="C2279" s="1" t="n">
        <v>46098</v>
      </c>
      <c r="D2279" t="inlineStr">
        <is>
          <t>UPPSALA LÄN</t>
        </is>
      </c>
      <c r="E2279" t="inlineStr">
        <is>
          <t>TIERP</t>
        </is>
      </c>
      <c r="F2279" t="inlineStr">
        <is>
          <t>Bergvik skog öst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33571-2025</t>
        </is>
      </c>
      <c r="B2280" s="1" t="n">
        <v>45841.5847337963</v>
      </c>
      <c r="C2280" s="1" t="n">
        <v>46098</v>
      </c>
      <c r="D2280" t="inlineStr">
        <is>
          <t>UPPSALA LÄN</t>
        </is>
      </c>
      <c r="E2280" t="inlineStr">
        <is>
          <t>UPPSALA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47336-2025</t>
        </is>
      </c>
      <c r="B2281" s="1" t="n">
        <v>45930.56592592593</v>
      </c>
      <c r="C2281" s="1" t="n">
        <v>46098</v>
      </c>
      <c r="D2281" t="inlineStr">
        <is>
          <t>UPPSALA LÄN</t>
        </is>
      </c>
      <c r="E2281" t="inlineStr">
        <is>
          <t>ÖSTHAMMAR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47337-2025</t>
        </is>
      </c>
      <c r="B2282" s="1" t="n">
        <v>45930.56607638889</v>
      </c>
      <c r="C2282" s="1" t="n">
        <v>46098</v>
      </c>
      <c r="D2282" t="inlineStr">
        <is>
          <t>UPPSALA LÄN</t>
        </is>
      </c>
      <c r="E2282" t="inlineStr">
        <is>
          <t>ÖSTHAMMAR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33180-2025</t>
        </is>
      </c>
      <c r="B2283" s="1" t="n">
        <v>45840.5905324074</v>
      </c>
      <c r="C2283" s="1" t="n">
        <v>46098</v>
      </c>
      <c r="D2283" t="inlineStr">
        <is>
          <t>UPPSALA LÄN</t>
        </is>
      </c>
      <c r="E2283" t="inlineStr">
        <is>
          <t>TIERP</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61147-2025</t>
        </is>
      </c>
      <c r="B2284" s="1" t="n">
        <v>46000.53493055556</v>
      </c>
      <c r="C2284" s="1" t="n">
        <v>46098</v>
      </c>
      <c r="D2284" t="inlineStr">
        <is>
          <t>UPPSALA LÄN</t>
        </is>
      </c>
      <c r="E2284" t="inlineStr">
        <is>
          <t>ÖSTHAMMAR</t>
        </is>
      </c>
      <c r="F2284" t="inlineStr">
        <is>
          <t>Bergvik skog öst AB</t>
        </is>
      </c>
      <c r="G2284" t="n">
        <v>10.4</v>
      </c>
      <c r="H2284" t="n">
        <v>0</v>
      </c>
      <c r="I2284" t="n">
        <v>0</v>
      </c>
      <c r="J2284" t="n">
        <v>0</v>
      </c>
      <c r="K2284" t="n">
        <v>0</v>
      </c>
      <c r="L2284" t="n">
        <v>0</v>
      </c>
      <c r="M2284" t="n">
        <v>0</v>
      </c>
      <c r="N2284" t="n">
        <v>0</v>
      </c>
      <c r="O2284" t="n">
        <v>0</v>
      </c>
      <c r="P2284" t="n">
        <v>0</v>
      </c>
      <c r="Q2284" t="n">
        <v>0</v>
      </c>
      <c r="R2284" s="2" t="inlineStr"/>
    </row>
    <row r="2285" ht="15" customHeight="1">
      <c r="A2285" t="inlineStr">
        <is>
          <t>A 47491-2025</t>
        </is>
      </c>
      <c r="B2285" s="1" t="n">
        <v>45930.70885416667</v>
      </c>
      <c r="C2285" s="1" t="n">
        <v>46098</v>
      </c>
      <c r="D2285" t="inlineStr">
        <is>
          <t>UPPSALA LÄN</t>
        </is>
      </c>
      <c r="E2285" t="inlineStr">
        <is>
          <t>HEBY</t>
        </is>
      </c>
      <c r="F2285" t="inlineStr">
        <is>
          <t>Allmännings- och besparingsskogar</t>
        </is>
      </c>
      <c r="G2285" t="n">
        <v>14.4</v>
      </c>
      <c r="H2285" t="n">
        <v>0</v>
      </c>
      <c r="I2285" t="n">
        <v>0</v>
      </c>
      <c r="J2285" t="n">
        <v>0</v>
      </c>
      <c r="K2285" t="n">
        <v>0</v>
      </c>
      <c r="L2285" t="n">
        <v>0</v>
      </c>
      <c r="M2285" t="n">
        <v>0</v>
      </c>
      <c r="N2285" t="n">
        <v>0</v>
      </c>
      <c r="O2285" t="n">
        <v>0</v>
      </c>
      <c r="P2285" t="n">
        <v>0</v>
      </c>
      <c r="Q2285" t="n">
        <v>0</v>
      </c>
      <c r="R2285" s="2" t="inlineStr"/>
    </row>
    <row r="2286" ht="15" customHeight="1">
      <c r="A2286" t="inlineStr">
        <is>
          <t>A 33261-2025</t>
        </is>
      </c>
      <c r="B2286" s="1" t="n">
        <v>45840</v>
      </c>
      <c r="C2286" s="1" t="n">
        <v>46098</v>
      </c>
      <c r="D2286" t="inlineStr">
        <is>
          <t>UPPSALA LÄN</t>
        </is>
      </c>
      <c r="E2286" t="inlineStr">
        <is>
          <t>UPPSALA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47316-2025</t>
        </is>
      </c>
      <c r="B2287" s="1" t="n">
        <v>45930.55024305556</v>
      </c>
      <c r="C2287" s="1" t="n">
        <v>46098</v>
      </c>
      <c r="D2287" t="inlineStr">
        <is>
          <t>UPPSALA LÄN</t>
        </is>
      </c>
      <c r="E2287" t="inlineStr">
        <is>
          <t>UPPSALA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15740-2025</t>
        </is>
      </c>
      <c r="B2288" s="1" t="n">
        <v>45748</v>
      </c>
      <c r="C2288" s="1" t="n">
        <v>46098</v>
      </c>
      <c r="D2288" t="inlineStr">
        <is>
          <t>UPPSALA LÄN</t>
        </is>
      </c>
      <c r="E2288" t="inlineStr">
        <is>
          <t>ENKÖPING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54006-2025</t>
        </is>
      </c>
      <c r="B2289" s="1" t="n">
        <v>45961.61335648148</v>
      </c>
      <c r="C2289" s="1" t="n">
        <v>46098</v>
      </c>
      <c r="D2289" t="inlineStr">
        <is>
          <t>UPPSALA LÄN</t>
        </is>
      </c>
      <c r="E2289" t="inlineStr">
        <is>
          <t>TIERP</t>
        </is>
      </c>
      <c r="F2289" t="inlineStr">
        <is>
          <t>Bergvik skog öst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29477-2025</t>
        </is>
      </c>
      <c r="B2290" s="1" t="n">
        <v>45824.71537037037</v>
      </c>
      <c r="C2290" s="1" t="n">
        <v>46098</v>
      </c>
      <c r="D2290" t="inlineStr">
        <is>
          <t>UPPSALA LÄN</t>
        </is>
      </c>
      <c r="E2290" t="inlineStr">
        <is>
          <t>ENKÖPING</t>
        </is>
      </c>
      <c r="G2290" t="n">
        <v>13.4</v>
      </c>
      <c r="H2290" t="n">
        <v>0</v>
      </c>
      <c r="I2290" t="n">
        <v>0</v>
      </c>
      <c r="J2290" t="n">
        <v>0</v>
      </c>
      <c r="K2290" t="n">
        <v>0</v>
      </c>
      <c r="L2290" t="n">
        <v>0</v>
      </c>
      <c r="M2290" t="n">
        <v>0</v>
      </c>
      <c r="N2290" t="n">
        <v>0</v>
      </c>
      <c r="O2290" t="n">
        <v>0</v>
      </c>
      <c r="P2290" t="n">
        <v>0</v>
      </c>
      <c r="Q2290" t="n">
        <v>0</v>
      </c>
      <c r="R2290" s="2" t="inlineStr"/>
    </row>
    <row r="2291" ht="15" customHeight="1">
      <c r="A2291" t="inlineStr">
        <is>
          <t>A 47557-2025</t>
        </is>
      </c>
      <c r="B2291" s="1" t="n">
        <v>45931.37734953704</v>
      </c>
      <c r="C2291" s="1" t="n">
        <v>46098</v>
      </c>
      <c r="D2291" t="inlineStr">
        <is>
          <t>UPPSALA LÄN</t>
        </is>
      </c>
      <c r="E2291" t="inlineStr">
        <is>
          <t>UPPSALA</t>
        </is>
      </c>
      <c r="F2291" t="inlineStr">
        <is>
          <t>Kyrkan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47690-2025</t>
        </is>
      </c>
      <c r="B2292" s="1" t="n">
        <v>45931.59373842592</v>
      </c>
      <c r="C2292" s="1" t="n">
        <v>46098</v>
      </c>
      <c r="D2292" t="inlineStr">
        <is>
          <t>UPPSALA LÄN</t>
        </is>
      </c>
      <c r="E2292" t="inlineStr">
        <is>
          <t>UPPSALA</t>
        </is>
      </c>
      <c r="F2292" t="inlineStr">
        <is>
          <t>Bergvik skog öst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33025-2025</t>
        </is>
      </c>
      <c r="B2293" s="1" t="n">
        <v>45840</v>
      </c>
      <c r="C2293" s="1" t="n">
        <v>46098</v>
      </c>
      <c r="D2293" t="inlineStr">
        <is>
          <t>UPPSALA LÄN</t>
        </is>
      </c>
      <c r="E2293" t="inlineStr">
        <is>
          <t>HEBY</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61778-2025</t>
        </is>
      </c>
      <c r="B2294" s="1" t="n">
        <v>46002.66555555556</v>
      </c>
      <c r="C2294" s="1" t="n">
        <v>46098</v>
      </c>
      <c r="D2294" t="inlineStr">
        <is>
          <t>UPPSALA LÄN</t>
        </is>
      </c>
      <c r="E2294" t="inlineStr">
        <is>
          <t>ENKÖPING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61811-2025</t>
        </is>
      </c>
      <c r="B2295" s="1" t="n">
        <v>46002.90059027778</v>
      </c>
      <c r="C2295" s="1" t="n">
        <v>46098</v>
      </c>
      <c r="D2295" t="inlineStr">
        <is>
          <t>UPPSALA LÄN</t>
        </is>
      </c>
      <c r="E2295" t="inlineStr">
        <is>
          <t>ENKÖPING</t>
        </is>
      </c>
      <c r="F2295" t="inlineStr">
        <is>
          <t>Allmännings- och besparingsskogar</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61838-2025</t>
        </is>
      </c>
      <c r="B2296" s="1" t="n">
        <v>46003.35675925926</v>
      </c>
      <c r="C2296" s="1" t="n">
        <v>46098</v>
      </c>
      <c r="D2296" t="inlineStr">
        <is>
          <t>UPPSALA LÄN</t>
        </is>
      </c>
      <c r="E2296" t="inlineStr">
        <is>
          <t>ÖSTHAMMAR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38941-2025</t>
        </is>
      </c>
      <c r="B2297" s="1" t="n">
        <v>45887</v>
      </c>
      <c r="C2297" s="1" t="n">
        <v>46098</v>
      </c>
      <c r="D2297" t="inlineStr">
        <is>
          <t>UPPSALA LÄN</t>
        </is>
      </c>
      <c r="E2297" t="inlineStr">
        <is>
          <t>ENKÖPING</t>
        </is>
      </c>
      <c r="F2297" t="inlineStr">
        <is>
          <t>Övriga statliga verk och myndigheter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47441-2025</t>
        </is>
      </c>
      <c r="B2298" s="1" t="n">
        <v>45930.63986111111</v>
      </c>
      <c r="C2298" s="1" t="n">
        <v>46098</v>
      </c>
      <c r="D2298" t="inlineStr">
        <is>
          <t>UPPSALA LÄN</t>
        </is>
      </c>
      <c r="E2298" t="inlineStr">
        <is>
          <t>ENKÖPING</t>
        </is>
      </c>
      <c r="F2298" t="inlineStr">
        <is>
          <t>Allmännings- och besparingsskogar</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47688-2025</t>
        </is>
      </c>
      <c r="B2299" s="1" t="n">
        <v>45931.59091435185</v>
      </c>
      <c r="C2299" s="1" t="n">
        <v>46098</v>
      </c>
      <c r="D2299" t="inlineStr">
        <is>
          <t>UPPSALA LÄN</t>
        </is>
      </c>
      <c r="E2299" t="inlineStr">
        <is>
          <t>UPPSALA</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61846-2025</t>
        </is>
      </c>
      <c r="B2300" s="1" t="n">
        <v>46003.37525462963</v>
      </c>
      <c r="C2300" s="1" t="n">
        <v>46098</v>
      </c>
      <c r="D2300" t="inlineStr">
        <is>
          <t>UPPSALA LÄN</t>
        </is>
      </c>
      <c r="E2300" t="inlineStr">
        <is>
          <t>TIERP</t>
        </is>
      </c>
      <c r="F2300" t="inlineStr">
        <is>
          <t>Bergvik skog öst AB</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33529-2025</t>
        </is>
      </c>
      <c r="B2301" s="1" t="n">
        <v>45841.55199074074</v>
      </c>
      <c r="C2301" s="1" t="n">
        <v>46098</v>
      </c>
      <c r="D2301" t="inlineStr">
        <is>
          <t>UPPSALA LÄN</t>
        </is>
      </c>
      <c r="E2301" t="inlineStr">
        <is>
          <t>ÖSTHAMMAR</t>
        </is>
      </c>
      <c r="F2301" t="inlineStr">
        <is>
          <t>Bergvik skog öst AB</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61825-2025</t>
        </is>
      </c>
      <c r="B2302" s="1" t="n">
        <v>46003.33967592593</v>
      </c>
      <c r="C2302" s="1" t="n">
        <v>46098</v>
      </c>
      <c r="D2302" t="inlineStr">
        <is>
          <t>UPPSALA LÄN</t>
        </is>
      </c>
      <c r="E2302" t="inlineStr">
        <is>
          <t>TIERP</t>
        </is>
      </c>
      <c r="F2302" t="inlineStr">
        <is>
          <t>Bergvik skog öst AB</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33048-2025</t>
        </is>
      </c>
      <c r="B2303" s="1" t="n">
        <v>45840.41451388889</v>
      </c>
      <c r="C2303" s="1" t="n">
        <v>46098</v>
      </c>
      <c r="D2303" t="inlineStr">
        <is>
          <t>UPPSALA LÄN</t>
        </is>
      </c>
      <c r="E2303" t="inlineStr">
        <is>
          <t>ÖSTHAMMAR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33271-2025</t>
        </is>
      </c>
      <c r="B2304" s="1" t="n">
        <v>45840.68381944444</v>
      </c>
      <c r="C2304" s="1" t="n">
        <v>46098</v>
      </c>
      <c r="D2304" t="inlineStr">
        <is>
          <t>UPPSALA LÄN</t>
        </is>
      </c>
      <c r="E2304" t="inlineStr">
        <is>
          <t>ÖSTHAMMAR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61928-2025</t>
        </is>
      </c>
      <c r="B2305" s="1" t="n">
        <v>46003.52034722222</v>
      </c>
      <c r="C2305" s="1" t="n">
        <v>46098</v>
      </c>
      <c r="D2305" t="inlineStr">
        <is>
          <t>UPPSALA LÄN</t>
        </is>
      </c>
      <c r="E2305" t="inlineStr">
        <is>
          <t>TIERP</t>
        </is>
      </c>
      <c r="F2305" t="inlineStr">
        <is>
          <t>Övriga Aktiebolag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7429-2025</t>
        </is>
      </c>
      <c r="B2306" s="1" t="n">
        <v>45705</v>
      </c>
      <c r="C2306" s="1" t="n">
        <v>46098</v>
      </c>
      <c r="D2306" t="inlineStr">
        <is>
          <t>UPPSALA LÄN</t>
        </is>
      </c>
      <c r="E2306" t="inlineStr">
        <is>
          <t>HEBY</t>
        </is>
      </c>
      <c r="F2306" t="inlineStr">
        <is>
          <t>Kyrkan</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61694-2025</t>
        </is>
      </c>
      <c r="B2307" s="1" t="n">
        <v>46002.52361111111</v>
      </c>
      <c r="C2307" s="1" t="n">
        <v>46098</v>
      </c>
      <c r="D2307" t="inlineStr">
        <is>
          <t>UPPSALA LÄN</t>
        </is>
      </c>
      <c r="E2307" t="inlineStr">
        <is>
          <t>ÄLVKARLEBY</t>
        </is>
      </c>
      <c r="F2307" t="inlineStr">
        <is>
          <t>Bergvik skog öst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61672-2025</t>
        </is>
      </c>
      <c r="B2308" s="1" t="n">
        <v>46002.47396990741</v>
      </c>
      <c r="C2308" s="1" t="n">
        <v>46098</v>
      </c>
      <c r="D2308" t="inlineStr">
        <is>
          <t>UPPSALA LÄN</t>
        </is>
      </c>
      <c r="E2308" t="inlineStr">
        <is>
          <t>TIERP</t>
        </is>
      </c>
      <c r="F2308" t="inlineStr">
        <is>
          <t>Bergvik skog öst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61685-2025</t>
        </is>
      </c>
      <c r="B2309" s="1" t="n">
        <v>46002.503125</v>
      </c>
      <c r="C2309" s="1" t="n">
        <v>46098</v>
      </c>
      <c r="D2309" t="inlineStr">
        <is>
          <t>UPPSALA LÄN</t>
        </is>
      </c>
      <c r="E2309" t="inlineStr">
        <is>
          <t>ÄLVKARLEBY</t>
        </is>
      </c>
      <c r="F2309" t="inlineStr">
        <is>
          <t>Bergvik skog öst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61691-2025</t>
        </is>
      </c>
      <c r="B2310" s="1" t="n">
        <v>46002.51318287037</v>
      </c>
      <c r="C2310" s="1" t="n">
        <v>46098</v>
      </c>
      <c r="D2310" t="inlineStr">
        <is>
          <t>UPPSALA LÄN</t>
        </is>
      </c>
      <c r="E2310" t="inlineStr">
        <is>
          <t>ÄLVKARLEBY</t>
        </is>
      </c>
      <c r="F2310" t="inlineStr">
        <is>
          <t>Bergvik skog öst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61889-2025</t>
        </is>
      </c>
      <c r="B2311" s="1" t="n">
        <v>46003.44765046296</v>
      </c>
      <c r="C2311" s="1" t="n">
        <v>46098</v>
      </c>
      <c r="D2311" t="inlineStr">
        <is>
          <t>UPPSALA LÄN</t>
        </is>
      </c>
      <c r="E2311" t="inlineStr">
        <is>
          <t>ENKÖPING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61883-2025</t>
        </is>
      </c>
      <c r="B2312" s="1" t="n">
        <v>46003.42837962963</v>
      </c>
      <c r="C2312" s="1" t="n">
        <v>46098</v>
      </c>
      <c r="D2312" t="inlineStr">
        <is>
          <t>UPPSALA LÄN</t>
        </is>
      </c>
      <c r="E2312" t="inlineStr">
        <is>
          <t>HEBY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33976-2025</t>
        </is>
      </c>
      <c r="B2313" s="1" t="n">
        <v>45843</v>
      </c>
      <c r="C2313" s="1" t="n">
        <v>46098</v>
      </c>
      <c r="D2313" t="inlineStr">
        <is>
          <t>UPPSALA LÄN</t>
        </is>
      </c>
      <c r="E2313" t="inlineStr">
        <is>
          <t>KNIVSTA</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62158-2023</t>
        </is>
      </c>
      <c r="B2314" s="1" t="n">
        <v>45267</v>
      </c>
      <c r="C2314" s="1" t="n">
        <v>46098</v>
      </c>
      <c r="D2314" t="inlineStr">
        <is>
          <t>UPPSALA LÄN</t>
        </is>
      </c>
      <c r="E2314" t="inlineStr">
        <is>
          <t>ENKÖPING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29901-2023</t>
        </is>
      </c>
      <c r="B2315" s="1" t="n">
        <v>45107</v>
      </c>
      <c r="C2315" s="1" t="n">
        <v>46098</v>
      </c>
      <c r="D2315" t="inlineStr">
        <is>
          <t>UPPSALA LÄN</t>
        </is>
      </c>
      <c r="E2315" t="inlineStr">
        <is>
          <t>UPPSALA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29926-2023</t>
        </is>
      </c>
      <c r="B2316" s="1" t="n">
        <v>45107</v>
      </c>
      <c r="C2316" s="1" t="n">
        <v>46098</v>
      </c>
      <c r="D2316" t="inlineStr">
        <is>
          <t>UPPSALA LÄN</t>
        </is>
      </c>
      <c r="E2316" t="inlineStr">
        <is>
          <t>UPPSALA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61884-2025</t>
        </is>
      </c>
      <c r="B2317" s="1" t="n">
        <v>46003.43225694444</v>
      </c>
      <c r="C2317" s="1" t="n">
        <v>46098</v>
      </c>
      <c r="D2317" t="inlineStr">
        <is>
          <t>UPPSALA LÄN</t>
        </is>
      </c>
      <c r="E2317" t="inlineStr">
        <is>
          <t>HEBY</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5391-2024</t>
        </is>
      </c>
      <c r="B2318" s="1" t="n">
        <v>45331</v>
      </c>
      <c r="C2318" s="1" t="n">
        <v>46098</v>
      </c>
      <c r="D2318" t="inlineStr">
        <is>
          <t>UPPSALA LÄN</t>
        </is>
      </c>
      <c r="E2318" t="inlineStr">
        <is>
          <t>HEBY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61886-2025</t>
        </is>
      </c>
      <c r="B2319" s="1" t="n">
        <v>46003.43425925926</v>
      </c>
      <c r="C2319" s="1" t="n">
        <v>46098</v>
      </c>
      <c r="D2319" t="inlineStr">
        <is>
          <t>UPPSALA LÄN</t>
        </is>
      </c>
      <c r="E2319" t="inlineStr">
        <is>
          <t>HEBY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60350-2022</t>
        </is>
      </c>
      <c r="B2320" s="1" t="n">
        <v>44910</v>
      </c>
      <c r="C2320" s="1" t="n">
        <v>46098</v>
      </c>
      <c r="D2320" t="inlineStr">
        <is>
          <t>UPPSALA LÄN</t>
        </is>
      </c>
      <c r="E2320" t="inlineStr">
        <is>
          <t>ENKÖPING</t>
        </is>
      </c>
      <c r="F2320" t="inlineStr">
        <is>
          <t>Allmännings- och besparingsskogar</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26395-2025</t>
        </is>
      </c>
      <c r="B2321" s="1" t="n">
        <v>45807</v>
      </c>
      <c r="C2321" s="1" t="n">
        <v>46098</v>
      </c>
      <c r="D2321" t="inlineStr">
        <is>
          <t>UPPSALA LÄN</t>
        </is>
      </c>
      <c r="E2321" t="inlineStr">
        <is>
          <t>ÖSTHAMMAR</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33946-2025</t>
        </is>
      </c>
      <c r="B2322" s="1" t="n">
        <v>45842.65422453704</v>
      </c>
      <c r="C2322" s="1" t="n">
        <v>46098</v>
      </c>
      <c r="D2322" t="inlineStr">
        <is>
          <t>UPPSALA LÄN</t>
        </is>
      </c>
      <c r="E2322" t="inlineStr">
        <is>
          <t>TIERP</t>
        </is>
      </c>
      <c r="F2322" t="inlineStr">
        <is>
          <t>Bergvik skog öst AB</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61671-2025</t>
        </is>
      </c>
      <c r="B2323" s="1" t="n">
        <v>46002.47112268519</v>
      </c>
      <c r="C2323" s="1" t="n">
        <v>46098</v>
      </c>
      <c r="D2323" t="inlineStr">
        <is>
          <t>UPPSALA LÄN</t>
        </is>
      </c>
      <c r="E2323" t="inlineStr">
        <is>
          <t>TIERP</t>
        </is>
      </c>
      <c r="F2323" t="inlineStr">
        <is>
          <t>Bergvik skog öst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61674-2025</t>
        </is>
      </c>
      <c r="B2324" s="1" t="n">
        <v>46002.48126157407</v>
      </c>
      <c r="C2324" s="1" t="n">
        <v>46098</v>
      </c>
      <c r="D2324" t="inlineStr">
        <is>
          <t>UPPSALA LÄN</t>
        </is>
      </c>
      <c r="E2324" t="inlineStr">
        <is>
          <t>TIERP</t>
        </is>
      </c>
      <c r="F2324" t="inlineStr">
        <is>
          <t>Bergvik skog öst AB</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33964-2025</t>
        </is>
      </c>
      <c r="B2325" s="1" t="n">
        <v>45842.74049768518</v>
      </c>
      <c r="C2325" s="1" t="n">
        <v>46098</v>
      </c>
      <c r="D2325" t="inlineStr">
        <is>
          <t>UPPSALA LÄN</t>
        </is>
      </c>
      <c r="E2325" t="inlineStr">
        <is>
          <t>UPPSALA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33974-2025</t>
        </is>
      </c>
      <c r="B2326" s="1" t="n">
        <v>45843.305625</v>
      </c>
      <c r="C2326" s="1" t="n">
        <v>46098</v>
      </c>
      <c r="D2326" t="inlineStr">
        <is>
          <t>UPPSALA LÄN</t>
        </is>
      </c>
      <c r="E2326" t="inlineStr">
        <is>
          <t>KNIVSTA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61599-2025</t>
        </is>
      </c>
      <c r="B2327" s="1" t="n">
        <v>46002.361875</v>
      </c>
      <c r="C2327" s="1" t="n">
        <v>46098</v>
      </c>
      <c r="D2327" t="inlineStr">
        <is>
          <t>UPPSALA LÄN</t>
        </is>
      </c>
      <c r="E2327" t="inlineStr">
        <is>
          <t>TIERP</t>
        </is>
      </c>
      <c r="F2327" t="inlineStr">
        <is>
          <t>Övriga Aktiebolag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18144-2022</t>
        </is>
      </c>
      <c r="B2328" s="1" t="n">
        <v>44684</v>
      </c>
      <c r="C2328" s="1" t="n">
        <v>46098</v>
      </c>
      <c r="D2328" t="inlineStr">
        <is>
          <t>UPPSALA LÄN</t>
        </is>
      </c>
      <c r="E2328" t="inlineStr">
        <is>
          <t>HEBY</t>
        </is>
      </c>
      <c r="F2328" t="inlineStr">
        <is>
          <t>Bergvik skog väst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62537-2025</t>
        </is>
      </c>
      <c r="B2329" s="1" t="n">
        <v>46007.64109953704</v>
      </c>
      <c r="C2329" s="1" t="n">
        <v>46098</v>
      </c>
      <c r="D2329" t="inlineStr">
        <is>
          <t>UPPSALA LÄN</t>
        </is>
      </c>
      <c r="E2329" t="inlineStr">
        <is>
          <t>TIERP</t>
        </is>
      </c>
      <c r="F2329" t="inlineStr">
        <is>
          <t>Bergvik skog öst AB</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36478-2023</t>
        </is>
      </c>
      <c r="B2330" s="1" t="n">
        <v>45152</v>
      </c>
      <c r="C2330" s="1" t="n">
        <v>46098</v>
      </c>
      <c r="D2330" t="inlineStr">
        <is>
          <t>UPPSALA LÄN</t>
        </is>
      </c>
      <c r="E2330" t="inlineStr">
        <is>
          <t>UPPSALA</t>
        </is>
      </c>
      <c r="F2330" t="inlineStr">
        <is>
          <t>Allmännings- och besparingsskogar</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3314-2025</t>
        </is>
      </c>
      <c r="B2331" s="1" t="n">
        <v>45679</v>
      </c>
      <c r="C2331" s="1" t="n">
        <v>46098</v>
      </c>
      <c r="D2331" t="inlineStr">
        <is>
          <t>UPPSALA LÄN</t>
        </is>
      </c>
      <c r="E2331" t="inlineStr">
        <is>
          <t>UPPSALA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33972-2025</t>
        </is>
      </c>
      <c r="B2332" s="1" t="n">
        <v>45842.97236111111</v>
      </c>
      <c r="C2332" s="1" t="n">
        <v>46098</v>
      </c>
      <c r="D2332" t="inlineStr">
        <is>
          <t>UPPSALA LÄN</t>
        </is>
      </c>
      <c r="E2332" t="inlineStr">
        <is>
          <t>ÖSTHAMMAR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52969-2023</t>
        </is>
      </c>
      <c r="B2333" s="1" t="n">
        <v>45226.60010416667</v>
      </c>
      <c r="C2333" s="1" t="n">
        <v>46098</v>
      </c>
      <c r="D2333" t="inlineStr">
        <is>
          <t>UPPSALA LÄN</t>
        </is>
      </c>
      <c r="E2333" t="inlineStr">
        <is>
          <t>TIERP</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62484-2025</t>
        </is>
      </c>
      <c r="B2334" s="1" t="n">
        <v>46007.56385416666</v>
      </c>
      <c r="C2334" s="1" t="n">
        <v>46098</v>
      </c>
      <c r="D2334" t="inlineStr">
        <is>
          <t>UPPSALA LÄN</t>
        </is>
      </c>
      <c r="E2334" t="inlineStr">
        <is>
          <t>TIERP</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18994-2025</t>
        </is>
      </c>
      <c r="B2335" s="1" t="n">
        <v>45764.57350694444</v>
      </c>
      <c r="C2335" s="1" t="n">
        <v>46098</v>
      </c>
      <c r="D2335" t="inlineStr">
        <is>
          <t>UPPSALA LÄN</t>
        </is>
      </c>
      <c r="E2335" t="inlineStr">
        <is>
          <t>ENKÖPING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18148-2022</t>
        </is>
      </c>
      <c r="B2336" s="1" t="n">
        <v>44684</v>
      </c>
      <c r="C2336" s="1" t="n">
        <v>46098</v>
      </c>
      <c r="D2336" t="inlineStr">
        <is>
          <t>UPPSALA LÄN</t>
        </is>
      </c>
      <c r="E2336" t="inlineStr">
        <is>
          <t>HEBY</t>
        </is>
      </c>
      <c r="F2336" t="inlineStr">
        <is>
          <t>Bergvik skog väst AB</t>
        </is>
      </c>
      <c r="G2336" t="n">
        <v>41.8</v>
      </c>
      <c r="H2336" t="n">
        <v>0</v>
      </c>
      <c r="I2336" t="n">
        <v>0</v>
      </c>
      <c r="J2336" t="n">
        <v>0</v>
      </c>
      <c r="K2336" t="n">
        <v>0</v>
      </c>
      <c r="L2336" t="n">
        <v>0</v>
      </c>
      <c r="M2336" t="n">
        <v>0</v>
      </c>
      <c r="N2336" t="n">
        <v>0</v>
      </c>
      <c r="O2336" t="n">
        <v>0</v>
      </c>
      <c r="P2336" t="n">
        <v>0</v>
      </c>
      <c r="Q2336" t="n">
        <v>0</v>
      </c>
      <c r="R2336" s="2" t="inlineStr"/>
    </row>
    <row r="2337" ht="15" customHeight="1">
      <c r="A2337" t="inlineStr">
        <is>
          <t>A 18625-2025</t>
        </is>
      </c>
      <c r="B2337" s="1" t="n">
        <v>45763.52744212963</v>
      </c>
      <c r="C2337" s="1" t="n">
        <v>46098</v>
      </c>
      <c r="D2337" t="inlineStr">
        <is>
          <t>UPPSALA LÄN</t>
        </is>
      </c>
      <c r="E2337" t="inlineStr">
        <is>
          <t>UPPSALA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437-2023</t>
        </is>
      </c>
      <c r="B2338" s="1" t="n">
        <v>44924</v>
      </c>
      <c r="C2338" s="1" t="n">
        <v>46098</v>
      </c>
      <c r="D2338" t="inlineStr">
        <is>
          <t>UPPSALA LÄN</t>
        </is>
      </c>
      <c r="E2338" t="inlineStr">
        <is>
          <t>TIERP</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57848-2024</t>
        </is>
      </c>
      <c r="B2339" s="1" t="n">
        <v>45631.40947916666</v>
      </c>
      <c r="C2339" s="1" t="n">
        <v>46098</v>
      </c>
      <c r="D2339" t="inlineStr">
        <is>
          <t>UPPSALA LÄN</t>
        </is>
      </c>
      <c r="E2339" t="inlineStr">
        <is>
          <t>ENKÖPING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49601-2024</t>
        </is>
      </c>
      <c r="B2340" s="1" t="n">
        <v>45596.56288194445</v>
      </c>
      <c r="C2340" s="1" t="n">
        <v>46098</v>
      </c>
      <c r="D2340" t="inlineStr">
        <is>
          <t>UPPSALA LÄN</t>
        </is>
      </c>
      <c r="E2340" t="inlineStr">
        <is>
          <t>ENKÖPING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33973-2025</t>
        </is>
      </c>
      <c r="B2341" s="1" t="n">
        <v>45842.98429398148</v>
      </c>
      <c r="C2341" s="1" t="n">
        <v>46098</v>
      </c>
      <c r="D2341" t="inlineStr">
        <is>
          <t>UPPSALA LÄN</t>
        </is>
      </c>
      <c r="E2341" t="inlineStr">
        <is>
          <t>ÖSTHAMMAR</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33975-2025</t>
        </is>
      </c>
      <c r="B2342" s="1" t="n">
        <v>45843.30805555556</v>
      </c>
      <c r="C2342" s="1" t="n">
        <v>46098</v>
      </c>
      <c r="D2342" t="inlineStr">
        <is>
          <t>UPPSALA LÄN</t>
        </is>
      </c>
      <c r="E2342" t="inlineStr">
        <is>
          <t>KNIVSTA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34016-2025</t>
        </is>
      </c>
      <c r="B2343" s="1" t="n">
        <v>45845</v>
      </c>
      <c r="C2343" s="1" t="n">
        <v>46098</v>
      </c>
      <c r="D2343" t="inlineStr">
        <is>
          <t>UPPSALA LÄN</t>
        </is>
      </c>
      <c r="E2343" t="inlineStr">
        <is>
          <t>HEBY</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34112-2025</t>
        </is>
      </c>
      <c r="B2344" s="1" t="n">
        <v>45845.50091435185</v>
      </c>
      <c r="C2344" s="1" t="n">
        <v>46098</v>
      </c>
      <c r="D2344" t="inlineStr">
        <is>
          <t>UPPSALA LÄN</t>
        </is>
      </c>
      <c r="E2344" t="inlineStr">
        <is>
          <t>TIERP</t>
        </is>
      </c>
      <c r="F2344" t="inlineStr">
        <is>
          <t>Bergvik skog väst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34114-2025</t>
        </is>
      </c>
      <c r="B2345" s="1" t="n">
        <v>45845.50322916666</v>
      </c>
      <c r="C2345" s="1" t="n">
        <v>46098</v>
      </c>
      <c r="D2345" t="inlineStr">
        <is>
          <t>UPPSALA LÄN</t>
        </is>
      </c>
      <c r="E2345" t="inlineStr">
        <is>
          <t>TIERP</t>
        </is>
      </c>
      <c r="F2345" t="inlineStr">
        <is>
          <t>Bergvik skog väst AB</t>
        </is>
      </c>
      <c r="G2345" t="n">
        <v>18.6</v>
      </c>
      <c r="H2345" t="n">
        <v>0</v>
      </c>
      <c r="I2345" t="n">
        <v>0</v>
      </c>
      <c r="J2345" t="n">
        <v>0</v>
      </c>
      <c r="K2345" t="n">
        <v>0</v>
      </c>
      <c r="L2345" t="n">
        <v>0</v>
      </c>
      <c r="M2345" t="n">
        <v>0</v>
      </c>
      <c r="N2345" t="n">
        <v>0</v>
      </c>
      <c r="O2345" t="n">
        <v>0</v>
      </c>
      <c r="P2345" t="n">
        <v>0</v>
      </c>
      <c r="Q2345" t="n">
        <v>0</v>
      </c>
      <c r="R2345" s="2" t="inlineStr"/>
    </row>
    <row r="2346" ht="15" customHeight="1">
      <c r="A2346" t="inlineStr">
        <is>
          <t>A 34132-2025</t>
        </is>
      </c>
      <c r="B2346" s="1" t="n">
        <v>45845.53202546296</v>
      </c>
      <c r="C2346" s="1" t="n">
        <v>46098</v>
      </c>
      <c r="D2346" t="inlineStr">
        <is>
          <t>UPPSALA LÄN</t>
        </is>
      </c>
      <c r="E2346" t="inlineStr">
        <is>
          <t>UPPSALA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62042-2025</t>
        </is>
      </c>
      <c r="B2347" s="1" t="n">
        <v>46005</v>
      </c>
      <c r="C2347" s="1" t="n">
        <v>46098</v>
      </c>
      <c r="D2347" t="inlineStr">
        <is>
          <t>UPPSALA LÄN</t>
        </is>
      </c>
      <c r="E2347" t="inlineStr">
        <is>
          <t>HEBY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57770-2025</t>
        </is>
      </c>
      <c r="B2348" s="1" t="n">
        <v>45981</v>
      </c>
      <c r="C2348" s="1" t="n">
        <v>46098</v>
      </c>
      <c r="D2348" t="inlineStr">
        <is>
          <t>UPPSALA LÄN</t>
        </is>
      </c>
      <c r="E2348" t="inlineStr">
        <is>
          <t>UPPSALA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33954-2025</t>
        </is>
      </c>
      <c r="B2349" s="1" t="n">
        <v>45842.67362268519</v>
      </c>
      <c r="C2349" s="1" t="n">
        <v>46098</v>
      </c>
      <c r="D2349" t="inlineStr">
        <is>
          <t>UPPSALA LÄN</t>
        </is>
      </c>
      <c r="E2349" t="inlineStr">
        <is>
          <t>TIERP</t>
        </is>
      </c>
      <c r="F2349" t="inlineStr">
        <is>
          <t>Bergvik skog öst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62105-2025</t>
        </is>
      </c>
      <c r="B2350" s="1" t="n">
        <v>46006.42108796296</v>
      </c>
      <c r="C2350" s="1" t="n">
        <v>46098</v>
      </c>
      <c r="D2350" t="inlineStr">
        <is>
          <t>UPPSALA LÄN</t>
        </is>
      </c>
      <c r="E2350" t="inlineStr">
        <is>
          <t>HEBY</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33953-2025</t>
        </is>
      </c>
      <c r="B2351" s="1" t="n">
        <v>45842.67251157408</v>
      </c>
      <c r="C2351" s="1" t="n">
        <v>46098</v>
      </c>
      <c r="D2351" t="inlineStr">
        <is>
          <t>UPPSALA LÄN</t>
        </is>
      </c>
      <c r="E2351" t="inlineStr">
        <is>
          <t>TIERP</t>
        </is>
      </c>
      <c r="F2351" t="inlineStr">
        <is>
          <t>Bergvik skog öst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62475-2025</t>
        </is>
      </c>
      <c r="B2352" s="1" t="n">
        <v>46007.55006944444</v>
      </c>
      <c r="C2352" s="1" t="n">
        <v>46098</v>
      </c>
      <c r="D2352" t="inlineStr">
        <is>
          <t>UPPSALA LÄN</t>
        </is>
      </c>
      <c r="E2352" t="inlineStr">
        <is>
          <t>HEBY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34596-2025</t>
        </is>
      </c>
      <c r="B2353" s="1" t="n">
        <v>45847.64015046296</v>
      </c>
      <c r="C2353" s="1" t="n">
        <v>46098</v>
      </c>
      <c r="D2353" t="inlineStr">
        <is>
          <t>UPPSALA LÄN</t>
        </is>
      </c>
      <c r="E2353" t="inlineStr">
        <is>
          <t>HEBY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11841-2023</t>
        </is>
      </c>
      <c r="B2354" s="1" t="n">
        <v>44995.3221412037</v>
      </c>
      <c r="C2354" s="1" t="n">
        <v>46098</v>
      </c>
      <c r="D2354" t="inlineStr">
        <is>
          <t>UPPSALA LÄN</t>
        </is>
      </c>
      <c r="E2354" t="inlineStr">
        <is>
          <t>KNIVSTA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62599-2025</t>
        </is>
      </c>
      <c r="B2355" s="1" t="n">
        <v>46007.91961805556</v>
      </c>
      <c r="C2355" s="1" t="n">
        <v>46098</v>
      </c>
      <c r="D2355" t="inlineStr">
        <is>
          <t>UPPSALA LÄN</t>
        </is>
      </c>
      <c r="E2355" t="inlineStr">
        <is>
          <t>ENKÖPING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29747-2025</t>
        </is>
      </c>
      <c r="B2356" s="1" t="n">
        <v>45825</v>
      </c>
      <c r="C2356" s="1" t="n">
        <v>46098</v>
      </c>
      <c r="D2356" t="inlineStr">
        <is>
          <t>UPPSALA LÄN</t>
        </is>
      </c>
      <c r="E2356" t="inlineStr">
        <is>
          <t>HEBY</t>
        </is>
      </c>
      <c r="F2356" t="inlineStr">
        <is>
          <t>Bergvik skog väst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34455-2025</t>
        </is>
      </c>
      <c r="B2357" s="1" t="n">
        <v>45847.32696759259</v>
      </c>
      <c r="C2357" s="1" t="n">
        <v>46098</v>
      </c>
      <c r="D2357" t="inlineStr">
        <is>
          <t>UPPSALA LÄN</t>
        </is>
      </c>
      <c r="E2357" t="inlineStr">
        <is>
          <t>TIERP</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62772-2025</t>
        </is>
      </c>
      <c r="B2358" s="1" t="n">
        <v>46008.60365740741</v>
      </c>
      <c r="C2358" s="1" t="n">
        <v>46098</v>
      </c>
      <c r="D2358" t="inlineStr">
        <is>
          <t>UPPSALA LÄN</t>
        </is>
      </c>
      <c r="E2358" t="inlineStr">
        <is>
          <t>ENKÖPING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34559-2025</t>
        </is>
      </c>
      <c r="B2359" s="1" t="n">
        <v>45847.574375</v>
      </c>
      <c r="C2359" s="1" t="n">
        <v>46098</v>
      </c>
      <c r="D2359" t="inlineStr">
        <is>
          <t>UPPSALA LÄN</t>
        </is>
      </c>
      <c r="E2359" t="inlineStr">
        <is>
          <t>HEBY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63004-2025</t>
        </is>
      </c>
      <c r="B2360" s="1" t="n">
        <v>46009.56873842593</v>
      </c>
      <c r="C2360" s="1" t="n">
        <v>46098</v>
      </c>
      <c r="D2360" t="inlineStr">
        <is>
          <t>UPPSALA LÄN</t>
        </is>
      </c>
      <c r="E2360" t="inlineStr">
        <is>
          <t>ÄLVKARLEBY</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62938-2025</t>
        </is>
      </c>
      <c r="B2361" s="1" t="n">
        <v>46009.42092592592</v>
      </c>
      <c r="C2361" s="1" t="n">
        <v>46098</v>
      </c>
      <c r="D2361" t="inlineStr">
        <is>
          <t>UPPSALA LÄN</t>
        </is>
      </c>
      <c r="E2361" t="inlineStr">
        <is>
          <t>ÄLVKARLEBY</t>
        </is>
      </c>
      <c r="F2361" t="inlineStr">
        <is>
          <t>Bergvik skog väst AB</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34072-2025</t>
        </is>
      </c>
      <c r="B2362" s="1" t="n">
        <v>45845</v>
      </c>
      <c r="C2362" s="1" t="n">
        <v>46098</v>
      </c>
      <c r="D2362" t="inlineStr">
        <is>
          <t>UPPSALA LÄN</t>
        </is>
      </c>
      <c r="E2362" t="inlineStr">
        <is>
          <t>HEBY</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63128-2025</t>
        </is>
      </c>
      <c r="B2363" s="1" t="n">
        <v>46009</v>
      </c>
      <c r="C2363" s="1" t="n">
        <v>46098</v>
      </c>
      <c r="D2363" t="inlineStr">
        <is>
          <t>UPPSALA LÄN</t>
        </is>
      </c>
      <c r="E2363" t="inlineStr">
        <is>
          <t>ENKÖPING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62745-2025</t>
        </is>
      </c>
      <c r="B2364" s="1" t="n">
        <v>46008.57596064815</v>
      </c>
      <c r="C2364" s="1" t="n">
        <v>46098</v>
      </c>
      <c r="D2364" t="inlineStr">
        <is>
          <t>UPPSALA LÄN</t>
        </is>
      </c>
      <c r="E2364" t="inlineStr">
        <is>
          <t>ÖSTHAMMAR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35647-2021</t>
        </is>
      </c>
      <c r="B2365" s="1" t="n">
        <v>44386</v>
      </c>
      <c r="C2365" s="1" t="n">
        <v>46098</v>
      </c>
      <c r="D2365" t="inlineStr">
        <is>
          <t>UPPSALA LÄN</t>
        </is>
      </c>
      <c r="E2365" t="inlineStr">
        <is>
          <t>ENKÖPING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62600-2025</t>
        </is>
      </c>
      <c r="B2366" s="1" t="n">
        <v>46007.92175925926</v>
      </c>
      <c r="C2366" s="1" t="n">
        <v>46098</v>
      </c>
      <c r="D2366" t="inlineStr">
        <is>
          <t>UPPSALA LÄN</t>
        </is>
      </c>
      <c r="E2366" t="inlineStr">
        <is>
          <t>ENKÖPING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62602-2025</t>
        </is>
      </c>
      <c r="B2367" s="1" t="n">
        <v>46007.92581018519</v>
      </c>
      <c r="C2367" s="1" t="n">
        <v>46098</v>
      </c>
      <c r="D2367" t="inlineStr">
        <is>
          <t>UPPSALA LÄN</t>
        </is>
      </c>
      <c r="E2367" t="inlineStr">
        <is>
          <t>ENKÖPING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62615-2025</t>
        </is>
      </c>
      <c r="B2368" s="1" t="n">
        <v>46008.32130787037</v>
      </c>
      <c r="C2368" s="1" t="n">
        <v>46098</v>
      </c>
      <c r="D2368" t="inlineStr">
        <is>
          <t>UPPSALA LÄN</t>
        </is>
      </c>
      <c r="E2368" t="inlineStr">
        <is>
          <t>TIERP</t>
        </is>
      </c>
      <c r="F2368" t="inlineStr">
        <is>
          <t>Bergvik skog öst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63059-2025</t>
        </is>
      </c>
      <c r="B2369" s="1" t="n">
        <v>46009.63920138889</v>
      </c>
      <c r="C2369" s="1" t="n">
        <v>46098</v>
      </c>
      <c r="D2369" t="inlineStr">
        <is>
          <t>UPPSALA LÄN</t>
        </is>
      </c>
      <c r="E2369" t="inlineStr">
        <is>
          <t>UPPSALA</t>
        </is>
      </c>
      <c r="G2369" t="n">
        <v>15.4</v>
      </c>
      <c r="H2369" t="n">
        <v>0</v>
      </c>
      <c r="I2369" t="n">
        <v>0</v>
      </c>
      <c r="J2369" t="n">
        <v>0</v>
      </c>
      <c r="K2369" t="n">
        <v>0</v>
      </c>
      <c r="L2369" t="n">
        <v>0</v>
      </c>
      <c r="M2369" t="n">
        <v>0</v>
      </c>
      <c r="N2369" t="n">
        <v>0</v>
      </c>
      <c r="O2369" t="n">
        <v>0</v>
      </c>
      <c r="P2369" t="n">
        <v>0</v>
      </c>
      <c r="Q2369" t="n">
        <v>0</v>
      </c>
      <c r="R2369" s="2" t="inlineStr"/>
    </row>
    <row r="2370" ht="15" customHeight="1">
      <c r="A2370" t="inlineStr">
        <is>
          <t>A 63066-2025</t>
        </is>
      </c>
      <c r="B2370" s="1" t="n">
        <v>46009</v>
      </c>
      <c r="C2370" s="1" t="n">
        <v>46098</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34859-2025</t>
        </is>
      </c>
      <c r="B2371" s="1" t="n">
        <v>45849.43511574074</v>
      </c>
      <c r="C2371" s="1" t="n">
        <v>46098</v>
      </c>
      <c r="D2371" t="inlineStr">
        <is>
          <t>UPPSALA LÄN</t>
        </is>
      </c>
      <c r="E2371" t="inlineStr">
        <is>
          <t>KNIVSTA</t>
        </is>
      </c>
      <c r="F2371" t="inlineStr">
        <is>
          <t>Holmen skog AB</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34864-2025</t>
        </is>
      </c>
      <c r="B2372" s="1" t="n">
        <v>45849.44028935185</v>
      </c>
      <c r="C2372" s="1" t="n">
        <v>46098</v>
      </c>
      <c r="D2372" t="inlineStr">
        <is>
          <t>UPPSALA LÄN</t>
        </is>
      </c>
      <c r="E2372" t="inlineStr">
        <is>
          <t>KNIVSTA</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34886-2025</t>
        </is>
      </c>
      <c r="B2373" s="1" t="n">
        <v>45849.47375</v>
      </c>
      <c r="C2373" s="1" t="n">
        <v>46098</v>
      </c>
      <c r="D2373" t="inlineStr">
        <is>
          <t>UPPSALA LÄN</t>
        </is>
      </c>
      <c r="E2373" t="inlineStr">
        <is>
          <t>HEBY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34922-2025</t>
        </is>
      </c>
      <c r="B2374" s="1" t="n">
        <v>45849.55525462963</v>
      </c>
      <c r="C2374" s="1" t="n">
        <v>46098</v>
      </c>
      <c r="D2374" t="inlineStr">
        <is>
          <t>UPPSALA LÄN</t>
        </is>
      </c>
      <c r="E2374" t="inlineStr">
        <is>
          <t>TIERP</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62872-2025</t>
        </is>
      </c>
      <c r="B2375" s="1" t="n">
        <v>46008.84649305556</v>
      </c>
      <c r="C2375" s="1" t="n">
        <v>46098</v>
      </c>
      <c r="D2375" t="inlineStr">
        <is>
          <t>UPPSALA LÄN</t>
        </is>
      </c>
      <c r="E2375" t="inlineStr">
        <is>
          <t>TIERP</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62874-2025</t>
        </is>
      </c>
      <c r="B2376" s="1" t="n">
        <v>46008.85138888889</v>
      </c>
      <c r="C2376" s="1" t="n">
        <v>46098</v>
      </c>
      <c r="D2376" t="inlineStr">
        <is>
          <t>UPPSALA LÄN</t>
        </is>
      </c>
      <c r="E2376" t="inlineStr">
        <is>
          <t>TIERP</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62601-2025</t>
        </is>
      </c>
      <c r="B2377" s="1" t="n">
        <v>46007.92395833333</v>
      </c>
      <c r="C2377" s="1" t="n">
        <v>46098</v>
      </c>
      <c r="D2377" t="inlineStr">
        <is>
          <t>UPPSALA LÄN</t>
        </is>
      </c>
      <c r="E2377" t="inlineStr">
        <is>
          <t>ENKÖPING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62624-2025</t>
        </is>
      </c>
      <c r="B2378" s="1" t="n">
        <v>46008.34482638889</v>
      </c>
      <c r="C2378" s="1" t="n">
        <v>46098</v>
      </c>
      <c r="D2378" t="inlineStr">
        <is>
          <t>UPPSALA LÄN</t>
        </is>
      </c>
      <c r="E2378" t="inlineStr">
        <is>
          <t>TIERP</t>
        </is>
      </c>
      <c r="F2378" t="inlineStr">
        <is>
          <t>Bergvik skog öst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25859-2024</t>
        </is>
      </c>
      <c r="B2379" s="1" t="n">
        <v>45467</v>
      </c>
      <c r="C2379" s="1" t="n">
        <v>46098</v>
      </c>
      <c r="D2379" t="inlineStr">
        <is>
          <t>UPPSALA LÄN</t>
        </is>
      </c>
      <c r="E2379" t="inlineStr">
        <is>
          <t>ÖSTHAMMAR</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10117-2025</t>
        </is>
      </c>
      <c r="B2380" s="1" t="n">
        <v>45719.59866898148</v>
      </c>
      <c r="C2380" s="1" t="n">
        <v>46098</v>
      </c>
      <c r="D2380" t="inlineStr">
        <is>
          <t>UPPSALA LÄN</t>
        </is>
      </c>
      <c r="E2380" t="inlineStr">
        <is>
          <t>ÖSTHAMMAR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62855-2025</t>
        </is>
      </c>
      <c r="B2381" s="1" t="n">
        <v>46008.7384375</v>
      </c>
      <c r="C2381" s="1" t="n">
        <v>46098</v>
      </c>
      <c r="D2381" t="inlineStr">
        <is>
          <t>UPPSALA LÄN</t>
        </is>
      </c>
      <c r="E2381" t="inlineStr">
        <is>
          <t>TIERP</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63331-2025</t>
        </is>
      </c>
      <c r="B2382" s="1" t="n">
        <v>46010.64234953704</v>
      </c>
      <c r="C2382" s="1" t="n">
        <v>46098</v>
      </c>
      <c r="D2382" t="inlineStr">
        <is>
          <t>UPPSALA LÄN</t>
        </is>
      </c>
      <c r="E2382" t="inlineStr">
        <is>
          <t>TIERP</t>
        </is>
      </c>
      <c r="F2382" t="inlineStr">
        <is>
          <t>Bergvik skog öst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63341-2025</t>
        </is>
      </c>
      <c r="B2383" s="1" t="n">
        <v>46010.65505787037</v>
      </c>
      <c r="C2383" s="1" t="n">
        <v>46098</v>
      </c>
      <c r="D2383" t="inlineStr">
        <is>
          <t>UPPSALA LÄN</t>
        </is>
      </c>
      <c r="E2383" t="inlineStr">
        <is>
          <t>ÄLVKARLEBY</t>
        </is>
      </c>
      <c r="F2383" t="inlineStr">
        <is>
          <t>Bergvik skog väst AB</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34893-2025</t>
        </is>
      </c>
      <c r="B2384" s="1" t="n">
        <v>45849.49259259259</v>
      </c>
      <c r="C2384" s="1" t="n">
        <v>46098</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63527-2025</t>
        </is>
      </c>
      <c r="B2385" s="1" t="n">
        <v>46013.55923611111</v>
      </c>
      <c r="C2385" s="1" t="n">
        <v>46098</v>
      </c>
      <c r="D2385" t="inlineStr">
        <is>
          <t>UPPSALA LÄN</t>
        </is>
      </c>
      <c r="E2385" t="inlineStr">
        <is>
          <t>UPPSALA</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63534-2025</t>
        </is>
      </c>
      <c r="B2386" s="1" t="n">
        <v>46013.57037037037</v>
      </c>
      <c r="C2386" s="1" t="n">
        <v>46098</v>
      </c>
      <c r="D2386" t="inlineStr">
        <is>
          <t>UPPSALA LÄN</t>
        </is>
      </c>
      <c r="E2386" t="inlineStr">
        <is>
          <t>UPPSALA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60820-2024</t>
        </is>
      </c>
      <c r="B2387" s="1" t="n">
        <v>45644.62677083333</v>
      </c>
      <c r="C2387" s="1" t="n">
        <v>46098</v>
      </c>
      <c r="D2387" t="inlineStr">
        <is>
          <t>UPPSALA LÄN</t>
        </is>
      </c>
      <c r="E2387" t="inlineStr">
        <is>
          <t>UPPSALA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63183-2025</t>
        </is>
      </c>
      <c r="B2388" s="1" t="n">
        <v>46010.42908564815</v>
      </c>
      <c r="C2388" s="1" t="n">
        <v>46098</v>
      </c>
      <c r="D2388" t="inlineStr">
        <is>
          <t>UPPSALA LÄN</t>
        </is>
      </c>
      <c r="E2388" t="inlineStr">
        <is>
          <t>ÄLVKARLEBY</t>
        </is>
      </c>
      <c r="F2388" t="inlineStr">
        <is>
          <t>Bergvik skog väst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29513-2025</t>
        </is>
      </c>
      <c r="B2389" s="1" t="n">
        <v>45825</v>
      </c>
      <c r="C2389" s="1" t="n">
        <v>46098</v>
      </c>
      <c r="D2389" t="inlineStr">
        <is>
          <t>UPPSALA LÄN</t>
        </is>
      </c>
      <c r="E2389" t="inlineStr">
        <is>
          <t>ENKÖPING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62086-2023</t>
        </is>
      </c>
      <c r="B2390" s="1" t="n">
        <v>45266.83394675926</v>
      </c>
      <c r="C2390" s="1" t="n">
        <v>46098</v>
      </c>
      <c r="D2390" t="inlineStr">
        <is>
          <t>UPPSALA LÄN</t>
        </is>
      </c>
      <c r="E2390" t="inlineStr">
        <is>
          <t>HEBY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35056-2025</t>
        </is>
      </c>
      <c r="B2391" s="1" t="n">
        <v>45852.39642361111</v>
      </c>
      <c r="C2391" s="1" t="n">
        <v>46098</v>
      </c>
      <c r="D2391" t="inlineStr">
        <is>
          <t>UPPSALA LÄN</t>
        </is>
      </c>
      <c r="E2391" t="inlineStr">
        <is>
          <t>UPPSALA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5402-2023</t>
        </is>
      </c>
      <c r="B2392" s="1" t="n">
        <v>44959</v>
      </c>
      <c r="C2392" s="1" t="n">
        <v>46098</v>
      </c>
      <c r="D2392" t="inlineStr">
        <is>
          <t>UPPSALA LÄN</t>
        </is>
      </c>
      <c r="E2392" t="inlineStr">
        <is>
          <t>KNIVSTA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35105-2025</t>
        </is>
      </c>
      <c r="B2393" s="1" t="n">
        <v>45852.57078703704</v>
      </c>
      <c r="C2393" s="1" t="n">
        <v>46098</v>
      </c>
      <c r="D2393" t="inlineStr">
        <is>
          <t>UPPSALA LÄN</t>
        </is>
      </c>
      <c r="E2393" t="inlineStr">
        <is>
          <t>TIERP</t>
        </is>
      </c>
      <c r="F2393" t="inlineStr">
        <is>
          <t>Bergvik skog väst AB</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18675-2024</t>
        </is>
      </c>
      <c r="B2394" s="1" t="n">
        <v>45426</v>
      </c>
      <c r="C2394" s="1" t="n">
        <v>46098</v>
      </c>
      <c r="D2394" t="inlineStr">
        <is>
          <t>UPPSALA LÄN</t>
        </is>
      </c>
      <c r="E2394" t="inlineStr">
        <is>
          <t>UPPSALA</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63348-2025</t>
        </is>
      </c>
      <c r="B2395" s="1" t="n">
        <v>46010.66298611111</v>
      </c>
      <c r="C2395" s="1" t="n">
        <v>46098</v>
      </c>
      <c r="D2395" t="inlineStr">
        <is>
          <t>UPPSALA LÄN</t>
        </is>
      </c>
      <c r="E2395" t="inlineStr">
        <is>
          <t>TIERP</t>
        </is>
      </c>
      <c r="F2395" t="inlineStr">
        <is>
          <t>Bergvik skog öst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63365-2025</t>
        </is>
      </c>
      <c r="B2396" s="1" t="n">
        <v>46010.70717592593</v>
      </c>
      <c r="C2396" s="1" t="n">
        <v>46098</v>
      </c>
      <c r="D2396" t="inlineStr">
        <is>
          <t>UPPSALA LÄN</t>
        </is>
      </c>
      <c r="E2396" t="inlineStr">
        <is>
          <t>ÄLVKARLEBY</t>
        </is>
      </c>
      <c r="F2396" t="inlineStr">
        <is>
          <t>Bergvik skog väst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35167-2025</t>
        </is>
      </c>
      <c r="B2397" s="1" t="n">
        <v>45852.72965277778</v>
      </c>
      <c r="C2397" s="1" t="n">
        <v>46098</v>
      </c>
      <c r="D2397" t="inlineStr">
        <is>
          <t>UPPSALA LÄN</t>
        </is>
      </c>
      <c r="E2397" t="inlineStr">
        <is>
          <t>UPPSALA</t>
        </is>
      </c>
      <c r="F2397" t="inlineStr">
        <is>
          <t>Holmen skog AB</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26656-2022</t>
        </is>
      </c>
      <c r="B2398" s="1" t="n">
        <v>44739</v>
      </c>
      <c r="C2398" s="1" t="n">
        <v>46098</v>
      </c>
      <c r="D2398" t="inlineStr">
        <is>
          <t>UPPSALA LÄN</t>
        </is>
      </c>
      <c r="E2398" t="inlineStr">
        <is>
          <t>TIERP</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35150-2025</t>
        </is>
      </c>
      <c r="B2399" s="1" t="n">
        <v>45852</v>
      </c>
      <c r="C2399" s="1" t="n">
        <v>46098</v>
      </c>
      <c r="D2399" t="inlineStr">
        <is>
          <t>UPPSALA LÄN</t>
        </is>
      </c>
      <c r="E2399" t="inlineStr">
        <is>
          <t>UPPSALA</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35011-2025</t>
        </is>
      </c>
      <c r="B2400" s="1" t="n">
        <v>45851.55418981481</v>
      </c>
      <c r="C2400" s="1" t="n">
        <v>46098</v>
      </c>
      <c r="D2400" t="inlineStr">
        <is>
          <t>UPPSALA LÄN</t>
        </is>
      </c>
      <c r="E2400" t="inlineStr">
        <is>
          <t>TIERP</t>
        </is>
      </c>
      <c r="F2400" t="inlineStr">
        <is>
          <t>Bergvik skog väst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35015-2025</t>
        </is>
      </c>
      <c r="B2401" s="1" t="n">
        <v>45851.62018518519</v>
      </c>
      <c r="C2401" s="1" t="n">
        <v>46098</v>
      </c>
      <c r="D2401" t="inlineStr">
        <is>
          <t>UPPSALA LÄN</t>
        </is>
      </c>
      <c r="E2401" t="inlineStr">
        <is>
          <t>UPPSALA</t>
        </is>
      </c>
      <c r="F2401" t="inlineStr">
        <is>
          <t>Bergvik skog öst AB</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63530-2025</t>
        </is>
      </c>
      <c r="B2402" s="1" t="n">
        <v>46013.56292824074</v>
      </c>
      <c r="C2402" s="1" t="n">
        <v>46098</v>
      </c>
      <c r="D2402" t="inlineStr">
        <is>
          <t>UPPSALA LÄN</t>
        </is>
      </c>
      <c r="E2402" t="inlineStr">
        <is>
          <t>UPPSALA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17844-2025</t>
        </is>
      </c>
      <c r="B2403" s="1" t="n">
        <v>45758.59920138889</v>
      </c>
      <c r="C2403" s="1" t="n">
        <v>46098</v>
      </c>
      <c r="D2403" t="inlineStr">
        <is>
          <t>UPPSALA LÄN</t>
        </is>
      </c>
      <c r="E2403" t="inlineStr">
        <is>
          <t>ENKÖPING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35198-2025</t>
        </is>
      </c>
      <c r="B2404" s="1" t="n">
        <v>45853</v>
      </c>
      <c r="C2404" s="1" t="n">
        <v>46098</v>
      </c>
      <c r="D2404" t="inlineStr">
        <is>
          <t>UPPSALA LÄN</t>
        </is>
      </c>
      <c r="E2404" t="inlineStr">
        <is>
          <t>HÅBO</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35155-2025</t>
        </is>
      </c>
      <c r="B2405" s="1" t="n">
        <v>45852.68978009259</v>
      </c>
      <c r="C2405" s="1" t="n">
        <v>46098</v>
      </c>
      <c r="D2405" t="inlineStr">
        <is>
          <t>UPPSALA LÄN</t>
        </is>
      </c>
      <c r="E2405" t="inlineStr">
        <is>
          <t>UPPSALA</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35148-2025</t>
        </is>
      </c>
      <c r="B2406" s="1" t="n">
        <v>45852.67366898148</v>
      </c>
      <c r="C2406" s="1" t="n">
        <v>46098</v>
      </c>
      <c r="D2406" t="inlineStr">
        <is>
          <t>UPPSALA LÄN</t>
        </is>
      </c>
      <c r="E2406" t="inlineStr">
        <is>
          <t>UPPSALA</t>
        </is>
      </c>
      <c r="F2406" t="inlineStr">
        <is>
          <t>Holmen skog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63263-2025</t>
        </is>
      </c>
      <c r="B2407" s="1" t="n">
        <v>46010.56049768518</v>
      </c>
      <c r="C2407" s="1" t="n">
        <v>46098</v>
      </c>
      <c r="D2407" t="inlineStr">
        <is>
          <t>UPPSALA LÄN</t>
        </is>
      </c>
      <c r="E2407" t="inlineStr">
        <is>
          <t>TIERP</t>
        </is>
      </c>
      <c r="F2407" t="inlineStr">
        <is>
          <t>Bergvik skog öst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35106-2025</t>
        </is>
      </c>
      <c r="B2408" s="1" t="n">
        <v>45852</v>
      </c>
      <c r="C2408" s="1" t="n">
        <v>46098</v>
      </c>
      <c r="D2408" t="inlineStr">
        <is>
          <t>UPPSALA LÄN</t>
        </is>
      </c>
      <c r="E2408" t="inlineStr">
        <is>
          <t>HEBY</t>
        </is>
      </c>
      <c r="F2408" t="inlineStr">
        <is>
          <t>Kyrkan</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19640-2025</t>
        </is>
      </c>
      <c r="B2409" s="1" t="n">
        <v>45770.65739583333</v>
      </c>
      <c r="C2409" s="1" t="n">
        <v>46098</v>
      </c>
      <c r="D2409" t="inlineStr">
        <is>
          <t>UPPSALA LÄN</t>
        </is>
      </c>
      <c r="E2409" t="inlineStr">
        <is>
          <t>ÖSTHAMMAR</t>
        </is>
      </c>
      <c r="F2409" t="inlineStr">
        <is>
          <t>Övriga Aktiebolag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63389-2025</t>
        </is>
      </c>
      <c r="B2410" s="1" t="n">
        <v>46011.70635416666</v>
      </c>
      <c r="C2410" s="1" t="n">
        <v>46098</v>
      </c>
      <c r="D2410" t="inlineStr">
        <is>
          <t>UPPSALA LÄN</t>
        </is>
      </c>
      <c r="E2410" t="inlineStr">
        <is>
          <t>UPPSALA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35053-2025</t>
        </is>
      </c>
      <c r="B2411" s="1" t="n">
        <v>45852.36871527778</v>
      </c>
      <c r="C2411" s="1" t="n">
        <v>46098</v>
      </c>
      <c r="D2411" t="inlineStr">
        <is>
          <t>UPPSALA LÄN</t>
        </is>
      </c>
      <c r="E2411" t="inlineStr">
        <is>
          <t>UPPSALA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64888-2023</t>
        </is>
      </c>
      <c r="B2412" s="1" t="n">
        <v>45282</v>
      </c>
      <c r="C2412" s="1" t="n">
        <v>46098</v>
      </c>
      <c r="D2412" t="inlineStr">
        <is>
          <t>UPPSALA LÄN</t>
        </is>
      </c>
      <c r="E2412" t="inlineStr">
        <is>
          <t>HEBY</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27837-2025</t>
        </is>
      </c>
      <c r="B2413" s="1" t="n">
        <v>45817.37207175926</v>
      </c>
      <c r="C2413" s="1" t="n">
        <v>46098</v>
      </c>
      <c r="D2413" t="inlineStr">
        <is>
          <t>UPPSALA LÄN</t>
        </is>
      </c>
      <c r="E2413" t="inlineStr">
        <is>
          <t>ENKÖPING</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35112-2025</t>
        </is>
      </c>
      <c r="B2414" s="1" t="n">
        <v>45852.58104166666</v>
      </c>
      <c r="C2414" s="1" t="n">
        <v>46098</v>
      </c>
      <c r="D2414" t="inlineStr">
        <is>
          <t>UPPSALA LÄN</t>
        </is>
      </c>
      <c r="E2414" t="inlineStr">
        <is>
          <t>TIERP</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38571-2023</t>
        </is>
      </c>
      <c r="B2415" s="1" t="n">
        <v>45162.6177662037</v>
      </c>
      <c r="C2415" s="1" t="n">
        <v>46098</v>
      </c>
      <c r="D2415" t="inlineStr">
        <is>
          <t>UPPSALA LÄN</t>
        </is>
      </c>
      <c r="E2415" t="inlineStr">
        <is>
          <t>ÖSTHAMMAR</t>
        </is>
      </c>
      <c r="F2415" t="inlineStr">
        <is>
          <t>Bergvik skog öst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3353-2023</t>
        </is>
      </c>
      <c r="B2416" s="1" t="n">
        <v>44949.4708912037</v>
      </c>
      <c r="C2416" s="1" t="n">
        <v>46098</v>
      </c>
      <c r="D2416" t="inlineStr">
        <is>
          <t>UPPSALA LÄN</t>
        </is>
      </c>
      <c r="E2416" t="inlineStr">
        <is>
          <t>UPPSALA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35014-2025</t>
        </is>
      </c>
      <c r="B2417" s="1" t="n">
        <v>45851.60097222222</v>
      </c>
      <c r="C2417" s="1" t="n">
        <v>46098</v>
      </c>
      <c r="D2417" t="inlineStr">
        <is>
          <t>UPPSALA LÄN</t>
        </is>
      </c>
      <c r="E2417" t="inlineStr">
        <is>
          <t>UPPSALA</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63258-2025</t>
        </is>
      </c>
      <c r="B2418" s="1" t="n">
        <v>46010.55542824074</v>
      </c>
      <c r="C2418" s="1" t="n">
        <v>46098</v>
      </c>
      <c r="D2418" t="inlineStr">
        <is>
          <t>UPPSALA LÄN</t>
        </is>
      </c>
      <c r="E2418" t="inlineStr">
        <is>
          <t>TIERP</t>
        </is>
      </c>
      <c r="F2418" t="inlineStr">
        <is>
          <t>Bergvik skog öst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63261-2025</t>
        </is>
      </c>
      <c r="B2419" s="1" t="n">
        <v>46010.55767361111</v>
      </c>
      <c r="C2419" s="1" t="n">
        <v>46098</v>
      </c>
      <c r="D2419" t="inlineStr">
        <is>
          <t>UPPSALA LÄN</t>
        </is>
      </c>
      <c r="E2419" t="inlineStr">
        <is>
          <t>TIERP</t>
        </is>
      </c>
      <c r="F2419" t="inlineStr">
        <is>
          <t>Bergvik skog öst AB</t>
        </is>
      </c>
      <c r="G2419" t="n">
        <v>16.6</v>
      </c>
      <c r="H2419" t="n">
        <v>0</v>
      </c>
      <c r="I2419" t="n">
        <v>0</v>
      </c>
      <c r="J2419" t="n">
        <v>0</v>
      </c>
      <c r="K2419" t="n">
        <v>0</v>
      </c>
      <c r="L2419" t="n">
        <v>0</v>
      </c>
      <c r="M2419" t="n">
        <v>0</v>
      </c>
      <c r="N2419" t="n">
        <v>0</v>
      </c>
      <c r="O2419" t="n">
        <v>0</v>
      </c>
      <c r="P2419" t="n">
        <v>0</v>
      </c>
      <c r="Q2419" t="n">
        <v>0</v>
      </c>
      <c r="R2419" s="2" t="inlineStr"/>
    </row>
    <row r="2420" ht="15" customHeight="1">
      <c r="A2420" t="inlineStr">
        <is>
          <t>A 35118-2025</t>
        </is>
      </c>
      <c r="B2420" s="1" t="n">
        <v>45852.59546296296</v>
      </c>
      <c r="C2420" s="1" t="n">
        <v>46098</v>
      </c>
      <c r="D2420" t="inlineStr">
        <is>
          <t>UPPSALA LÄN</t>
        </is>
      </c>
      <c r="E2420" t="inlineStr">
        <is>
          <t>TIERP</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27269-2025</t>
        </is>
      </c>
      <c r="B2421" s="1" t="n">
        <v>45812.49445601852</v>
      </c>
      <c r="C2421" s="1" t="n">
        <v>46098</v>
      </c>
      <c r="D2421" t="inlineStr">
        <is>
          <t>UPPSALA LÄN</t>
        </is>
      </c>
      <c r="E2421" t="inlineStr">
        <is>
          <t>TIERP</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61280-2024</t>
        </is>
      </c>
      <c r="B2422" s="1" t="n">
        <v>45645</v>
      </c>
      <c r="C2422" s="1" t="n">
        <v>46098</v>
      </c>
      <c r="D2422" t="inlineStr">
        <is>
          <t>UPPSALA LÄN</t>
        </is>
      </c>
      <c r="E2422" t="inlineStr">
        <is>
          <t>TIERP</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63532-2025</t>
        </is>
      </c>
      <c r="B2423" s="1" t="n">
        <v>46013.56641203703</v>
      </c>
      <c r="C2423" s="1" t="n">
        <v>46098</v>
      </c>
      <c r="D2423" t="inlineStr">
        <is>
          <t>UPPSALA LÄN</t>
        </is>
      </c>
      <c r="E2423" t="inlineStr">
        <is>
          <t>UPPSALA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35108-2025</t>
        </is>
      </c>
      <c r="B2424" s="1" t="n">
        <v>45852.5746412037</v>
      </c>
      <c r="C2424" s="1" t="n">
        <v>46098</v>
      </c>
      <c r="D2424" t="inlineStr">
        <is>
          <t>UPPSALA LÄN</t>
        </is>
      </c>
      <c r="E2424" t="inlineStr">
        <is>
          <t>TIERP</t>
        </is>
      </c>
      <c r="F2424" t="inlineStr">
        <is>
          <t>Bergvik skog väst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5884-2023</t>
        </is>
      </c>
      <c r="B2425" s="1" t="n">
        <v>44963</v>
      </c>
      <c r="C2425" s="1" t="n">
        <v>46098</v>
      </c>
      <c r="D2425" t="inlineStr">
        <is>
          <t>UPPSALA LÄN</t>
        </is>
      </c>
      <c r="E2425" t="inlineStr">
        <is>
          <t>ÖSTHAMMAR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35265-2025</t>
        </is>
      </c>
      <c r="B2426" s="1" t="n">
        <v>45852</v>
      </c>
      <c r="C2426" s="1" t="n">
        <v>46098</v>
      </c>
      <c r="D2426" t="inlineStr">
        <is>
          <t>UPPSALA LÄN</t>
        </is>
      </c>
      <c r="E2426" t="inlineStr">
        <is>
          <t>HEBY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35012-2025</t>
        </is>
      </c>
      <c r="B2427" s="1" t="n">
        <v>45851.55586805556</v>
      </c>
      <c r="C2427" s="1" t="n">
        <v>46098</v>
      </c>
      <c r="D2427" t="inlineStr">
        <is>
          <t>UPPSALA LÄN</t>
        </is>
      </c>
      <c r="E2427" t="inlineStr">
        <is>
          <t>TIERP</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35013-2025</t>
        </is>
      </c>
      <c r="B2428" s="1" t="n">
        <v>45851.55748842593</v>
      </c>
      <c r="C2428" s="1" t="n">
        <v>46098</v>
      </c>
      <c r="D2428" t="inlineStr">
        <is>
          <t>UPPSALA LÄN</t>
        </is>
      </c>
      <c r="E2428" t="inlineStr">
        <is>
          <t>TIERP</t>
        </is>
      </c>
      <c r="F2428" t="inlineStr">
        <is>
          <t>Bergvik skog väst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63384-2025</t>
        </is>
      </c>
      <c r="B2429" s="1" t="n">
        <v>46011.5487037037</v>
      </c>
      <c r="C2429" s="1" t="n">
        <v>46098</v>
      </c>
      <c r="D2429" t="inlineStr">
        <is>
          <t>UPPSALA LÄN</t>
        </is>
      </c>
      <c r="E2429" t="inlineStr">
        <is>
          <t>TIERP</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12654-2025</t>
        </is>
      </c>
      <c r="B2430" s="1" t="n">
        <v>45733.41601851852</v>
      </c>
      <c r="C2430" s="1" t="n">
        <v>46098</v>
      </c>
      <c r="D2430" t="inlineStr">
        <is>
          <t>UPPSALA LÄN</t>
        </is>
      </c>
      <c r="E2430" t="inlineStr">
        <is>
          <t>ÖSTHAMMAR</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35296-2025</t>
        </is>
      </c>
      <c r="B2431" s="1" t="n">
        <v>45854.40615740741</v>
      </c>
      <c r="C2431" s="1" t="n">
        <v>46098</v>
      </c>
      <c r="D2431" t="inlineStr">
        <is>
          <t>UPPSALA LÄN</t>
        </is>
      </c>
      <c r="E2431" t="inlineStr">
        <is>
          <t>HEBY</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35318-2025</t>
        </is>
      </c>
      <c r="B2432" s="1" t="n">
        <v>45854.47917824074</v>
      </c>
      <c r="C2432" s="1" t="n">
        <v>46098</v>
      </c>
      <c r="D2432" t="inlineStr">
        <is>
          <t>UPPSALA LÄN</t>
        </is>
      </c>
      <c r="E2432" t="inlineStr">
        <is>
          <t>KNIVSTA</t>
        </is>
      </c>
      <c r="F2432" t="inlineStr">
        <is>
          <t>Holmen skog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35257-2025</t>
        </is>
      </c>
      <c r="B2433" s="1" t="n">
        <v>45853.7616087963</v>
      </c>
      <c r="C2433" s="1" t="n">
        <v>46098</v>
      </c>
      <c r="D2433" t="inlineStr">
        <is>
          <t>UPPSALA LÄN</t>
        </is>
      </c>
      <c r="E2433" t="inlineStr">
        <is>
          <t>HEBY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63259-2025</t>
        </is>
      </c>
      <c r="B2434" s="1" t="n">
        <v>46010.55642361111</v>
      </c>
      <c r="C2434" s="1" t="n">
        <v>46098</v>
      </c>
      <c r="D2434" t="inlineStr">
        <is>
          <t>UPPSALA LÄN</t>
        </is>
      </c>
      <c r="E2434" t="inlineStr">
        <is>
          <t>TIERP</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63262-2025</t>
        </is>
      </c>
      <c r="B2435" s="1" t="n">
        <v>46010.55979166667</v>
      </c>
      <c r="C2435" s="1" t="n">
        <v>46098</v>
      </c>
      <c r="D2435" t="inlineStr">
        <is>
          <t>UPPSALA LÄN</t>
        </is>
      </c>
      <c r="E2435" t="inlineStr">
        <is>
          <t>TIERP</t>
        </is>
      </c>
      <c r="F2435" t="inlineStr">
        <is>
          <t>Bergvik skog öst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35305-2025</t>
        </is>
      </c>
      <c r="B2436" s="1" t="n">
        <v>45854.44017361111</v>
      </c>
      <c r="C2436" s="1" t="n">
        <v>46098</v>
      </c>
      <c r="D2436" t="inlineStr">
        <is>
          <t>UPPSALA LÄN</t>
        </is>
      </c>
      <c r="E2436" t="inlineStr">
        <is>
          <t>UPPSALA</t>
        </is>
      </c>
      <c r="F2436" t="inlineStr">
        <is>
          <t>Holmen skog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6622-2026</t>
        </is>
      </c>
      <c r="B2437" s="1" t="n">
        <v>46056.49887731481</v>
      </c>
      <c r="C2437" s="1" t="n">
        <v>46098</v>
      </c>
      <c r="D2437" t="inlineStr">
        <is>
          <t>UPPSALA LÄN</t>
        </is>
      </c>
      <c r="E2437" t="inlineStr">
        <is>
          <t>HEBY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35300-2025</t>
        </is>
      </c>
      <c r="B2438" s="1" t="n">
        <v>45854.41511574074</v>
      </c>
      <c r="C2438" s="1" t="n">
        <v>46098</v>
      </c>
      <c r="D2438" t="inlineStr">
        <is>
          <t>UPPSALA LÄN</t>
        </is>
      </c>
      <c r="E2438" t="inlineStr">
        <is>
          <t>HÅBO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63631-2025</t>
        </is>
      </c>
      <c r="B2439" s="1" t="n">
        <v>46014.37875</v>
      </c>
      <c r="C2439" s="1" t="n">
        <v>46098</v>
      </c>
      <c r="D2439" t="inlineStr">
        <is>
          <t>UPPSALA LÄN</t>
        </is>
      </c>
      <c r="E2439" t="inlineStr">
        <is>
          <t>TIERP</t>
        </is>
      </c>
      <c r="F2439" t="inlineStr">
        <is>
          <t>Övriga Aktiebolag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63669-2025</t>
        </is>
      </c>
      <c r="B2440" s="1" t="n">
        <v>46014.45854166667</v>
      </c>
      <c r="C2440" s="1" t="n">
        <v>46098</v>
      </c>
      <c r="D2440" t="inlineStr">
        <is>
          <t>UPPSALA LÄN</t>
        </is>
      </c>
      <c r="E2440" t="inlineStr">
        <is>
          <t>UPPSALA</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35504-2025</t>
        </is>
      </c>
      <c r="B2441" s="1" t="n">
        <v>45856.34034722222</v>
      </c>
      <c r="C2441" s="1" t="n">
        <v>46098</v>
      </c>
      <c r="D2441" t="inlineStr">
        <is>
          <t>UPPSALA LÄN</t>
        </is>
      </c>
      <c r="E2441" t="inlineStr">
        <is>
          <t>UPPSALA</t>
        </is>
      </c>
      <c r="F2441" t="inlineStr">
        <is>
          <t>Bergvik skog öst AB</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35505-2025</t>
        </is>
      </c>
      <c r="B2442" s="1" t="n">
        <v>45856.34231481481</v>
      </c>
      <c r="C2442" s="1" t="n">
        <v>46098</v>
      </c>
      <c r="D2442" t="inlineStr">
        <is>
          <t>UPPSALA LÄN</t>
        </is>
      </c>
      <c r="E2442" t="inlineStr">
        <is>
          <t>UPPSALA</t>
        </is>
      </c>
      <c r="F2442" t="inlineStr">
        <is>
          <t>Bergvik skog öst AB</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6969-2026</t>
        </is>
      </c>
      <c r="B2443" s="1" t="n">
        <v>46057.5896412037</v>
      </c>
      <c r="C2443" s="1" t="n">
        <v>46098</v>
      </c>
      <c r="D2443" t="inlineStr">
        <is>
          <t>UPPSALA LÄN</t>
        </is>
      </c>
      <c r="E2443" t="inlineStr">
        <is>
          <t>HEBY</t>
        </is>
      </c>
      <c r="F2443" t="inlineStr">
        <is>
          <t>Kommuner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6712-2026</t>
        </is>
      </c>
      <c r="B2444" s="1" t="n">
        <v>46056.65564814815</v>
      </c>
      <c r="C2444" s="1" t="n">
        <v>46098</v>
      </c>
      <c r="D2444" t="inlineStr">
        <is>
          <t>UPPSALA LÄN</t>
        </is>
      </c>
      <c r="E2444" t="inlineStr">
        <is>
          <t>ÖSTHAMMAR</t>
        </is>
      </c>
      <c r="F2444" t="inlineStr">
        <is>
          <t>Bergvik skog öst AB</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6762-2026</t>
        </is>
      </c>
      <c r="B2445" s="1" t="n">
        <v>46056.85776620371</v>
      </c>
      <c r="C2445" s="1" t="n">
        <v>46098</v>
      </c>
      <c r="D2445" t="inlineStr">
        <is>
          <t>UPPSALA LÄN</t>
        </is>
      </c>
      <c r="E2445" t="inlineStr">
        <is>
          <t>ÖSTHAMMAR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19555-2025</t>
        </is>
      </c>
      <c r="B2446" s="1" t="n">
        <v>45770.51020833333</v>
      </c>
      <c r="C2446" s="1" t="n">
        <v>46098</v>
      </c>
      <c r="D2446" t="inlineStr">
        <is>
          <t>UPPSALA LÄN</t>
        </is>
      </c>
      <c r="E2446" t="inlineStr">
        <is>
          <t>HEBY</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6884-2026</t>
        </is>
      </c>
      <c r="B2447" s="1" t="n">
        <v>46057.46614583334</v>
      </c>
      <c r="C2447" s="1" t="n">
        <v>46098</v>
      </c>
      <c r="D2447" t="inlineStr">
        <is>
          <t>UPPSALA LÄN</t>
        </is>
      </c>
      <c r="E2447" t="inlineStr">
        <is>
          <t>ÖSTHAMMAR</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6511-2026</t>
        </is>
      </c>
      <c r="B2448" s="1" t="n">
        <v>46056.38925925926</v>
      </c>
      <c r="C2448" s="1" t="n">
        <v>46098</v>
      </c>
      <c r="D2448" t="inlineStr">
        <is>
          <t>UPPSALA LÄN</t>
        </is>
      </c>
      <c r="E2448" t="inlineStr">
        <is>
          <t>ÖSTHAMMAR</t>
        </is>
      </c>
      <c r="F2448" t="inlineStr">
        <is>
          <t>Bergvik skog öst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6522-2026</t>
        </is>
      </c>
      <c r="B2449" s="1" t="n">
        <v>46056.4025</v>
      </c>
      <c r="C2449" s="1" t="n">
        <v>46098</v>
      </c>
      <c r="D2449" t="inlineStr">
        <is>
          <t>UPPSALA LÄN</t>
        </is>
      </c>
      <c r="E2449" t="inlineStr">
        <is>
          <t>ÖSTHAMMAR</t>
        </is>
      </c>
      <c r="F2449" t="inlineStr">
        <is>
          <t>Bergvik skog öst AB</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35509-2025</t>
        </is>
      </c>
      <c r="B2450" s="1" t="n">
        <v>45856.34959490741</v>
      </c>
      <c r="C2450" s="1" t="n">
        <v>46098</v>
      </c>
      <c r="D2450" t="inlineStr">
        <is>
          <t>UPPSALA LÄN</t>
        </is>
      </c>
      <c r="E2450" t="inlineStr">
        <is>
          <t>UPPSALA</t>
        </is>
      </c>
      <c r="F2450" t="inlineStr">
        <is>
          <t>Bergvik skog öst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35510-2025</t>
        </is>
      </c>
      <c r="B2451" s="1" t="n">
        <v>45856</v>
      </c>
      <c r="C2451" s="1" t="n">
        <v>46098</v>
      </c>
      <c r="D2451" t="inlineStr">
        <is>
          <t>UPPSALA LÄN</t>
        </is>
      </c>
      <c r="E2451" t="inlineStr">
        <is>
          <t>UPPSALA</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6517-2026</t>
        </is>
      </c>
      <c r="B2452" s="1" t="n">
        <v>46056.39921296296</v>
      </c>
      <c r="C2452" s="1" t="n">
        <v>46098</v>
      </c>
      <c r="D2452" t="inlineStr">
        <is>
          <t>UPPSALA LÄN</t>
        </is>
      </c>
      <c r="E2452" t="inlineStr">
        <is>
          <t>ÖSTHAMMAR</t>
        </is>
      </c>
      <c r="F2452" t="inlineStr">
        <is>
          <t>Bergvik skog öst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32484-2025</t>
        </is>
      </c>
      <c r="B2453" s="1" t="n">
        <v>45838</v>
      </c>
      <c r="C2453" s="1" t="n">
        <v>46098</v>
      </c>
      <c r="D2453" t="inlineStr">
        <is>
          <t>UPPSALA LÄN</t>
        </is>
      </c>
      <c r="E2453" t="inlineStr">
        <is>
          <t>UPPSALA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6635-2026</t>
        </is>
      </c>
      <c r="B2454" s="1" t="n">
        <v>46056.52885416667</v>
      </c>
      <c r="C2454" s="1" t="n">
        <v>46098</v>
      </c>
      <c r="D2454" t="inlineStr">
        <is>
          <t>UPPSALA LÄN</t>
        </is>
      </c>
      <c r="E2454" t="inlineStr">
        <is>
          <t>ÖSTHAMMAR</t>
        </is>
      </c>
      <c r="F2454" t="inlineStr">
        <is>
          <t>Bergvik skog öst AB</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22135-2025</t>
        </is>
      </c>
      <c r="B2455" s="1" t="n">
        <v>45785.54427083334</v>
      </c>
      <c r="C2455" s="1" t="n">
        <v>46098</v>
      </c>
      <c r="D2455" t="inlineStr">
        <is>
          <t>UPPSALA LÄN</t>
        </is>
      </c>
      <c r="E2455" t="inlineStr">
        <is>
          <t>TIERP</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37415-2023</t>
        </is>
      </c>
      <c r="B2456" s="1" t="n">
        <v>45155</v>
      </c>
      <c r="C2456" s="1" t="n">
        <v>46098</v>
      </c>
      <c r="D2456" t="inlineStr">
        <is>
          <t>UPPSALA LÄN</t>
        </is>
      </c>
      <c r="E2456" t="inlineStr">
        <is>
          <t>HÅBO</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21501-2025</t>
        </is>
      </c>
      <c r="B2457" s="1" t="n">
        <v>45782</v>
      </c>
      <c r="C2457" s="1" t="n">
        <v>46098</v>
      </c>
      <c r="D2457" t="inlineStr">
        <is>
          <t>UPPSALA LÄN</t>
        </is>
      </c>
      <c r="E2457" t="inlineStr">
        <is>
          <t>ENKÖPING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25995-2022</t>
        </is>
      </c>
      <c r="B2458" s="1" t="n">
        <v>44734.51694444445</v>
      </c>
      <c r="C2458" s="1" t="n">
        <v>46098</v>
      </c>
      <c r="D2458" t="inlineStr">
        <is>
          <t>UPPSALA LÄN</t>
        </is>
      </c>
      <c r="E2458" t="inlineStr">
        <is>
          <t>HEBY</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32475-2025</t>
        </is>
      </c>
      <c r="B2459" s="1" t="n">
        <v>45838</v>
      </c>
      <c r="C2459" s="1" t="n">
        <v>46098</v>
      </c>
      <c r="D2459" t="inlineStr">
        <is>
          <t>UPPSALA LÄN</t>
        </is>
      </c>
      <c r="E2459" t="inlineStr">
        <is>
          <t>UPPSALA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7008-2026</t>
        </is>
      </c>
      <c r="B2460" s="1" t="n">
        <v>46057.63806712963</v>
      </c>
      <c r="C2460" s="1" t="n">
        <v>46098</v>
      </c>
      <c r="D2460" t="inlineStr">
        <is>
          <t>UPPSALA LÄN</t>
        </is>
      </c>
      <c r="E2460" t="inlineStr">
        <is>
          <t>ENKÖPING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52650-2022</t>
        </is>
      </c>
      <c r="B2461" s="1" t="n">
        <v>44874</v>
      </c>
      <c r="C2461" s="1" t="n">
        <v>46098</v>
      </c>
      <c r="D2461" t="inlineStr">
        <is>
          <t>UPPSALA LÄN</t>
        </is>
      </c>
      <c r="E2461" t="inlineStr">
        <is>
          <t>ÖSTHAMMAR</t>
        </is>
      </c>
      <c r="F2461" t="inlineStr">
        <is>
          <t>Bergvik skog öst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35921-2025</t>
        </is>
      </c>
      <c r="B2462" s="1" t="n">
        <v>45862.56547453703</v>
      </c>
      <c r="C2462" s="1" t="n">
        <v>46098</v>
      </c>
      <c r="D2462" t="inlineStr">
        <is>
          <t>UPPSALA LÄN</t>
        </is>
      </c>
      <c r="E2462" t="inlineStr">
        <is>
          <t>TIERP</t>
        </is>
      </c>
      <c r="F2462" t="inlineStr">
        <is>
          <t>Bergvik skog öst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35119-2025</t>
        </is>
      </c>
      <c r="B2463" s="1" t="n">
        <v>45852.60275462963</v>
      </c>
      <c r="C2463" s="1" t="n">
        <v>46098</v>
      </c>
      <c r="D2463" t="inlineStr">
        <is>
          <t>UPPSALA LÄN</t>
        </is>
      </c>
      <c r="E2463" t="inlineStr">
        <is>
          <t>TIERP</t>
        </is>
      </c>
      <c r="F2463" t="inlineStr">
        <is>
          <t>Bergvik skog väst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7003-2026</t>
        </is>
      </c>
      <c r="B2464" s="1" t="n">
        <v>46057.63243055555</v>
      </c>
      <c r="C2464" s="1" t="n">
        <v>46098</v>
      </c>
      <c r="D2464" t="inlineStr">
        <is>
          <t>UPPSALA LÄN</t>
        </is>
      </c>
      <c r="E2464" t="inlineStr">
        <is>
          <t>ENKÖPING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35978-2025</t>
        </is>
      </c>
      <c r="B2465" s="1" t="n">
        <v>45863.44648148148</v>
      </c>
      <c r="C2465" s="1" t="n">
        <v>46098</v>
      </c>
      <c r="D2465" t="inlineStr">
        <is>
          <t>UPPSALA LÄN</t>
        </is>
      </c>
      <c r="E2465" t="inlineStr">
        <is>
          <t>UPPSALA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12449-2022</t>
        </is>
      </c>
      <c r="B2466" s="1" t="n">
        <v>44638.40253472222</v>
      </c>
      <c r="C2466" s="1" t="n">
        <v>46098</v>
      </c>
      <c r="D2466" t="inlineStr">
        <is>
          <t>UPPSALA LÄN</t>
        </is>
      </c>
      <c r="E2466" t="inlineStr">
        <is>
          <t>TIERP</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63621-2025</t>
        </is>
      </c>
      <c r="B2467" s="1" t="n">
        <v>46014.35287037037</v>
      </c>
      <c r="C2467" s="1" t="n">
        <v>46098</v>
      </c>
      <c r="D2467" t="inlineStr">
        <is>
          <t>UPPSALA LÄN</t>
        </is>
      </c>
      <c r="E2467" t="inlineStr">
        <is>
          <t>UPPSALA</t>
        </is>
      </c>
      <c r="F2467" t="inlineStr">
        <is>
          <t>Övriga Aktiebolag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34988-2025</t>
        </is>
      </c>
      <c r="B2468" s="1" t="n">
        <v>45849</v>
      </c>
      <c r="C2468" s="1" t="n">
        <v>46098</v>
      </c>
      <c r="D2468" t="inlineStr">
        <is>
          <t>UPPSALA LÄN</t>
        </is>
      </c>
      <c r="E2468" t="inlineStr">
        <is>
          <t>ENKÖPING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6996-2026</t>
        </is>
      </c>
      <c r="B2469" s="1" t="n">
        <v>46057.61201388889</v>
      </c>
      <c r="C2469" s="1" t="n">
        <v>46098</v>
      </c>
      <c r="D2469" t="inlineStr">
        <is>
          <t>UPPSALA LÄN</t>
        </is>
      </c>
      <c r="E2469" t="inlineStr">
        <is>
          <t>HEBY</t>
        </is>
      </c>
      <c r="F2469" t="inlineStr">
        <is>
          <t>Kommuner</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7002-2026</t>
        </is>
      </c>
      <c r="B2470" s="1" t="n">
        <v>46057.6280787037</v>
      </c>
      <c r="C2470" s="1" t="n">
        <v>46098</v>
      </c>
      <c r="D2470" t="inlineStr">
        <is>
          <t>UPPSALA LÄN</t>
        </is>
      </c>
      <c r="E2470" t="inlineStr">
        <is>
          <t>UPPSALA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35911-2025</t>
        </is>
      </c>
      <c r="B2471" s="1" t="n">
        <v>45862.52585648148</v>
      </c>
      <c r="C2471" s="1" t="n">
        <v>46098</v>
      </c>
      <c r="D2471" t="inlineStr">
        <is>
          <t>UPPSALA LÄN</t>
        </is>
      </c>
      <c r="E2471" t="inlineStr">
        <is>
          <t>TIERP</t>
        </is>
      </c>
      <c r="F2471" t="inlineStr">
        <is>
          <t>Bergvik skog öst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35913-2025</t>
        </is>
      </c>
      <c r="B2472" s="1" t="n">
        <v>45862.53918981482</v>
      </c>
      <c r="C2472" s="1" t="n">
        <v>46098</v>
      </c>
      <c r="D2472" t="inlineStr">
        <is>
          <t>UPPSALA LÄN</t>
        </is>
      </c>
      <c r="E2472" t="inlineStr">
        <is>
          <t>TIERP</t>
        </is>
      </c>
      <c r="F2472" t="inlineStr">
        <is>
          <t>Bergvik skog öst AB</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36123-2023</t>
        </is>
      </c>
      <c r="B2473" s="1" t="n">
        <v>45149.56928240741</v>
      </c>
      <c r="C2473" s="1" t="n">
        <v>46098</v>
      </c>
      <c r="D2473" t="inlineStr">
        <is>
          <t>UPPSALA LÄN</t>
        </is>
      </c>
      <c r="E2473" t="inlineStr">
        <is>
          <t>UPPSALA</t>
        </is>
      </c>
      <c r="F2473" t="inlineStr">
        <is>
          <t>Allmännings- och besparingsskogar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35984-2025</t>
        </is>
      </c>
      <c r="B2474" s="1" t="n">
        <v>45863.45355324074</v>
      </c>
      <c r="C2474" s="1" t="n">
        <v>46098</v>
      </c>
      <c r="D2474" t="inlineStr">
        <is>
          <t>UPPSALA LÄN</t>
        </is>
      </c>
      <c r="E2474" t="inlineStr">
        <is>
          <t>UPPSALA</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34987-2025</t>
        </is>
      </c>
      <c r="B2475" s="1" t="n">
        <v>45849</v>
      </c>
      <c r="C2475" s="1" t="n">
        <v>46098</v>
      </c>
      <c r="D2475" t="inlineStr">
        <is>
          <t>UPPSALA LÄN</t>
        </is>
      </c>
      <c r="E2475" t="inlineStr">
        <is>
          <t>ENKÖPING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55962-2023</t>
        </is>
      </c>
      <c r="B2476" s="1" t="n">
        <v>45240</v>
      </c>
      <c r="C2476" s="1" t="n">
        <v>46098</v>
      </c>
      <c r="D2476" t="inlineStr">
        <is>
          <t>UPPSALA LÄN</t>
        </is>
      </c>
      <c r="E2476" t="inlineStr">
        <is>
          <t>HÅBO</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37162-2021</t>
        </is>
      </c>
      <c r="B2477" s="1" t="n">
        <v>44395</v>
      </c>
      <c r="C2477" s="1" t="n">
        <v>46098</v>
      </c>
      <c r="D2477" t="inlineStr">
        <is>
          <t>UPPSALA LÄN</t>
        </is>
      </c>
      <c r="E2477" t="inlineStr">
        <is>
          <t>UPPSALA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38298-2023</t>
        </is>
      </c>
      <c r="B2478" s="1" t="n">
        <v>45161.64891203704</v>
      </c>
      <c r="C2478" s="1" t="n">
        <v>46098</v>
      </c>
      <c r="D2478" t="inlineStr">
        <is>
          <t>UPPSALA LÄN</t>
        </is>
      </c>
      <c r="E2478" t="inlineStr">
        <is>
          <t>TIERP</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7320-2026</t>
        </is>
      </c>
      <c r="B2479" s="1" t="n">
        <v>46058.67237268519</v>
      </c>
      <c r="C2479" s="1" t="n">
        <v>46098</v>
      </c>
      <c r="D2479" t="inlineStr">
        <is>
          <t>UPPSALA LÄN</t>
        </is>
      </c>
      <c r="E2479" t="inlineStr">
        <is>
          <t>HEBY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36164-2025</t>
        </is>
      </c>
      <c r="B2480" s="1" t="n">
        <v>45867.3707175926</v>
      </c>
      <c r="C2480" s="1" t="n">
        <v>46098</v>
      </c>
      <c r="D2480" t="inlineStr">
        <is>
          <t>UPPSALA LÄN</t>
        </is>
      </c>
      <c r="E2480" t="inlineStr">
        <is>
          <t>HEBY</t>
        </is>
      </c>
      <c r="F2480" t="inlineStr">
        <is>
          <t>Övriga Aktiebolag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7727-2024</t>
        </is>
      </c>
      <c r="B2481" s="1" t="n">
        <v>45349</v>
      </c>
      <c r="C2481" s="1" t="n">
        <v>46098</v>
      </c>
      <c r="D2481" t="inlineStr">
        <is>
          <t>UPPSALA LÄN</t>
        </is>
      </c>
      <c r="E2481" t="inlineStr">
        <is>
          <t>UPPSALA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36027-2025</t>
        </is>
      </c>
      <c r="B2482" s="1" t="n">
        <v>45864.63327546296</v>
      </c>
      <c r="C2482" s="1" t="n">
        <v>46098</v>
      </c>
      <c r="D2482" t="inlineStr">
        <is>
          <t>UPPSALA LÄN</t>
        </is>
      </c>
      <c r="E2482" t="inlineStr">
        <is>
          <t>TIERP</t>
        </is>
      </c>
      <c r="F2482" t="inlineStr">
        <is>
          <t>Bergvik skog väst AB</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11450-2023</t>
        </is>
      </c>
      <c r="B2483" s="1" t="n">
        <v>44993</v>
      </c>
      <c r="C2483" s="1" t="n">
        <v>46098</v>
      </c>
      <c r="D2483" t="inlineStr">
        <is>
          <t>UPPSALA LÄN</t>
        </is>
      </c>
      <c r="E2483" t="inlineStr">
        <is>
          <t>KNIVSTA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73326-2021</t>
        </is>
      </c>
      <c r="B2484" s="1" t="n">
        <v>44548</v>
      </c>
      <c r="C2484" s="1" t="n">
        <v>46098</v>
      </c>
      <c r="D2484" t="inlineStr">
        <is>
          <t>UPPSALA LÄN</t>
        </is>
      </c>
      <c r="E2484" t="inlineStr">
        <is>
          <t>UPPSALA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7167-2026</t>
        </is>
      </c>
      <c r="B2485" s="1" t="n">
        <v>46058.45677083333</v>
      </c>
      <c r="C2485" s="1" t="n">
        <v>46098</v>
      </c>
      <c r="D2485" t="inlineStr">
        <is>
          <t>UPPSALA LÄN</t>
        </is>
      </c>
      <c r="E2485" t="inlineStr">
        <is>
          <t>ENKÖPING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36030-2025</t>
        </is>
      </c>
      <c r="B2486" s="1" t="n">
        <v>45865.44140046297</v>
      </c>
      <c r="C2486" s="1" t="n">
        <v>46098</v>
      </c>
      <c r="D2486" t="inlineStr">
        <is>
          <t>UPPSALA LÄN</t>
        </is>
      </c>
      <c r="E2486" t="inlineStr">
        <is>
          <t>TIERP</t>
        </is>
      </c>
      <c r="F2486" t="inlineStr">
        <is>
          <t>Bergvik skog väst AB</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44807-2024</t>
        </is>
      </c>
      <c r="B2487" s="1" t="n">
        <v>45574.65427083334</v>
      </c>
      <c r="C2487" s="1" t="n">
        <v>46098</v>
      </c>
      <c r="D2487" t="inlineStr">
        <is>
          <t>UPPSALA LÄN</t>
        </is>
      </c>
      <c r="E2487" t="inlineStr">
        <is>
          <t>ÖSTHAMMAR</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36253-2025</t>
        </is>
      </c>
      <c r="B2488" s="1" t="n">
        <v>45867.58056712963</v>
      </c>
      <c r="C2488" s="1" t="n">
        <v>46098</v>
      </c>
      <c r="D2488" t="inlineStr">
        <is>
          <t>UPPSALA LÄN</t>
        </is>
      </c>
      <c r="E2488" t="inlineStr">
        <is>
          <t>UPPSALA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10458-2022</t>
        </is>
      </c>
      <c r="B2489" s="1" t="n">
        <v>44623.56711805556</v>
      </c>
      <c r="C2489" s="1" t="n">
        <v>46098</v>
      </c>
      <c r="D2489" t="inlineStr">
        <is>
          <t>UPPSALA LÄN</t>
        </is>
      </c>
      <c r="E2489" t="inlineStr">
        <is>
          <t>ENKÖPING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52955-2022</t>
        </is>
      </c>
      <c r="B2490" s="1" t="n">
        <v>44875</v>
      </c>
      <c r="C2490" s="1" t="n">
        <v>46098</v>
      </c>
      <c r="D2490" t="inlineStr">
        <is>
          <t>UPPSALA LÄN</t>
        </is>
      </c>
      <c r="E2490" t="inlineStr">
        <is>
          <t>HEBY</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36029-2025</t>
        </is>
      </c>
      <c r="B2491" s="1" t="n">
        <v>45865.4359837963</v>
      </c>
      <c r="C2491" s="1" t="n">
        <v>46098</v>
      </c>
      <c r="D2491" t="inlineStr">
        <is>
          <t>UPPSALA LÄN</t>
        </is>
      </c>
      <c r="E2491" t="inlineStr">
        <is>
          <t>TIERP</t>
        </is>
      </c>
      <c r="F2491" t="inlineStr">
        <is>
          <t>Bergvik skog väst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7216-2026</t>
        </is>
      </c>
      <c r="B2492" s="1" t="n">
        <v>46058.55431712963</v>
      </c>
      <c r="C2492" s="1" t="n">
        <v>46098</v>
      </c>
      <c r="D2492" t="inlineStr">
        <is>
          <t>UPPSALA LÄN</t>
        </is>
      </c>
      <c r="E2492" t="inlineStr">
        <is>
          <t>HEBY</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36092-2025</t>
        </is>
      </c>
      <c r="B2493" s="1" t="n">
        <v>45866.48244212963</v>
      </c>
      <c r="C2493" s="1" t="n">
        <v>46098</v>
      </c>
      <c r="D2493" t="inlineStr">
        <is>
          <t>UPPSALA LÄN</t>
        </is>
      </c>
      <c r="E2493" t="inlineStr">
        <is>
          <t>ÖSTHAMMAR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36189-2025</t>
        </is>
      </c>
      <c r="B2494" s="1" t="n">
        <v>45867.42266203704</v>
      </c>
      <c r="C2494" s="1" t="n">
        <v>46098</v>
      </c>
      <c r="D2494" t="inlineStr">
        <is>
          <t>UPPSALA LÄN</t>
        </is>
      </c>
      <c r="E2494" t="inlineStr">
        <is>
          <t>TIERP</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37476-2024</t>
        </is>
      </c>
      <c r="B2495" s="1" t="n">
        <v>45541.29972222223</v>
      </c>
      <c r="C2495" s="1" t="n">
        <v>46098</v>
      </c>
      <c r="D2495" t="inlineStr">
        <is>
          <t>UPPSALA LÄN</t>
        </is>
      </c>
      <c r="E2495" t="inlineStr">
        <is>
          <t>TIERP</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7241-2026</t>
        </is>
      </c>
      <c r="B2496" s="1" t="n">
        <v>46058.58392361111</v>
      </c>
      <c r="C2496" s="1" t="n">
        <v>46098</v>
      </c>
      <c r="D2496" t="inlineStr">
        <is>
          <t>UPPSALA LÄN</t>
        </is>
      </c>
      <c r="E2496" t="inlineStr">
        <is>
          <t>ÖSTHAMMAR</t>
        </is>
      </c>
      <c r="F2496" t="inlineStr">
        <is>
          <t>Övriga Aktiebolag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7168-2026</t>
        </is>
      </c>
      <c r="B2497" s="1" t="n">
        <v>46058.45831018518</v>
      </c>
      <c r="C2497" s="1" t="n">
        <v>46098</v>
      </c>
      <c r="D2497" t="inlineStr">
        <is>
          <t>UPPSALA LÄN</t>
        </is>
      </c>
      <c r="E2497" t="inlineStr">
        <is>
          <t>ENKÖPING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7175-2026</t>
        </is>
      </c>
      <c r="B2498" s="1" t="n">
        <v>46058.46399305556</v>
      </c>
      <c r="C2498" s="1" t="n">
        <v>46098</v>
      </c>
      <c r="D2498" t="inlineStr">
        <is>
          <t>UPPSALA LÄN</t>
        </is>
      </c>
      <c r="E2498" t="inlineStr">
        <is>
          <t>ENKÖPING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7222-2026</t>
        </is>
      </c>
      <c r="B2499" s="1" t="n">
        <v>46058.56256944445</v>
      </c>
      <c r="C2499" s="1" t="n">
        <v>46098</v>
      </c>
      <c r="D2499" t="inlineStr">
        <is>
          <t>UPPSALA LÄN</t>
        </is>
      </c>
      <c r="E2499" t="inlineStr">
        <is>
          <t>HEBY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7262-2026</t>
        </is>
      </c>
      <c r="B2500" s="1" t="n">
        <v>46058.6049537037</v>
      </c>
      <c r="C2500" s="1" t="n">
        <v>46098</v>
      </c>
      <c r="D2500" t="inlineStr">
        <is>
          <t>UPPSALA LÄN</t>
        </is>
      </c>
      <c r="E2500" t="inlineStr">
        <is>
          <t>ÖSTHAMMAR</t>
        </is>
      </c>
      <c r="F2500" t="inlineStr">
        <is>
          <t>Övriga Aktiebolag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36195-2025</t>
        </is>
      </c>
      <c r="B2501" s="1" t="n">
        <v>45867.43064814815</v>
      </c>
      <c r="C2501" s="1" t="n">
        <v>46098</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17929-2025</t>
        </is>
      </c>
      <c r="B2502" s="1" t="n">
        <v>45759.56462962963</v>
      </c>
      <c r="C2502" s="1" t="n">
        <v>46098</v>
      </c>
      <c r="D2502" t="inlineStr">
        <is>
          <t>UPPSALA LÄN</t>
        </is>
      </c>
      <c r="E2502" t="inlineStr">
        <is>
          <t>ÖSTHAMMAR</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36492-2025</t>
        </is>
      </c>
      <c r="B2503" s="1" t="n">
        <v>45869</v>
      </c>
      <c r="C2503" s="1" t="n">
        <v>46098</v>
      </c>
      <c r="D2503" t="inlineStr">
        <is>
          <t>UPPSALA LÄN</t>
        </is>
      </c>
      <c r="E2503" t="inlineStr">
        <is>
          <t>ENKÖPING</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7429-2026</t>
        </is>
      </c>
      <c r="B2504" s="1" t="n">
        <v>46059.43493055556</v>
      </c>
      <c r="C2504" s="1" t="n">
        <v>46098</v>
      </c>
      <c r="D2504" t="inlineStr">
        <is>
          <t>UPPSALA LÄN</t>
        </is>
      </c>
      <c r="E2504" t="inlineStr">
        <is>
          <t>UPPSALA</t>
        </is>
      </c>
      <c r="F2504" t="inlineStr">
        <is>
          <t>Bergvik skog öst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7436-2026</t>
        </is>
      </c>
      <c r="B2505" s="1" t="n">
        <v>46059.4413425926</v>
      </c>
      <c r="C2505" s="1" t="n">
        <v>46098</v>
      </c>
      <c r="D2505" t="inlineStr">
        <is>
          <t>UPPSALA LÄN</t>
        </is>
      </c>
      <c r="E2505" t="inlineStr">
        <is>
          <t>UPPSALA</t>
        </is>
      </c>
      <c r="F2505" t="inlineStr">
        <is>
          <t>Bergvik skog öst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36423-2025</t>
        </is>
      </c>
      <c r="B2506" s="1" t="n">
        <v>45868.85131944445</v>
      </c>
      <c r="C2506" s="1" t="n">
        <v>46098</v>
      </c>
      <c r="D2506" t="inlineStr">
        <is>
          <t>UPPSALA LÄN</t>
        </is>
      </c>
      <c r="E2506" t="inlineStr">
        <is>
          <t>TIERP</t>
        </is>
      </c>
      <c r="F2506" t="inlineStr">
        <is>
          <t>Bergvik skog väst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36472-2025</t>
        </is>
      </c>
      <c r="B2507" s="1" t="n">
        <v>45869.48162037037</v>
      </c>
      <c r="C2507" s="1" t="n">
        <v>46098</v>
      </c>
      <c r="D2507" t="inlineStr">
        <is>
          <t>UPPSALA LÄN</t>
        </is>
      </c>
      <c r="E2507" t="inlineStr">
        <is>
          <t>KNIVSTA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36473-2025</t>
        </is>
      </c>
      <c r="B2508" s="1" t="n">
        <v>45869.48333333333</v>
      </c>
      <c r="C2508" s="1" t="n">
        <v>46098</v>
      </c>
      <c r="D2508" t="inlineStr">
        <is>
          <t>UPPSALA LÄN</t>
        </is>
      </c>
      <c r="E2508" t="inlineStr">
        <is>
          <t>KNIVSTA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5309-2022</t>
        </is>
      </c>
      <c r="B2509" s="1" t="n">
        <v>44594</v>
      </c>
      <c r="C2509" s="1" t="n">
        <v>46098</v>
      </c>
      <c r="D2509" t="inlineStr">
        <is>
          <t>UPPSALA LÄN</t>
        </is>
      </c>
      <c r="E2509" t="inlineStr">
        <is>
          <t>UPPSALA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7555-2026</t>
        </is>
      </c>
      <c r="B2510" s="1" t="n">
        <v>46059.76059027778</v>
      </c>
      <c r="C2510" s="1" t="n">
        <v>46098</v>
      </c>
      <c r="D2510" t="inlineStr">
        <is>
          <t>UPPSALA LÄN</t>
        </is>
      </c>
      <c r="E2510" t="inlineStr">
        <is>
          <t>UPPSALA</t>
        </is>
      </c>
      <c r="F2510" t="inlineStr">
        <is>
          <t>Bergvik skog öst AB</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66873-2021</t>
        </is>
      </c>
      <c r="B2511" s="1" t="n">
        <v>44522</v>
      </c>
      <c r="C2511" s="1" t="n">
        <v>46098</v>
      </c>
      <c r="D2511" t="inlineStr">
        <is>
          <t>UPPSALA LÄN</t>
        </is>
      </c>
      <c r="E2511" t="inlineStr">
        <is>
          <t>HEBY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28538-2024</t>
        </is>
      </c>
      <c r="B2512" s="1" t="n">
        <v>45478</v>
      </c>
      <c r="C2512" s="1" t="n">
        <v>46098</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63746-2025</t>
        </is>
      </c>
      <c r="B2513" s="1" t="n">
        <v>46017.47381944444</v>
      </c>
      <c r="C2513" s="1" t="n">
        <v>46098</v>
      </c>
      <c r="D2513" t="inlineStr">
        <is>
          <t>UPPSALA LÄN</t>
        </is>
      </c>
      <c r="E2513" t="inlineStr">
        <is>
          <t>TIERP</t>
        </is>
      </c>
      <c r="F2513" t="inlineStr">
        <is>
          <t>Bergvik skog öst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63747-2025</t>
        </is>
      </c>
      <c r="B2514" s="1" t="n">
        <v>46017.53915509259</v>
      </c>
      <c r="C2514" s="1" t="n">
        <v>46098</v>
      </c>
      <c r="D2514" t="inlineStr">
        <is>
          <t>UPPSALA LÄN</t>
        </is>
      </c>
      <c r="E2514" t="inlineStr">
        <is>
          <t>TIERP</t>
        </is>
      </c>
      <c r="F2514" t="inlineStr">
        <is>
          <t>Bergvik skog öst AB</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7128-2026</t>
        </is>
      </c>
      <c r="B2515" s="1" t="n">
        <v>46058.393125</v>
      </c>
      <c r="C2515" s="1" t="n">
        <v>46098</v>
      </c>
      <c r="D2515" t="inlineStr">
        <is>
          <t>UPPSALA LÄN</t>
        </is>
      </c>
      <c r="E2515" t="inlineStr">
        <is>
          <t>HEBY</t>
        </is>
      </c>
      <c r="G2515" t="n">
        <v>11.5</v>
      </c>
      <c r="H2515" t="n">
        <v>0</v>
      </c>
      <c r="I2515" t="n">
        <v>0</v>
      </c>
      <c r="J2515" t="n">
        <v>0</v>
      </c>
      <c r="K2515" t="n">
        <v>0</v>
      </c>
      <c r="L2515" t="n">
        <v>0</v>
      </c>
      <c r="M2515" t="n">
        <v>0</v>
      </c>
      <c r="N2515" t="n">
        <v>0</v>
      </c>
      <c r="O2515" t="n">
        <v>0</v>
      </c>
      <c r="P2515" t="n">
        <v>0</v>
      </c>
      <c r="Q2515" t="n">
        <v>0</v>
      </c>
      <c r="R2515" s="2" t="inlineStr"/>
    </row>
    <row r="2516" ht="15" customHeight="1">
      <c r="A2516" t="inlineStr">
        <is>
          <t>A 44115-2024</t>
        </is>
      </c>
      <c r="B2516" s="1" t="n">
        <v>45572</v>
      </c>
      <c r="C2516" s="1" t="n">
        <v>46098</v>
      </c>
      <c r="D2516" t="inlineStr">
        <is>
          <t>UPPSALA LÄN</t>
        </is>
      </c>
      <c r="E2516" t="inlineStr">
        <is>
          <t>ENKÖPING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17412-2025</t>
        </is>
      </c>
      <c r="B2517" s="1" t="n">
        <v>45757.37369212963</v>
      </c>
      <c r="C2517" s="1" t="n">
        <v>46098</v>
      </c>
      <c r="D2517" t="inlineStr">
        <is>
          <t>UPPSALA LÄN</t>
        </is>
      </c>
      <c r="E2517" t="inlineStr">
        <is>
          <t>TIERP</t>
        </is>
      </c>
      <c r="F2517" t="inlineStr">
        <is>
          <t>Bergvik skog öst AB</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7172-2026</t>
        </is>
      </c>
      <c r="B2518" s="1" t="n">
        <v>46058.46113425926</v>
      </c>
      <c r="C2518" s="1" t="n">
        <v>46098</v>
      </c>
      <c r="D2518" t="inlineStr">
        <is>
          <t>UPPSALA LÄN</t>
        </is>
      </c>
      <c r="E2518" t="inlineStr">
        <is>
          <t>ENKÖPING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36307-2025</t>
        </is>
      </c>
      <c r="B2519" s="1" t="n">
        <v>45868.29372685185</v>
      </c>
      <c r="C2519" s="1" t="n">
        <v>46098</v>
      </c>
      <c r="D2519" t="inlineStr">
        <is>
          <t>UPPSALA LÄN</t>
        </is>
      </c>
      <c r="E2519" t="inlineStr">
        <is>
          <t>TIERP</t>
        </is>
      </c>
      <c r="F2519" t="inlineStr">
        <is>
          <t>Bergvik skog öst AB</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36419-2025</t>
        </is>
      </c>
      <c r="B2520" s="1" t="n">
        <v>45868.83431712963</v>
      </c>
      <c r="C2520" s="1" t="n">
        <v>46098</v>
      </c>
      <c r="D2520" t="inlineStr">
        <is>
          <t>UPPSALA LÄN</t>
        </is>
      </c>
      <c r="E2520" t="inlineStr">
        <is>
          <t>TIERP</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36422-2025</t>
        </is>
      </c>
      <c r="B2521" s="1" t="n">
        <v>45868.85018518518</v>
      </c>
      <c r="C2521" s="1" t="n">
        <v>46098</v>
      </c>
      <c r="D2521" t="inlineStr">
        <is>
          <t>UPPSALA LÄN</t>
        </is>
      </c>
      <c r="E2521" t="inlineStr">
        <is>
          <t>TIERP</t>
        </is>
      </c>
      <c r="F2521" t="inlineStr">
        <is>
          <t>Bergvik skog väst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36451-2025</t>
        </is>
      </c>
      <c r="B2522" s="1" t="n">
        <v>45869.4290625</v>
      </c>
      <c r="C2522" s="1" t="n">
        <v>46098</v>
      </c>
      <c r="D2522" t="inlineStr">
        <is>
          <t>UPPSALA LÄN</t>
        </is>
      </c>
      <c r="E2522" t="inlineStr">
        <is>
          <t>ÖSTHAMMAR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36350-2025</t>
        </is>
      </c>
      <c r="B2523" s="1" t="n">
        <v>45868</v>
      </c>
      <c r="C2523" s="1" t="n">
        <v>46098</v>
      </c>
      <c r="D2523" t="inlineStr">
        <is>
          <t>UPPSALA LÄN</t>
        </is>
      </c>
      <c r="E2523" t="inlineStr">
        <is>
          <t>ENKÖPING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36420-2025</t>
        </is>
      </c>
      <c r="B2524" s="1" t="n">
        <v>45868.83913194444</v>
      </c>
      <c r="C2524" s="1" t="n">
        <v>46098</v>
      </c>
      <c r="D2524" t="inlineStr">
        <is>
          <t>UPPSALA LÄN</t>
        </is>
      </c>
      <c r="E2524" t="inlineStr">
        <is>
          <t>TIERP</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36421-2025</t>
        </is>
      </c>
      <c r="B2525" s="1" t="n">
        <v>45868.84859953704</v>
      </c>
      <c r="C2525" s="1" t="n">
        <v>46098</v>
      </c>
      <c r="D2525" t="inlineStr">
        <is>
          <t>UPPSALA LÄN</t>
        </is>
      </c>
      <c r="E2525" t="inlineStr">
        <is>
          <t>TIERP</t>
        </is>
      </c>
      <c r="F2525" t="inlineStr">
        <is>
          <t>Bergvik skog väst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36470-2025</t>
        </is>
      </c>
      <c r="B2526" s="1" t="n">
        <v>45869.47915509259</v>
      </c>
      <c r="C2526" s="1" t="n">
        <v>46098</v>
      </c>
      <c r="D2526" t="inlineStr">
        <is>
          <t>UPPSALA LÄN</t>
        </is>
      </c>
      <c r="E2526" t="inlineStr">
        <is>
          <t>KNIVSTA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24012-2023</t>
        </is>
      </c>
      <c r="B2527" s="1" t="n">
        <v>45078</v>
      </c>
      <c r="C2527" s="1" t="n">
        <v>46098</v>
      </c>
      <c r="D2527" t="inlineStr">
        <is>
          <t>UPPSALA LÄN</t>
        </is>
      </c>
      <c r="E2527" t="inlineStr">
        <is>
          <t>UPPSALA</t>
        </is>
      </c>
      <c r="F2527" t="inlineStr">
        <is>
          <t>Kyrkan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10612-2025</t>
        </is>
      </c>
      <c r="B2528" s="1" t="n">
        <v>45721.60894675926</v>
      </c>
      <c r="C2528" s="1" t="n">
        <v>46098</v>
      </c>
      <c r="D2528" t="inlineStr">
        <is>
          <t>UPPSALA LÄN</t>
        </is>
      </c>
      <c r="E2528" t="inlineStr">
        <is>
          <t>UPPSALA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63924-2025</t>
        </is>
      </c>
      <c r="B2529" s="1" t="n">
        <v>46020.7575</v>
      </c>
      <c r="C2529" s="1" t="n">
        <v>46098</v>
      </c>
      <c r="D2529" t="inlineStr">
        <is>
          <t>UPPSALA LÄN</t>
        </is>
      </c>
      <c r="E2529" t="inlineStr">
        <is>
          <t>TIERP</t>
        </is>
      </c>
      <c r="F2529" t="inlineStr">
        <is>
          <t>Bergvik skog öst AB</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9478-2025</t>
        </is>
      </c>
      <c r="B2530" s="1" t="n">
        <v>45715.47774305556</v>
      </c>
      <c r="C2530" s="1" t="n">
        <v>46098</v>
      </c>
      <c r="D2530" t="inlineStr">
        <is>
          <t>UPPSALA LÄN</t>
        </is>
      </c>
      <c r="E2530" t="inlineStr">
        <is>
          <t>HEBY</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59731-2023</t>
        </is>
      </c>
      <c r="B2531" s="1" t="n">
        <v>45257</v>
      </c>
      <c r="C2531" s="1" t="n">
        <v>46098</v>
      </c>
      <c r="D2531" t="inlineStr">
        <is>
          <t>UPPSALA LÄN</t>
        </is>
      </c>
      <c r="E2531" t="inlineStr">
        <is>
          <t>ÖSTHAMMAR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45525-2023</t>
        </is>
      </c>
      <c r="B2532" s="1" t="n">
        <v>45194</v>
      </c>
      <c r="C2532" s="1" t="n">
        <v>46098</v>
      </c>
      <c r="D2532" t="inlineStr">
        <is>
          <t>UPPSALA LÄN</t>
        </is>
      </c>
      <c r="E2532" t="inlineStr">
        <is>
          <t>KNIVSTA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9957-2023</t>
        </is>
      </c>
      <c r="B2533" s="1" t="n">
        <v>44978</v>
      </c>
      <c r="C2533" s="1" t="n">
        <v>46098</v>
      </c>
      <c r="D2533" t="inlineStr">
        <is>
          <t>UPPSALA LÄN</t>
        </is>
      </c>
      <c r="E2533" t="inlineStr">
        <is>
          <t>ENKÖPING</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56302-2021</t>
        </is>
      </c>
      <c r="B2534" s="1" t="n">
        <v>44477</v>
      </c>
      <c r="C2534" s="1" t="n">
        <v>46098</v>
      </c>
      <c r="D2534" t="inlineStr">
        <is>
          <t>UPPSALA LÄN</t>
        </is>
      </c>
      <c r="E2534" t="inlineStr">
        <is>
          <t>HEBY</t>
        </is>
      </c>
      <c r="F2534" t="inlineStr">
        <is>
          <t>Bergvik skog väst AB</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40503-2024</t>
        </is>
      </c>
      <c r="B2535" s="1" t="n">
        <v>45555.5727662037</v>
      </c>
      <c r="C2535" s="1" t="n">
        <v>46098</v>
      </c>
      <c r="D2535" t="inlineStr">
        <is>
          <t>UPPSALA LÄN</t>
        </is>
      </c>
      <c r="E2535" t="inlineStr">
        <is>
          <t>UPPSALA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30433-2023</t>
        </is>
      </c>
      <c r="B2536" s="1" t="n">
        <v>45111</v>
      </c>
      <c r="C2536" s="1" t="n">
        <v>46098</v>
      </c>
      <c r="D2536" t="inlineStr">
        <is>
          <t>UPPSALA LÄN</t>
        </is>
      </c>
      <c r="E2536" t="inlineStr">
        <is>
          <t>HEBY</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15055-2024</t>
        </is>
      </c>
      <c r="B2537" s="1" t="n">
        <v>45399</v>
      </c>
      <c r="C2537" s="1" t="n">
        <v>46098</v>
      </c>
      <c r="D2537" t="inlineStr">
        <is>
          <t>UPPSALA LÄN</t>
        </is>
      </c>
      <c r="E2537" t="inlineStr">
        <is>
          <t>TIERP</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31149-2025</t>
        </is>
      </c>
      <c r="B2538" s="1" t="n">
        <v>45832.64122685185</v>
      </c>
      <c r="C2538" s="1" t="n">
        <v>46098</v>
      </c>
      <c r="D2538" t="inlineStr">
        <is>
          <t>UPPSALA LÄN</t>
        </is>
      </c>
      <c r="E2538" t="inlineStr">
        <is>
          <t>TIERP</t>
        </is>
      </c>
      <c r="F2538" t="inlineStr">
        <is>
          <t>Bergvik skog öst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7739-2026</t>
        </is>
      </c>
      <c r="B2539" s="1" t="n">
        <v>46062.53357638889</v>
      </c>
      <c r="C2539" s="1" t="n">
        <v>46098</v>
      </c>
      <c r="D2539" t="inlineStr">
        <is>
          <t>UPPSALA LÄN</t>
        </is>
      </c>
      <c r="E2539" t="inlineStr">
        <is>
          <t>UPPSALA</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35122-2025</t>
        </is>
      </c>
      <c r="B2540" s="1" t="n">
        <v>45852.61168981482</v>
      </c>
      <c r="C2540" s="1" t="n">
        <v>46098</v>
      </c>
      <c r="D2540" t="inlineStr">
        <is>
          <t>UPPSALA LÄN</t>
        </is>
      </c>
      <c r="E2540" t="inlineStr">
        <is>
          <t>TIERP</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50859-2022</t>
        </is>
      </c>
      <c r="B2541" s="1" t="n">
        <v>44862</v>
      </c>
      <c r="C2541" s="1" t="n">
        <v>46098</v>
      </c>
      <c r="D2541" t="inlineStr">
        <is>
          <t>UPPSALA LÄN</t>
        </is>
      </c>
      <c r="E2541" t="inlineStr">
        <is>
          <t>HEBY</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28228-2022</t>
        </is>
      </c>
      <c r="B2542" s="1" t="n">
        <v>44746.65873842593</v>
      </c>
      <c r="C2542" s="1" t="n">
        <v>46098</v>
      </c>
      <c r="D2542" t="inlineStr">
        <is>
          <t>UPPSALA LÄN</t>
        </is>
      </c>
      <c r="E2542" t="inlineStr">
        <is>
          <t>ÖSTHAMMAR</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63402-2023</t>
        </is>
      </c>
      <c r="B2543" s="1" t="n">
        <v>45274.50646990741</v>
      </c>
      <c r="C2543" s="1" t="n">
        <v>46098</v>
      </c>
      <c r="D2543" t="inlineStr">
        <is>
          <t>UPPSALA LÄN</t>
        </is>
      </c>
      <c r="E2543" t="inlineStr">
        <is>
          <t>ENKÖPING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43818-2023</t>
        </is>
      </c>
      <c r="B2544" s="1" t="n">
        <v>45182</v>
      </c>
      <c r="C2544" s="1" t="n">
        <v>46098</v>
      </c>
      <c r="D2544" t="inlineStr">
        <is>
          <t>UPPSALA LÄN</t>
        </is>
      </c>
      <c r="E2544" t="inlineStr">
        <is>
          <t>UPPSALA</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51716-2023</t>
        </is>
      </c>
      <c r="B2545" s="1" t="n">
        <v>45222</v>
      </c>
      <c r="C2545" s="1" t="n">
        <v>46098</v>
      </c>
      <c r="D2545" t="inlineStr">
        <is>
          <t>UPPSALA LÄN</t>
        </is>
      </c>
      <c r="E2545" t="inlineStr">
        <is>
          <t>TIERP</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36643-2025</t>
        </is>
      </c>
      <c r="B2546" s="1" t="n">
        <v>45872.47782407407</v>
      </c>
      <c r="C2546" s="1" t="n">
        <v>46098</v>
      </c>
      <c r="D2546" t="inlineStr">
        <is>
          <t>UPPSALA LÄN</t>
        </is>
      </c>
      <c r="E2546" t="inlineStr">
        <is>
          <t>ÖSTHAMMAR</t>
        </is>
      </c>
      <c r="F2546" t="inlineStr">
        <is>
          <t>Bergvik skog öst AB</t>
        </is>
      </c>
      <c r="G2546" t="n">
        <v>15.1</v>
      </c>
      <c r="H2546" t="n">
        <v>0</v>
      </c>
      <c r="I2546" t="n">
        <v>0</v>
      </c>
      <c r="J2546" t="n">
        <v>0</v>
      </c>
      <c r="K2546" t="n">
        <v>0</v>
      </c>
      <c r="L2546" t="n">
        <v>0</v>
      </c>
      <c r="M2546" t="n">
        <v>0</v>
      </c>
      <c r="N2546" t="n">
        <v>0</v>
      </c>
      <c r="O2546" t="n">
        <v>0</v>
      </c>
      <c r="P2546" t="n">
        <v>0</v>
      </c>
      <c r="Q2546" t="n">
        <v>0</v>
      </c>
      <c r="R2546" s="2" t="inlineStr"/>
    </row>
    <row r="2547" ht="15" customHeight="1">
      <c r="A2547" t="inlineStr">
        <is>
          <t>A 29056-2025</t>
        </is>
      </c>
      <c r="B2547" s="1" t="n">
        <v>45821</v>
      </c>
      <c r="C2547" s="1" t="n">
        <v>46098</v>
      </c>
      <c r="D2547" t="inlineStr">
        <is>
          <t>UPPSALA LÄN</t>
        </is>
      </c>
      <c r="E2547" t="inlineStr">
        <is>
          <t>TIERP</t>
        </is>
      </c>
      <c r="F2547" t="inlineStr">
        <is>
          <t>Bergvik skog öst AB</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51712-2025</t>
        </is>
      </c>
      <c r="B2548" s="1" t="n">
        <v>45951.57142361111</v>
      </c>
      <c r="C2548" s="1" t="n">
        <v>46098</v>
      </c>
      <c r="D2548" t="inlineStr">
        <is>
          <t>UPPSALA LÄN</t>
        </is>
      </c>
      <c r="E2548" t="inlineStr">
        <is>
          <t>TIERP</t>
        </is>
      </c>
      <c r="F2548" t="inlineStr">
        <is>
          <t>Bergvik skog väst AB</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7986-2026</t>
        </is>
      </c>
      <c r="B2549" s="1" t="n">
        <v>46063.49122685185</v>
      </c>
      <c r="C2549" s="1" t="n">
        <v>46098</v>
      </c>
      <c r="D2549" t="inlineStr">
        <is>
          <t>UPPSALA LÄN</t>
        </is>
      </c>
      <c r="E2549" t="inlineStr">
        <is>
          <t>HEBY</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8003-2026</t>
        </is>
      </c>
      <c r="B2550" s="1" t="n">
        <v>46063.51101851852</v>
      </c>
      <c r="C2550" s="1" t="n">
        <v>46098</v>
      </c>
      <c r="D2550" t="inlineStr">
        <is>
          <t>UPPSALA LÄN</t>
        </is>
      </c>
      <c r="E2550" t="inlineStr">
        <is>
          <t>HEBY</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8014-2026</t>
        </is>
      </c>
      <c r="B2551" s="1" t="n">
        <v>46063.54009259259</v>
      </c>
      <c r="C2551" s="1" t="n">
        <v>46098</v>
      </c>
      <c r="D2551" t="inlineStr">
        <is>
          <t>UPPSALA LÄN</t>
        </is>
      </c>
      <c r="E2551" t="inlineStr">
        <is>
          <t>ÖSTHAMMAR</t>
        </is>
      </c>
      <c r="G2551" t="n">
        <v>15.2</v>
      </c>
      <c r="H2551" t="n">
        <v>0</v>
      </c>
      <c r="I2551" t="n">
        <v>0</v>
      </c>
      <c r="J2551" t="n">
        <v>0</v>
      </c>
      <c r="K2551" t="n">
        <v>0</v>
      </c>
      <c r="L2551" t="n">
        <v>0</v>
      </c>
      <c r="M2551" t="n">
        <v>0</v>
      </c>
      <c r="N2551" t="n">
        <v>0</v>
      </c>
      <c r="O2551" t="n">
        <v>0</v>
      </c>
      <c r="P2551" t="n">
        <v>0</v>
      </c>
      <c r="Q2551" t="n">
        <v>0</v>
      </c>
      <c r="R2551" s="2" t="inlineStr"/>
    </row>
    <row r="2552" ht="15" customHeight="1">
      <c r="A2552" t="inlineStr">
        <is>
          <t>A 43260-2025</t>
        </is>
      </c>
      <c r="B2552" s="1" t="n">
        <v>45910.56313657408</v>
      </c>
      <c r="C2552" s="1" t="n">
        <v>46098</v>
      </c>
      <c r="D2552" t="inlineStr">
        <is>
          <t>UPPSALA LÄN</t>
        </is>
      </c>
      <c r="E2552" t="inlineStr">
        <is>
          <t>TIERP</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7866-2026</t>
        </is>
      </c>
      <c r="B2553" s="1" t="n">
        <v>46062.73936342593</v>
      </c>
      <c r="C2553" s="1" t="n">
        <v>46098</v>
      </c>
      <c r="D2553" t="inlineStr">
        <is>
          <t>UPPSALA LÄN</t>
        </is>
      </c>
      <c r="E2553" t="inlineStr">
        <is>
          <t>UPPSALA</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27836-2025</t>
        </is>
      </c>
      <c r="B2554" s="1" t="n">
        <v>45817.37181712963</v>
      </c>
      <c r="C2554" s="1" t="n">
        <v>46098</v>
      </c>
      <c r="D2554" t="inlineStr">
        <is>
          <t>UPPSALA LÄN</t>
        </is>
      </c>
      <c r="E2554" t="inlineStr">
        <is>
          <t>HEBY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7867-2026</t>
        </is>
      </c>
      <c r="B2555" s="1" t="n">
        <v>46062.74180555555</v>
      </c>
      <c r="C2555" s="1" t="n">
        <v>46098</v>
      </c>
      <c r="D2555" t="inlineStr">
        <is>
          <t>UPPSALA LÄN</t>
        </is>
      </c>
      <c r="E2555" t="inlineStr">
        <is>
          <t>UPPSALA</t>
        </is>
      </c>
      <c r="F2555" t="inlineStr">
        <is>
          <t>Bergvik skog öst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63921-2025</t>
        </is>
      </c>
      <c r="B2556" s="1" t="n">
        <v>46020.75388888889</v>
      </c>
      <c r="C2556" s="1" t="n">
        <v>46098</v>
      </c>
      <c r="D2556" t="inlineStr">
        <is>
          <t>UPPSALA LÄN</t>
        </is>
      </c>
      <c r="E2556" t="inlineStr">
        <is>
          <t>TIERP</t>
        </is>
      </c>
      <c r="F2556" t="inlineStr">
        <is>
          <t>Bergvik skog öst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61839-2025</t>
        </is>
      </c>
      <c r="B2557" s="1" t="n">
        <v>46003.35768518518</v>
      </c>
      <c r="C2557" s="1" t="n">
        <v>46098</v>
      </c>
      <c r="D2557" t="inlineStr">
        <is>
          <t>UPPSALA LÄN</t>
        </is>
      </c>
      <c r="E2557" t="inlineStr">
        <is>
          <t>ÄLVKARLEBY</t>
        </is>
      </c>
      <c r="F2557" t="inlineStr">
        <is>
          <t>Bergvik skog väst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8030-2026</t>
        </is>
      </c>
      <c r="B2558" s="1" t="n">
        <v>46063.57956018519</v>
      </c>
      <c r="C2558" s="1" t="n">
        <v>46098</v>
      </c>
      <c r="D2558" t="inlineStr">
        <is>
          <t>UPPSALA LÄN</t>
        </is>
      </c>
      <c r="E2558" t="inlineStr">
        <is>
          <t>ÖSTHAMMAR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21782-2025</t>
        </is>
      </c>
      <c r="B2559" s="1" t="n">
        <v>45783</v>
      </c>
      <c r="C2559" s="1" t="n">
        <v>46098</v>
      </c>
      <c r="D2559" t="inlineStr">
        <is>
          <t>UPPSALA LÄN</t>
        </is>
      </c>
      <c r="E2559" t="inlineStr">
        <is>
          <t>TIERP</t>
        </is>
      </c>
      <c r="F2559" t="inlineStr">
        <is>
          <t>Bergvik skog öst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60848-2025</t>
        </is>
      </c>
      <c r="B2560" s="1" t="n">
        <v>45999</v>
      </c>
      <c r="C2560" s="1" t="n">
        <v>46098</v>
      </c>
      <c r="D2560" t="inlineStr">
        <is>
          <t>UPPSALA LÄN</t>
        </is>
      </c>
      <c r="E2560" t="inlineStr">
        <is>
          <t>ENKÖPING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55275-2025</t>
        </is>
      </c>
      <c r="B2561" s="1" t="n">
        <v>45968.76021990741</v>
      </c>
      <c r="C2561" s="1" t="n">
        <v>46098</v>
      </c>
      <c r="D2561" t="inlineStr">
        <is>
          <t>UPPSALA LÄN</t>
        </is>
      </c>
      <c r="E2561" t="inlineStr">
        <is>
          <t>UPPSALA</t>
        </is>
      </c>
      <c r="F2561" t="inlineStr">
        <is>
          <t>Allmännings- och besparingsskogar</t>
        </is>
      </c>
      <c r="G2561" t="n">
        <v>13.2</v>
      </c>
      <c r="H2561" t="n">
        <v>0</v>
      </c>
      <c r="I2561" t="n">
        <v>0</v>
      </c>
      <c r="J2561" t="n">
        <v>0</v>
      </c>
      <c r="K2561" t="n">
        <v>0</v>
      </c>
      <c r="L2561" t="n">
        <v>0</v>
      </c>
      <c r="M2561" t="n">
        <v>0</v>
      </c>
      <c r="N2561" t="n">
        <v>0</v>
      </c>
      <c r="O2561" t="n">
        <v>0</v>
      </c>
      <c r="P2561" t="n">
        <v>0</v>
      </c>
      <c r="Q2561" t="n">
        <v>0</v>
      </c>
      <c r="R2561" s="2" t="inlineStr"/>
    </row>
    <row r="2562" ht="15" customHeight="1">
      <c r="A2562" t="inlineStr">
        <is>
          <t>A 43378-2025</t>
        </is>
      </c>
      <c r="B2562" s="1" t="n">
        <v>45911.35693287037</v>
      </c>
      <c r="C2562" s="1" t="n">
        <v>46098</v>
      </c>
      <c r="D2562" t="inlineStr">
        <is>
          <t>UPPSALA LÄN</t>
        </is>
      </c>
      <c r="E2562" t="inlineStr">
        <is>
          <t>TIERP</t>
        </is>
      </c>
      <c r="F2562" t="inlineStr">
        <is>
          <t>Bergvik skog väst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49831-2023</t>
        </is>
      </c>
      <c r="B2563" s="1" t="n">
        <v>45212.71241898148</v>
      </c>
      <c r="C2563" s="1" t="n">
        <v>46098</v>
      </c>
      <c r="D2563" t="inlineStr">
        <is>
          <t>UPPSALA LÄN</t>
        </is>
      </c>
      <c r="E2563" t="inlineStr">
        <is>
          <t>ÖSTHAMMAR</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23468-2025</t>
        </is>
      </c>
      <c r="B2564" s="1" t="n">
        <v>45792.43809027778</v>
      </c>
      <c r="C2564" s="1" t="n">
        <v>46098</v>
      </c>
      <c r="D2564" t="inlineStr">
        <is>
          <t>UPPSALA LÄN</t>
        </is>
      </c>
      <c r="E2564" t="inlineStr">
        <is>
          <t>TIERP</t>
        </is>
      </c>
      <c r="F2564" t="inlineStr">
        <is>
          <t>Bergvik skog väst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35316-2024</t>
        </is>
      </c>
      <c r="B2565" s="1" t="n">
        <v>45530.68873842592</v>
      </c>
      <c r="C2565" s="1" t="n">
        <v>46098</v>
      </c>
      <c r="D2565" t="inlineStr">
        <is>
          <t>UPPSALA LÄN</t>
        </is>
      </c>
      <c r="E2565" t="inlineStr">
        <is>
          <t>ÖSTHAMMAR</t>
        </is>
      </c>
      <c r="F2565" t="inlineStr">
        <is>
          <t>Bergvik skog öst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36626-2025</t>
        </is>
      </c>
      <c r="B2566" s="1" t="n">
        <v>45870.66732638889</v>
      </c>
      <c r="C2566" s="1" t="n">
        <v>46098</v>
      </c>
      <c r="D2566" t="inlineStr">
        <is>
          <t>UPPSALA LÄN</t>
        </is>
      </c>
      <c r="E2566" t="inlineStr">
        <is>
          <t>ÄLVKARLEBY</t>
        </is>
      </c>
      <c r="F2566" t="inlineStr">
        <is>
          <t>Bergvik skog väst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36645-2025</t>
        </is>
      </c>
      <c r="B2567" s="1" t="n">
        <v>45872</v>
      </c>
      <c r="C2567" s="1" t="n">
        <v>46098</v>
      </c>
      <c r="D2567" t="inlineStr">
        <is>
          <t>UPPSALA LÄN</t>
        </is>
      </c>
      <c r="E2567" t="inlineStr">
        <is>
          <t>ÖSTHAMMAR</t>
        </is>
      </c>
      <c r="F2567" t="inlineStr">
        <is>
          <t>Bergvik skog öst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39790-2025</t>
        </is>
      </c>
      <c r="B2568" s="1" t="n">
        <v>45891.48542824074</v>
      </c>
      <c r="C2568" s="1" t="n">
        <v>46098</v>
      </c>
      <c r="D2568" t="inlineStr">
        <is>
          <t>UPPSALA LÄN</t>
        </is>
      </c>
      <c r="E2568" t="inlineStr">
        <is>
          <t>TIERP</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13214-2025</t>
        </is>
      </c>
      <c r="B2569" s="1" t="n">
        <v>45735.44649305556</v>
      </c>
      <c r="C2569" s="1" t="n">
        <v>46098</v>
      </c>
      <c r="D2569" t="inlineStr">
        <is>
          <t>UPPSALA LÄN</t>
        </is>
      </c>
      <c r="E2569" t="inlineStr">
        <is>
          <t>TIERP</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63926-2025</t>
        </is>
      </c>
      <c r="B2570" s="1" t="n">
        <v>46020.76140046296</v>
      </c>
      <c r="C2570" s="1" t="n">
        <v>46098</v>
      </c>
      <c r="D2570" t="inlineStr">
        <is>
          <t>UPPSALA LÄN</t>
        </is>
      </c>
      <c r="E2570" t="inlineStr">
        <is>
          <t>TIERP</t>
        </is>
      </c>
      <c r="F2570" t="inlineStr">
        <is>
          <t>Bergvik skog öst AB</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63927-2025</t>
        </is>
      </c>
      <c r="B2571" s="1" t="n">
        <v>46020.76443287037</v>
      </c>
      <c r="C2571" s="1" t="n">
        <v>46098</v>
      </c>
      <c r="D2571" t="inlineStr">
        <is>
          <t>UPPSALA LÄN</t>
        </is>
      </c>
      <c r="E2571" t="inlineStr">
        <is>
          <t>TIERP</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20072-2025</t>
        </is>
      </c>
      <c r="B2572" s="1" t="n">
        <v>45772</v>
      </c>
      <c r="C2572" s="1" t="n">
        <v>46098</v>
      </c>
      <c r="D2572" t="inlineStr">
        <is>
          <t>UPPSALA LÄN</t>
        </is>
      </c>
      <c r="E2572" t="inlineStr">
        <is>
          <t>ÖSTHAMMAR</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63928-2025</t>
        </is>
      </c>
      <c r="B2573" s="1" t="n">
        <v>46020.76618055555</v>
      </c>
      <c r="C2573" s="1" t="n">
        <v>46098</v>
      </c>
      <c r="D2573" t="inlineStr">
        <is>
          <t>UPPSALA LÄN</t>
        </is>
      </c>
      <c r="E2573" t="inlineStr">
        <is>
          <t>TIERP</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63930-2025</t>
        </is>
      </c>
      <c r="B2574" s="1" t="n">
        <v>46020.77010416667</v>
      </c>
      <c r="C2574" s="1" t="n">
        <v>46098</v>
      </c>
      <c r="D2574" t="inlineStr">
        <is>
          <t>UPPSALA LÄN</t>
        </is>
      </c>
      <c r="E2574" t="inlineStr">
        <is>
          <t>TIERP</t>
        </is>
      </c>
      <c r="F2574" t="inlineStr">
        <is>
          <t>Bergvik skog öst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36644-2025</t>
        </is>
      </c>
      <c r="B2575" s="1" t="n">
        <v>45872.48738425926</v>
      </c>
      <c r="C2575" s="1" t="n">
        <v>46098</v>
      </c>
      <c r="D2575" t="inlineStr">
        <is>
          <t>UPPSALA LÄN</t>
        </is>
      </c>
      <c r="E2575" t="inlineStr">
        <is>
          <t>ÖSTHAMMAR</t>
        </is>
      </c>
      <c r="F2575" t="inlineStr">
        <is>
          <t>Bergvik skog öst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7855-2026</t>
        </is>
      </c>
      <c r="B2576" s="1" t="n">
        <v>46062.67241898148</v>
      </c>
      <c r="C2576" s="1" t="n">
        <v>46098</v>
      </c>
      <c r="D2576" t="inlineStr">
        <is>
          <t>UPPSALA LÄN</t>
        </is>
      </c>
      <c r="E2576" t="inlineStr">
        <is>
          <t>ÖSTHAMMAR</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7865-2026</t>
        </is>
      </c>
      <c r="B2577" s="1" t="n">
        <v>46062.73762731482</v>
      </c>
      <c r="C2577" s="1" t="n">
        <v>46098</v>
      </c>
      <c r="D2577" t="inlineStr">
        <is>
          <t>UPPSALA LÄN</t>
        </is>
      </c>
      <c r="E2577" t="inlineStr">
        <is>
          <t>UPPSALA</t>
        </is>
      </c>
      <c r="F2577" t="inlineStr">
        <is>
          <t>Bergvik skog öst AB</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13420-2021</t>
        </is>
      </c>
      <c r="B2578" s="1" t="n">
        <v>44273</v>
      </c>
      <c r="C2578" s="1" t="n">
        <v>46098</v>
      </c>
      <c r="D2578" t="inlineStr">
        <is>
          <t>UPPSALA LÄN</t>
        </is>
      </c>
      <c r="E2578" t="inlineStr">
        <is>
          <t>UPPSALA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8086-2026</t>
        </is>
      </c>
      <c r="B2579" s="1" t="n">
        <v>46063.70094907407</v>
      </c>
      <c r="C2579" s="1" t="n">
        <v>46098</v>
      </c>
      <c r="D2579" t="inlineStr">
        <is>
          <t>UPPSALA LÄN</t>
        </is>
      </c>
      <c r="E2579" t="inlineStr">
        <is>
          <t>ÖSTHAMMAR</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36599-2025</t>
        </is>
      </c>
      <c r="B2580" s="1" t="n">
        <v>45870.51723379629</v>
      </c>
      <c r="C2580" s="1" t="n">
        <v>46098</v>
      </c>
      <c r="D2580" t="inlineStr">
        <is>
          <t>UPPSALA LÄN</t>
        </is>
      </c>
      <c r="E2580" t="inlineStr">
        <is>
          <t>ENKÖPING</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7473-2026</t>
        </is>
      </c>
      <c r="B2581" s="1" t="n">
        <v>46059</v>
      </c>
      <c r="C2581" s="1" t="n">
        <v>46098</v>
      </c>
      <c r="D2581" t="inlineStr">
        <is>
          <t>UPPSALA LÄN</t>
        </is>
      </c>
      <c r="E2581" t="inlineStr">
        <is>
          <t>HEBY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63883-2025</t>
        </is>
      </c>
      <c r="B2582" s="1" t="n">
        <v>46020.58802083333</v>
      </c>
      <c r="C2582" s="1" t="n">
        <v>46098</v>
      </c>
      <c r="D2582" t="inlineStr">
        <is>
          <t>UPPSALA LÄN</t>
        </is>
      </c>
      <c r="E2582" t="inlineStr">
        <is>
          <t>TIERP</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63886-2025</t>
        </is>
      </c>
      <c r="B2583" s="1" t="n">
        <v>46020.61392361111</v>
      </c>
      <c r="C2583" s="1" t="n">
        <v>46098</v>
      </c>
      <c r="D2583" t="inlineStr">
        <is>
          <t>UPPSALA LÄN</t>
        </is>
      </c>
      <c r="E2583" t="inlineStr">
        <is>
          <t>TIERP</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30616-2025</t>
        </is>
      </c>
      <c r="B2584" s="1" t="n">
        <v>45831.46731481481</v>
      </c>
      <c r="C2584" s="1" t="n">
        <v>46098</v>
      </c>
      <c r="D2584" t="inlineStr">
        <is>
          <t>UPPSALA LÄN</t>
        </is>
      </c>
      <c r="E2584" t="inlineStr">
        <is>
          <t>UPPSALA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21876-2025</t>
        </is>
      </c>
      <c r="B2585" s="1" t="n">
        <v>45784</v>
      </c>
      <c r="C2585" s="1" t="n">
        <v>46098</v>
      </c>
      <c r="D2585" t="inlineStr">
        <is>
          <t>UPPSALA LÄN</t>
        </is>
      </c>
      <c r="E2585" t="inlineStr">
        <is>
          <t>TIERP</t>
        </is>
      </c>
      <c r="F2585" t="inlineStr">
        <is>
          <t>Bergvik skog öst AB</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34014-2025</t>
        </is>
      </c>
      <c r="B2586" s="1" t="n">
        <v>45845.30168981481</v>
      </c>
      <c r="C2586" s="1" t="n">
        <v>46098</v>
      </c>
      <c r="D2586" t="inlineStr">
        <is>
          <t>UPPSALA LÄN</t>
        </is>
      </c>
      <c r="E2586" t="inlineStr">
        <is>
          <t>TIERP</t>
        </is>
      </c>
      <c r="F2586" t="inlineStr">
        <is>
          <t>Bergvik skog öst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36646-2025</t>
        </is>
      </c>
      <c r="B2587" s="1" t="n">
        <v>45872</v>
      </c>
      <c r="C2587" s="1" t="n">
        <v>46098</v>
      </c>
      <c r="D2587" t="inlineStr">
        <is>
          <t>UPPSALA LÄN</t>
        </is>
      </c>
      <c r="E2587" t="inlineStr">
        <is>
          <t>ÖSTHAMMAR</t>
        </is>
      </c>
      <c r="F2587" t="inlineStr">
        <is>
          <t>Bergvik skog öst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6-2026</t>
        </is>
      </c>
      <c r="B2588" s="1" t="n">
        <v>46023.47248842593</v>
      </c>
      <c r="C2588" s="1" t="n">
        <v>46098</v>
      </c>
      <c r="D2588" t="inlineStr">
        <is>
          <t>UPPSALA LÄN</t>
        </is>
      </c>
      <c r="E2588" t="inlineStr">
        <is>
          <t>HEBY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8309-2026</t>
        </is>
      </c>
      <c r="B2589" s="1" t="n">
        <v>46064.59081018518</v>
      </c>
      <c r="C2589" s="1" t="n">
        <v>46098</v>
      </c>
      <c r="D2589" t="inlineStr">
        <is>
          <t>UPPSALA LÄN</t>
        </is>
      </c>
      <c r="E2589" t="inlineStr">
        <is>
          <t>ENKÖPING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9206-2022</t>
        </is>
      </c>
      <c r="B2590" s="1" t="n">
        <v>44616</v>
      </c>
      <c r="C2590" s="1" t="n">
        <v>46098</v>
      </c>
      <c r="D2590" t="inlineStr">
        <is>
          <t>UPPSALA LÄN</t>
        </is>
      </c>
      <c r="E2590" t="inlineStr">
        <is>
          <t>UPPSALA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8269-2026</t>
        </is>
      </c>
      <c r="B2591" s="1" t="n">
        <v>46064.54721064815</v>
      </c>
      <c r="C2591" s="1" t="n">
        <v>46098</v>
      </c>
      <c r="D2591" t="inlineStr">
        <is>
          <t>UPPSALA LÄN</t>
        </is>
      </c>
      <c r="E2591" t="inlineStr">
        <is>
          <t>ÖSTHAMMAR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45561-2023</t>
        </is>
      </c>
      <c r="B2592" s="1" t="n">
        <v>45194.59335648148</v>
      </c>
      <c r="C2592" s="1" t="n">
        <v>46098</v>
      </c>
      <c r="D2592" t="inlineStr">
        <is>
          <t>UPPSALA LÄN</t>
        </is>
      </c>
      <c r="E2592" t="inlineStr">
        <is>
          <t>ÖSTHAMMAR</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8500-2026</t>
        </is>
      </c>
      <c r="B2593" s="1" t="n">
        <v>46065.50152777778</v>
      </c>
      <c r="C2593" s="1" t="n">
        <v>46098</v>
      </c>
      <c r="D2593" t="inlineStr">
        <is>
          <t>UPPSALA LÄN</t>
        </is>
      </c>
      <c r="E2593" t="inlineStr">
        <is>
          <t>UPPSALA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8364-2026</t>
        </is>
      </c>
      <c r="B2594" s="1" t="n">
        <v>46064</v>
      </c>
      <c r="C2594" s="1" t="n">
        <v>46098</v>
      </c>
      <c r="D2594" t="inlineStr">
        <is>
          <t>UPPSALA LÄN</t>
        </is>
      </c>
      <c r="E2594" t="inlineStr">
        <is>
          <t>UPPSALA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8377-2026</t>
        </is>
      </c>
      <c r="B2595" s="1" t="n">
        <v>46064.78336805556</v>
      </c>
      <c r="C2595" s="1" t="n">
        <v>46098</v>
      </c>
      <c r="D2595" t="inlineStr">
        <is>
          <t>UPPSALA LÄN</t>
        </is>
      </c>
      <c r="E2595" t="inlineStr">
        <is>
          <t>UPPSALA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16916-2023</t>
        </is>
      </c>
      <c r="B2596" s="1" t="n">
        <v>45033.58347222222</v>
      </c>
      <c r="C2596" s="1" t="n">
        <v>46098</v>
      </c>
      <c r="D2596" t="inlineStr">
        <is>
          <t>UPPSALA LÄN</t>
        </is>
      </c>
      <c r="E2596" t="inlineStr">
        <is>
          <t>ENKÖPING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35193-2025</t>
        </is>
      </c>
      <c r="B2597" s="1" t="n">
        <v>45853</v>
      </c>
      <c r="C2597" s="1" t="n">
        <v>46098</v>
      </c>
      <c r="D2597" t="inlineStr">
        <is>
          <t>UPPSALA LÄN</t>
        </is>
      </c>
      <c r="E2597" t="inlineStr">
        <is>
          <t>HÅBO</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7-2026</t>
        </is>
      </c>
      <c r="B2598" s="1" t="n">
        <v>46023.47561342592</v>
      </c>
      <c r="C2598" s="1" t="n">
        <v>46098</v>
      </c>
      <c r="D2598" t="inlineStr">
        <is>
          <t>UPPSALA LÄN</t>
        </is>
      </c>
      <c r="E2598" t="inlineStr">
        <is>
          <t>HEBY</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34838-2024</t>
        </is>
      </c>
      <c r="B2599" s="1" t="n">
        <v>45526</v>
      </c>
      <c r="C2599" s="1" t="n">
        <v>46098</v>
      </c>
      <c r="D2599" t="inlineStr">
        <is>
          <t>UPPSALA LÄN</t>
        </is>
      </c>
      <c r="E2599" t="inlineStr">
        <is>
          <t>TIERP</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36913-2025</t>
        </is>
      </c>
      <c r="B2600" s="1" t="n">
        <v>45874</v>
      </c>
      <c r="C2600" s="1" t="n">
        <v>46098</v>
      </c>
      <c r="D2600" t="inlineStr">
        <is>
          <t>UPPSALA LÄN</t>
        </is>
      </c>
      <c r="E2600" t="inlineStr">
        <is>
          <t>UPPSALA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8582-2026</t>
        </is>
      </c>
      <c r="B2601" s="1" t="n">
        <v>46065.72112268519</v>
      </c>
      <c r="C2601" s="1" t="n">
        <v>46098</v>
      </c>
      <c r="D2601" t="inlineStr">
        <is>
          <t>UPPSALA LÄN</t>
        </is>
      </c>
      <c r="E2601" t="inlineStr">
        <is>
          <t>UPPSALA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5-2026</t>
        </is>
      </c>
      <c r="B2602" s="1" t="n">
        <v>46023.45719907407</v>
      </c>
      <c r="C2602" s="1" t="n">
        <v>46098</v>
      </c>
      <c r="D2602" t="inlineStr">
        <is>
          <t>UPPSALA LÄN</t>
        </is>
      </c>
      <c r="E2602" t="inlineStr">
        <is>
          <t>HEBY</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8498-2026</t>
        </is>
      </c>
      <c r="B2603" s="1" t="n">
        <v>46065.49472222223</v>
      </c>
      <c r="C2603" s="1" t="n">
        <v>46098</v>
      </c>
      <c r="D2603" t="inlineStr">
        <is>
          <t>UPPSALA LÄN</t>
        </is>
      </c>
      <c r="E2603" t="inlineStr">
        <is>
          <t>UPPSALA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37010-2025</t>
        </is>
      </c>
      <c r="B2604" s="1" t="n">
        <v>45874.705</v>
      </c>
      <c r="C2604" s="1" t="n">
        <v>46098</v>
      </c>
      <c r="D2604" t="inlineStr">
        <is>
          <t>UPPSALA LÄN</t>
        </is>
      </c>
      <c r="E2604" t="inlineStr">
        <is>
          <t>UPPSALA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57704-2024</t>
        </is>
      </c>
      <c r="B2605" s="1" t="n">
        <v>45630</v>
      </c>
      <c r="C2605" s="1" t="n">
        <v>46098</v>
      </c>
      <c r="D2605" t="inlineStr">
        <is>
          <t>UPPSALA LÄN</t>
        </is>
      </c>
      <c r="E2605" t="inlineStr">
        <is>
          <t>HEBY</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8291-2026</t>
        </is>
      </c>
      <c r="B2606" s="1" t="n">
        <v>46064.56945601852</v>
      </c>
      <c r="C2606" s="1" t="n">
        <v>46098</v>
      </c>
      <c r="D2606" t="inlineStr">
        <is>
          <t>UPPSALA LÄN</t>
        </is>
      </c>
      <c r="E2606" t="inlineStr">
        <is>
          <t>ÖSTHAMMAR</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8525-2026</t>
        </is>
      </c>
      <c r="B2607" s="1" t="n">
        <v>46065.58760416666</v>
      </c>
      <c r="C2607" s="1" t="n">
        <v>46098</v>
      </c>
      <c r="D2607" t="inlineStr">
        <is>
          <t>UPPSALA LÄN</t>
        </is>
      </c>
      <c r="E2607" t="inlineStr">
        <is>
          <t>ÖSTHAMMAR</t>
        </is>
      </c>
      <c r="F2607" t="inlineStr">
        <is>
          <t>Övriga Aktiebolag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56886-2023</t>
        </is>
      </c>
      <c r="B2608" s="1" t="n">
        <v>45239</v>
      </c>
      <c r="C2608" s="1" t="n">
        <v>46098</v>
      </c>
      <c r="D2608" t="inlineStr">
        <is>
          <t>UPPSALA LÄN</t>
        </is>
      </c>
      <c r="E2608" t="inlineStr">
        <is>
          <t>ENKÖPING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8530-2026</t>
        </is>
      </c>
      <c r="B2609" s="1" t="n">
        <v>46065.60075231481</v>
      </c>
      <c r="C2609" s="1" t="n">
        <v>46098</v>
      </c>
      <c r="D2609" t="inlineStr">
        <is>
          <t>UPPSALA LÄN</t>
        </is>
      </c>
      <c r="E2609" t="inlineStr">
        <is>
          <t>ÖSTHAMMAR</t>
        </is>
      </c>
      <c r="F2609" t="inlineStr">
        <is>
          <t>Övriga Aktiebolag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223-2026</t>
        </is>
      </c>
      <c r="B2610" s="1" t="n">
        <v>46026.84339120371</v>
      </c>
      <c r="C2610" s="1" t="n">
        <v>46098</v>
      </c>
      <c r="D2610" t="inlineStr">
        <is>
          <t>UPPSALA LÄN</t>
        </is>
      </c>
      <c r="E2610" t="inlineStr">
        <is>
          <t>ÖSTHAMMAR</t>
        </is>
      </c>
      <c r="G2610" t="n">
        <v>39.2</v>
      </c>
      <c r="H2610" t="n">
        <v>0</v>
      </c>
      <c r="I2610" t="n">
        <v>0</v>
      </c>
      <c r="J2610" t="n">
        <v>0</v>
      </c>
      <c r="K2610" t="n">
        <v>0</v>
      </c>
      <c r="L2610" t="n">
        <v>0</v>
      </c>
      <c r="M2610" t="n">
        <v>0</v>
      </c>
      <c r="N2610" t="n">
        <v>0</v>
      </c>
      <c r="O2610" t="n">
        <v>0</v>
      </c>
      <c r="P2610" t="n">
        <v>0</v>
      </c>
      <c r="Q2610" t="n">
        <v>0</v>
      </c>
      <c r="R2610" s="2" t="inlineStr"/>
    </row>
    <row r="2611" ht="15" customHeight="1">
      <c r="A2611" t="inlineStr">
        <is>
          <t>A 37486-2025</t>
        </is>
      </c>
      <c r="B2611" s="1" t="n">
        <v>45877.62969907407</v>
      </c>
      <c r="C2611" s="1" t="n">
        <v>46098</v>
      </c>
      <c r="D2611" t="inlineStr">
        <is>
          <t>UPPSALA LÄN</t>
        </is>
      </c>
      <c r="E2611" t="inlineStr">
        <is>
          <t>UPPSALA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99-2026</t>
        </is>
      </c>
      <c r="B2612" s="1" t="n">
        <v>46024.50481481481</v>
      </c>
      <c r="C2612" s="1" t="n">
        <v>46098</v>
      </c>
      <c r="D2612" t="inlineStr">
        <is>
          <t>UPPSALA LÄN</t>
        </is>
      </c>
      <c r="E2612" t="inlineStr">
        <is>
          <t>TIERP</t>
        </is>
      </c>
      <c r="F2612" t="inlineStr">
        <is>
          <t>Bergvik skog öst AB</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16212-2021</t>
        </is>
      </c>
      <c r="B2613" s="1" t="n">
        <v>44287</v>
      </c>
      <c r="C2613" s="1" t="n">
        <v>46098</v>
      </c>
      <c r="D2613" t="inlineStr">
        <is>
          <t>UPPSALA LÄN</t>
        </is>
      </c>
      <c r="E2613" t="inlineStr">
        <is>
          <t>ÖSTHAMMAR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9069-2026</t>
        </is>
      </c>
      <c r="B2614" s="1" t="n">
        <v>46069.57407407407</v>
      </c>
      <c r="C2614" s="1" t="n">
        <v>46098</v>
      </c>
      <c r="D2614" t="inlineStr">
        <is>
          <t>UPPSALA LÄN</t>
        </is>
      </c>
      <c r="E2614" t="inlineStr">
        <is>
          <t>UPPSALA</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100-2026</t>
        </is>
      </c>
      <c r="B2615" s="1" t="n">
        <v>46024.50523148148</v>
      </c>
      <c r="C2615" s="1" t="n">
        <v>46098</v>
      </c>
      <c r="D2615" t="inlineStr">
        <is>
          <t>UPPSALA LÄN</t>
        </is>
      </c>
      <c r="E2615" t="inlineStr">
        <is>
          <t>TIERP</t>
        </is>
      </c>
      <c r="F2615" t="inlineStr">
        <is>
          <t>Bergvik skog öst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9981-2025</t>
        </is>
      </c>
      <c r="B2616" s="1" t="n">
        <v>45719.40723379629</v>
      </c>
      <c r="C2616" s="1" t="n">
        <v>46098</v>
      </c>
      <c r="D2616" t="inlineStr">
        <is>
          <t>UPPSALA LÄN</t>
        </is>
      </c>
      <c r="E2616" t="inlineStr">
        <is>
          <t>UPPSALA</t>
        </is>
      </c>
      <c r="F2616" t="inlineStr">
        <is>
          <t>Kyrkan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37498-2025</t>
        </is>
      </c>
      <c r="B2617" s="1" t="n">
        <v>45877</v>
      </c>
      <c r="C2617" s="1" t="n">
        <v>46098</v>
      </c>
      <c r="D2617" t="inlineStr">
        <is>
          <t>UPPSALA LÄN</t>
        </is>
      </c>
      <c r="E2617" t="inlineStr">
        <is>
          <t>ENKÖPING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37351-2025</t>
        </is>
      </c>
      <c r="B2618" s="1" t="n">
        <v>45876</v>
      </c>
      <c r="C2618" s="1" t="n">
        <v>46098</v>
      </c>
      <c r="D2618" t="inlineStr">
        <is>
          <t>UPPSALA LÄN</t>
        </is>
      </c>
      <c r="E2618" t="inlineStr">
        <is>
          <t>UPPSALA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60698-2024</t>
        </is>
      </c>
      <c r="B2619" s="1" t="n">
        <v>45644</v>
      </c>
      <c r="C2619" s="1" t="n">
        <v>46098</v>
      </c>
      <c r="D2619" t="inlineStr">
        <is>
          <t>UPPSALA LÄN</t>
        </is>
      </c>
      <c r="E2619" t="inlineStr">
        <is>
          <t>UPPSALA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60735-2024</t>
        </is>
      </c>
      <c r="B2620" s="1" t="n">
        <v>45644</v>
      </c>
      <c r="C2620" s="1" t="n">
        <v>46098</v>
      </c>
      <c r="D2620" t="inlineStr">
        <is>
          <t>UPPSALA LÄN</t>
        </is>
      </c>
      <c r="E2620" t="inlineStr">
        <is>
          <t>UPPSALA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37296-2025</t>
        </is>
      </c>
      <c r="B2621" s="1" t="n">
        <v>45876</v>
      </c>
      <c r="C2621" s="1" t="n">
        <v>46098</v>
      </c>
      <c r="D2621" t="inlineStr">
        <is>
          <t>UPPSALA LÄN</t>
        </is>
      </c>
      <c r="E2621" t="inlineStr">
        <is>
          <t>ENKÖPING</t>
        </is>
      </c>
      <c r="G2621" t="n">
        <v>9.5</v>
      </c>
      <c r="H2621" t="n">
        <v>0</v>
      </c>
      <c r="I2621" t="n">
        <v>0</v>
      </c>
      <c r="J2621" t="n">
        <v>0</v>
      </c>
      <c r="K2621" t="n">
        <v>0</v>
      </c>
      <c r="L2621" t="n">
        <v>0</v>
      </c>
      <c r="M2621" t="n">
        <v>0</v>
      </c>
      <c r="N2621" t="n">
        <v>0</v>
      </c>
      <c r="O2621" t="n">
        <v>0</v>
      </c>
      <c r="P2621" t="n">
        <v>0</v>
      </c>
      <c r="Q2621" t="n">
        <v>0</v>
      </c>
      <c r="R2621" s="2" t="inlineStr"/>
    </row>
    <row r="2622" ht="15" customHeight="1">
      <c r="A2622" t="inlineStr">
        <is>
          <t>A 35016-2025</t>
        </is>
      </c>
      <c r="B2622" s="1" t="n">
        <v>45851.62179398148</v>
      </c>
      <c r="C2622" s="1" t="n">
        <v>46098</v>
      </c>
      <c r="D2622" t="inlineStr">
        <is>
          <t>UPPSALA LÄN</t>
        </is>
      </c>
      <c r="E2622" t="inlineStr">
        <is>
          <t>UPPSALA</t>
        </is>
      </c>
      <c r="F2622" t="inlineStr">
        <is>
          <t>Bergvik skog öst AB</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360-2026</t>
        </is>
      </c>
      <c r="B2623" s="1" t="n">
        <v>46027.66442129629</v>
      </c>
      <c r="C2623" s="1" t="n">
        <v>46098</v>
      </c>
      <c r="D2623" t="inlineStr">
        <is>
          <t>UPPSALA LÄN</t>
        </is>
      </c>
      <c r="E2623" t="inlineStr">
        <is>
          <t>ÖSTHAMMAR</t>
        </is>
      </c>
      <c r="F2623" t="inlineStr">
        <is>
          <t>Bergvik skog öst AB</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37352-2025</t>
        </is>
      </c>
      <c r="B2624" s="1" t="n">
        <v>45876</v>
      </c>
      <c r="C2624" s="1" t="n">
        <v>46098</v>
      </c>
      <c r="D2624" t="inlineStr">
        <is>
          <t>UPPSALA LÄN</t>
        </is>
      </c>
      <c r="E2624" t="inlineStr">
        <is>
          <t>UPPSALA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61463-2024</t>
        </is>
      </c>
      <c r="B2625" s="1" t="n">
        <v>45646.50211805556</v>
      </c>
      <c r="C2625" s="1" t="n">
        <v>46098</v>
      </c>
      <c r="D2625" t="inlineStr">
        <is>
          <t>UPPSALA LÄN</t>
        </is>
      </c>
      <c r="E2625" t="inlineStr">
        <is>
          <t>UPPSALA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8486-2026</t>
        </is>
      </c>
      <c r="B2626" s="1" t="n">
        <v>46064</v>
      </c>
      <c r="C2626" s="1" t="n">
        <v>46098</v>
      </c>
      <c r="D2626" t="inlineStr">
        <is>
          <t>UPPSALA LÄN</t>
        </is>
      </c>
      <c r="E2626" t="inlineStr">
        <is>
          <t>HÅBO</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37468-2025</t>
        </is>
      </c>
      <c r="B2627" s="1" t="n">
        <v>45877.57847222222</v>
      </c>
      <c r="C2627" s="1" t="n">
        <v>46098</v>
      </c>
      <c r="D2627" t="inlineStr">
        <is>
          <t>UPPSALA LÄN</t>
        </is>
      </c>
      <c r="E2627" t="inlineStr">
        <is>
          <t>UPPSALA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37316-2025</t>
        </is>
      </c>
      <c r="B2628" s="1" t="n">
        <v>45876.61597222222</v>
      </c>
      <c r="C2628" s="1" t="n">
        <v>46098</v>
      </c>
      <c r="D2628" t="inlineStr">
        <is>
          <t>UPPSALA LÄN</t>
        </is>
      </c>
      <c r="E2628" t="inlineStr">
        <is>
          <t>HEBY</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37319-2025</t>
        </is>
      </c>
      <c r="B2629" s="1" t="n">
        <v>45876</v>
      </c>
      <c r="C2629" s="1" t="n">
        <v>46098</v>
      </c>
      <c r="D2629" t="inlineStr">
        <is>
          <t>UPPSALA LÄN</t>
        </is>
      </c>
      <c r="E2629" t="inlineStr">
        <is>
          <t>ENKÖPING</t>
        </is>
      </c>
      <c r="G2629" t="n">
        <v>9.5</v>
      </c>
      <c r="H2629" t="n">
        <v>0</v>
      </c>
      <c r="I2629" t="n">
        <v>0</v>
      </c>
      <c r="J2629" t="n">
        <v>0</v>
      </c>
      <c r="K2629" t="n">
        <v>0</v>
      </c>
      <c r="L2629" t="n">
        <v>0</v>
      </c>
      <c r="M2629" t="n">
        <v>0</v>
      </c>
      <c r="N2629" t="n">
        <v>0</v>
      </c>
      <c r="O2629" t="n">
        <v>0</v>
      </c>
      <c r="P2629" t="n">
        <v>0</v>
      </c>
      <c r="Q2629" t="n">
        <v>0</v>
      </c>
      <c r="R2629" s="2" t="inlineStr"/>
    </row>
    <row r="2630" ht="15" customHeight="1">
      <c r="A2630" t="inlineStr">
        <is>
          <t>A 285-2026</t>
        </is>
      </c>
      <c r="B2630" s="1" t="n">
        <v>46027.49130787037</v>
      </c>
      <c r="C2630" s="1" t="n">
        <v>46098</v>
      </c>
      <c r="D2630" t="inlineStr">
        <is>
          <t>UPPSALA LÄN</t>
        </is>
      </c>
      <c r="E2630" t="inlineStr">
        <is>
          <t>ÖSTHAMMAR</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8789-2026</t>
        </is>
      </c>
      <c r="B2631" s="1" t="n">
        <v>46066.58792824074</v>
      </c>
      <c r="C2631" s="1" t="n">
        <v>46098</v>
      </c>
      <c r="D2631" t="inlineStr">
        <is>
          <t>UPPSALA LÄN</t>
        </is>
      </c>
      <c r="E2631" t="inlineStr">
        <is>
          <t>ÖSTHAMMAR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192-2026</t>
        </is>
      </c>
      <c r="B2632" s="1" t="n">
        <v>46025</v>
      </c>
      <c r="C2632" s="1" t="n">
        <v>46098</v>
      </c>
      <c r="D2632" t="inlineStr">
        <is>
          <t>UPPSALA LÄN</t>
        </is>
      </c>
      <c r="E2632" t="inlineStr">
        <is>
          <t>ENKÖPING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37561-2025</t>
        </is>
      </c>
      <c r="B2633" s="1" t="n">
        <v>45880.34064814815</v>
      </c>
      <c r="C2633" s="1" t="n">
        <v>46098</v>
      </c>
      <c r="D2633" t="inlineStr">
        <is>
          <t>UPPSALA LÄN</t>
        </is>
      </c>
      <c r="E2633" t="inlineStr">
        <is>
          <t>UPPSALA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37656-2025</t>
        </is>
      </c>
      <c r="B2634" s="1" t="n">
        <v>45880</v>
      </c>
      <c r="C2634" s="1" t="n">
        <v>46098</v>
      </c>
      <c r="D2634" t="inlineStr">
        <is>
          <t>UPPSALA LÄN</t>
        </is>
      </c>
      <c r="E2634" t="inlineStr">
        <is>
          <t>ÖSTHAMMAR</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56084-2024</t>
        </is>
      </c>
      <c r="B2635" s="1" t="n">
        <v>45624</v>
      </c>
      <c r="C2635" s="1" t="n">
        <v>46098</v>
      </c>
      <c r="D2635" t="inlineStr">
        <is>
          <t>UPPSALA LÄN</t>
        </is>
      </c>
      <c r="E2635" t="inlineStr">
        <is>
          <t>UPPSALA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20206-2023</t>
        </is>
      </c>
      <c r="B2636" s="1" t="n">
        <v>45055</v>
      </c>
      <c r="C2636" s="1" t="n">
        <v>46098</v>
      </c>
      <c r="D2636" t="inlineStr">
        <is>
          <t>UPPSALA LÄN</t>
        </is>
      </c>
      <c r="E2636" t="inlineStr">
        <is>
          <t>UPPSALA</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19339-2025</t>
        </is>
      </c>
      <c r="B2637" s="1" t="n">
        <v>45769.59454861111</v>
      </c>
      <c r="C2637" s="1" t="n">
        <v>46098</v>
      </c>
      <c r="D2637" t="inlineStr">
        <is>
          <t>UPPSALA LÄN</t>
        </is>
      </c>
      <c r="E2637" t="inlineStr">
        <is>
          <t>TIERP</t>
        </is>
      </c>
      <c r="F2637" t="inlineStr">
        <is>
          <t>Bergvik skog öst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8767-2026</t>
        </is>
      </c>
      <c r="B2638" s="1" t="n">
        <v>46066.56225694445</v>
      </c>
      <c r="C2638" s="1" t="n">
        <v>46098</v>
      </c>
      <c r="D2638" t="inlineStr">
        <is>
          <t>UPPSALA LÄN</t>
        </is>
      </c>
      <c r="E2638" t="inlineStr">
        <is>
          <t>TIERP</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380-2026</t>
        </is>
      </c>
      <c r="B2639" s="1" t="n">
        <v>46027.73540509259</v>
      </c>
      <c r="C2639" s="1" t="n">
        <v>46098</v>
      </c>
      <c r="D2639" t="inlineStr">
        <is>
          <t>UPPSALA LÄN</t>
        </is>
      </c>
      <c r="E2639" t="inlineStr">
        <is>
          <t>TIERP</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362-2026</t>
        </is>
      </c>
      <c r="B2640" s="1" t="n">
        <v>46027.6659375</v>
      </c>
      <c r="C2640" s="1" t="n">
        <v>46098</v>
      </c>
      <c r="D2640" t="inlineStr">
        <is>
          <t>UPPSALA LÄN</t>
        </is>
      </c>
      <c r="E2640" t="inlineStr">
        <is>
          <t>ÖSTHAMMAR</t>
        </is>
      </c>
      <c r="F2640" t="inlineStr">
        <is>
          <t>Bergvik skog öst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37611-2025</t>
        </is>
      </c>
      <c r="B2641" s="1" t="n">
        <v>45880</v>
      </c>
      <c r="C2641" s="1" t="n">
        <v>46098</v>
      </c>
      <c r="D2641" t="inlineStr">
        <is>
          <t>UPPSALA LÄN</t>
        </is>
      </c>
      <c r="E2641" t="inlineStr">
        <is>
          <t>UPPSALA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37759-2025</t>
        </is>
      </c>
      <c r="B2642" s="1" t="n">
        <v>45880.68200231482</v>
      </c>
      <c r="C2642" s="1" t="n">
        <v>46098</v>
      </c>
      <c r="D2642" t="inlineStr">
        <is>
          <t>UPPSALA LÄN</t>
        </is>
      </c>
      <c r="E2642" t="inlineStr">
        <is>
          <t>UPPSALA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37764-2025</t>
        </is>
      </c>
      <c r="B2643" s="1" t="n">
        <v>45880.70917824074</v>
      </c>
      <c r="C2643" s="1" t="n">
        <v>46098</v>
      </c>
      <c r="D2643" t="inlineStr">
        <is>
          <t>UPPSALA LÄN</t>
        </is>
      </c>
      <c r="E2643" t="inlineStr">
        <is>
          <t>ÖSTHAMMAR</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37851-2025</t>
        </is>
      </c>
      <c r="B2644" s="1" t="n">
        <v>45881.44938657407</v>
      </c>
      <c r="C2644" s="1" t="n">
        <v>46098</v>
      </c>
      <c r="D2644" t="inlineStr">
        <is>
          <t>UPPSALA LÄN</t>
        </is>
      </c>
      <c r="E2644" t="inlineStr">
        <is>
          <t>UPPSALA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49622-2024</t>
        </is>
      </c>
      <c r="B2645" s="1" t="n">
        <v>45596.58372685185</v>
      </c>
      <c r="C2645" s="1" t="n">
        <v>46098</v>
      </c>
      <c r="D2645" t="inlineStr">
        <is>
          <t>UPPSALA LÄN</t>
        </is>
      </c>
      <c r="E2645" t="inlineStr">
        <is>
          <t>ENKÖPING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37770-2025</t>
        </is>
      </c>
      <c r="B2646" s="1" t="n">
        <v>45880.7505787037</v>
      </c>
      <c r="C2646" s="1" t="n">
        <v>46098</v>
      </c>
      <c r="D2646" t="inlineStr">
        <is>
          <t>UPPSALA LÄN</t>
        </is>
      </c>
      <c r="E2646" t="inlineStr">
        <is>
          <t>ÖSTHAMMAR</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37557-2025</t>
        </is>
      </c>
      <c r="B2647" s="1" t="n">
        <v>45880.32907407408</v>
      </c>
      <c r="C2647" s="1" t="n">
        <v>46098</v>
      </c>
      <c r="D2647" t="inlineStr">
        <is>
          <t>UPPSALA LÄN</t>
        </is>
      </c>
      <c r="E2647" t="inlineStr">
        <is>
          <t>UPPSALA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9469-2026</t>
        </is>
      </c>
      <c r="B2648" s="1" t="n">
        <v>46071.51248842593</v>
      </c>
      <c r="C2648" s="1" t="n">
        <v>46098</v>
      </c>
      <c r="D2648" t="inlineStr">
        <is>
          <t>UPPSALA LÄN</t>
        </is>
      </c>
      <c r="E2648" t="inlineStr">
        <is>
          <t>ENKÖPING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37856-2025</t>
        </is>
      </c>
      <c r="B2649" s="1" t="n">
        <v>45881.45898148148</v>
      </c>
      <c r="C2649" s="1" t="n">
        <v>46098</v>
      </c>
      <c r="D2649" t="inlineStr">
        <is>
          <t>UPPSALA LÄN</t>
        </is>
      </c>
      <c r="E2649" t="inlineStr">
        <is>
          <t>UPPSALA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9357-2026</t>
        </is>
      </c>
      <c r="B2650" s="1" t="n">
        <v>46070.71199074074</v>
      </c>
      <c r="C2650" s="1" t="n">
        <v>46098</v>
      </c>
      <c r="D2650" t="inlineStr">
        <is>
          <t>UPPSALA LÄN</t>
        </is>
      </c>
      <c r="E2650" t="inlineStr">
        <is>
          <t>HEBY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9247-2026</t>
        </is>
      </c>
      <c r="B2651" s="1" t="n">
        <v>46070.49069444444</v>
      </c>
      <c r="C2651" s="1" t="n">
        <v>46098</v>
      </c>
      <c r="D2651" t="inlineStr">
        <is>
          <t>UPPSALA LÄN</t>
        </is>
      </c>
      <c r="E2651" t="inlineStr">
        <is>
          <t>TIERP</t>
        </is>
      </c>
      <c r="F2651" t="inlineStr">
        <is>
          <t>Bergvik skog öst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9572-2026</t>
        </is>
      </c>
      <c r="B2652" s="1" t="n">
        <v>46071.66385416667</v>
      </c>
      <c r="C2652" s="1" t="n">
        <v>46098</v>
      </c>
      <c r="D2652" t="inlineStr">
        <is>
          <t>UPPSALA LÄN</t>
        </is>
      </c>
      <c r="E2652" t="inlineStr">
        <is>
          <t>TIERP</t>
        </is>
      </c>
      <c r="F2652" t="inlineStr">
        <is>
          <t>Bergvik skog öst AB</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3287-2025</t>
        </is>
      </c>
      <c r="B2653" s="1" t="n">
        <v>45679</v>
      </c>
      <c r="C2653" s="1" t="n">
        <v>46098</v>
      </c>
      <c r="D2653" t="inlineStr">
        <is>
          <t>UPPSALA LÄN</t>
        </is>
      </c>
      <c r="E2653" t="inlineStr">
        <is>
          <t>UPPSALA</t>
        </is>
      </c>
      <c r="F2653" t="inlineStr">
        <is>
          <t>Kyrkan</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5189-2025</t>
        </is>
      </c>
      <c r="B2654" s="1" t="n">
        <v>45691</v>
      </c>
      <c r="C2654" s="1" t="n">
        <v>46098</v>
      </c>
      <c r="D2654" t="inlineStr">
        <is>
          <t>UPPSALA LÄN</t>
        </is>
      </c>
      <c r="E2654" t="inlineStr">
        <is>
          <t>ÖSTHAMMAR</t>
        </is>
      </c>
      <c r="F2654" t="inlineStr">
        <is>
          <t>Bergvik skog öst AB</t>
        </is>
      </c>
      <c r="G2654" t="n">
        <v>24.4</v>
      </c>
      <c r="H2654" t="n">
        <v>0</v>
      </c>
      <c r="I2654" t="n">
        <v>0</v>
      </c>
      <c r="J2654" t="n">
        <v>0</v>
      </c>
      <c r="K2654" t="n">
        <v>0</v>
      </c>
      <c r="L2654" t="n">
        <v>0</v>
      </c>
      <c r="M2654" t="n">
        <v>0</v>
      </c>
      <c r="N2654" t="n">
        <v>0</v>
      </c>
      <c r="O2654" t="n">
        <v>0</v>
      </c>
      <c r="P2654" t="n">
        <v>0</v>
      </c>
      <c r="Q2654" t="n">
        <v>0</v>
      </c>
      <c r="R2654" s="2" t="inlineStr"/>
    </row>
    <row r="2655" ht="15" customHeight="1">
      <c r="A2655" t="inlineStr">
        <is>
          <t>A 9467-2026</t>
        </is>
      </c>
      <c r="B2655" s="1" t="n">
        <v>46071.50694444445</v>
      </c>
      <c r="C2655" s="1" t="n">
        <v>46098</v>
      </c>
      <c r="D2655" t="inlineStr">
        <is>
          <t>UPPSALA LÄN</t>
        </is>
      </c>
      <c r="E2655" t="inlineStr">
        <is>
          <t>ENKÖPING</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37884-2025</t>
        </is>
      </c>
      <c r="B2656" s="1" t="n">
        <v>45881.5046412037</v>
      </c>
      <c r="C2656" s="1" t="n">
        <v>46098</v>
      </c>
      <c r="D2656" t="inlineStr">
        <is>
          <t>UPPSALA LÄN</t>
        </is>
      </c>
      <c r="E2656" t="inlineStr">
        <is>
          <t>TIERP</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9345-2026</t>
        </is>
      </c>
      <c r="B2657" s="1" t="n">
        <v>46070.68413194444</v>
      </c>
      <c r="C2657" s="1" t="n">
        <v>46098</v>
      </c>
      <c r="D2657" t="inlineStr">
        <is>
          <t>UPPSALA LÄN</t>
        </is>
      </c>
      <c r="E2657" t="inlineStr">
        <is>
          <t>HEBY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9348-2026</t>
        </is>
      </c>
      <c r="B2658" s="1" t="n">
        <v>46070.69023148148</v>
      </c>
      <c r="C2658" s="1" t="n">
        <v>46098</v>
      </c>
      <c r="D2658" t="inlineStr">
        <is>
          <t>UPPSALA LÄN</t>
        </is>
      </c>
      <c r="E2658" t="inlineStr">
        <is>
          <t>HEBY</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638-2026</t>
        </is>
      </c>
      <c r="B2659" s="1" t="n">
        <v>46029.56026620371</v>
      </c>
      <c r="C2659" s="1" t="n">
        <v>46098</v>
      </c>
      <c r="D2659" t="inlineStr">
        <is>
          <t>UPPSALA LÄN</t>
        </is>
      </c>
      <c r="E2659" t="inlineStr">
        <is>
          <t>ÖSTHAMMAR</t>
        </is>
      </c>
      <c r="F2659" t="inlineStr">
        <is>
          <t>Bergvik skog öst AB</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9356-2026</t>
        </is>
      </c>
      <c r="B2660" s="1" t="n">
        <v>46070.71038194445</v>
      </c>
      <c r="C2660" s="1" t="n">
        <v>46098</v>
      </c>
      <c r="D2660" t="inlineStr">
        <is>
          <t>UPPSALA LÄN</t>
        </is>
      </c>
      <c r="E2660" t="inlineStr">
        <is>
          <t>HEBY</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9456-2026</t>
        </is>
      </c>
      <c r="B2661" s="1" t="n">
        <v>46071.48775462963</v>
      </c>
      <c r="C2661" s="1" t="n">
        <v>46098</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60701-2022</t>
        </is>
      </c>
      <c r="B2662" s="1" t="n">
        <v>44912</v>
      </c>
      <c r="C2662" s="1" t="n">
        <v>46098</v>
      </c>
      <c r="D2662" t="inlineStr">
        <is>
          <t>UPPSALA LÄN</t>
        </is>
      </c>
      <c r="E2662" t="inlineStr">
        <is>
          <t>UPPSALA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60722-2022</t>
        </is>
      </c>
      <c r="B2663" s="1" t="n">
        <v>44913</v>
      </c>
      <c r="C2663" s="1" t="n">
        <v>46098</v>
      </c>
      <c r="D2663" t="inlineStr">
        <is>
          <t>UPPSALA LÄN</t>
        </is>
      </c>
      <c r="E2663" t="inlineStr">
        <is>
          <t>HEBY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666-2026</t>
        </is>
      </c>
      <c r="B2664" s="1" t="n">
        <v>46029.58832175926</v>
      </c>
      <c r="C2664" s="1" t="n">
        <v>46098</v>
      </c>
      <c r="D2664" t="inlineStr">
        <is>
          <t>UPPSALA LÄN</t>
        </is>
      </c>
      <c r="E2664" t="inlineStr">
        <is>
          <t>KNIVSTA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31896-2025</t>
        </is>
      </c>
      <c r="B2665" s="1" t="n">
        <v>45834.67556712963</v>
      </c>
      <c r="C2665" s="1" t="n">
        <v>46098</v>
      </c>
      <c r="D2665" t="inlineStr">
        <is>
          <t>UPPSALA LÄN</t>
        </is>
      </c>
      <c r="E2665" t="inlineStr">
        <is>
          <t>ÖSTHAMMAR</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402-2026</t>
        </is>
      </c>
      <c r="B2666" s="1" t="n">
        <v>46028.66145833334</v>
      </c>
      <c r="C2666" s="1" t="n">
        <v>46098</v>
      </c>
      <c r="D2666" t="inlineStr">
        <is>
          <t>UPPSALA LÄN</t>
        </is>
      </c>
      <c r="E2666" t="inlineStr">
        <is>
          <t>TIERP</t>
        </is>
      </c>
      <c r="F2666" t="inlineStr">
        <is>
          <t>Bergvik skog öst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38432-2025</t>
        </is>
      </c>
      <c r="B2667" s="1" t="n">
        <v>45883.63840277777</v>
      </c>
      <c r="C2667" s="1" t="n">
        <v>46098</v>
      </c>
      <c r="D2667" t="inlineStr">
        <is>
          <t>UPPSALA LÄN</t>
        </is>
      </c>
      <c r="E2667" t="inlineStr">
        <is>
          <t>HEBY</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398-2026</t>
        </is>
      </c>
      <c r="B2668" s="1" t="n">
        <v>46028.65503472222</v>
      </c>
      <c r="C2668" s="1" t="n">
        <v>46098</v>
      </c>
      <c r="D2668" t="inlineStr">
        <is>
          <t>UPPSALA LÄN</t>
        </is>
      </c>
      <c r="E2668" t="inlineStr">
        <is>
          <t>TIERP</t>
        </is>
      </c>
      <c r="F2668" t="inlineStr">
        <is>
          <t>Bergvik skog öst AB</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38034-2025</t>
        </is>
      </c>
      <c r="B2669" s="1" t="n">
        <v>45882.37202546297</v>
      </c>
      <c r="C2669" s="1" t="n">
        <v>46098</v>
      </c>
      <c r="D2669" t="inlineStr">
        <is>
          <t>UPPSALA LÄN</t>
        </is>
      </c>
      <c r="E2669" t="inlineStr">
        <is>
          <t>UPPSALA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38168-2025</t>
        </is>
      </c>
      <c r="B2670" s="1" t="n">
        <v>45882</v>
      </c>
      <c r="C2670" s="1" t="n">
        <v>46098</v>
      </c>
      <c r="D2670" t="inlineStr">
        <is>
          <t>UPPSALA LÄN</t>
        </is>
      </c>
      <c r="E2670" t="inlineStr">
        <is>
          <t>HEBY</t>
        </is>
      </c>
      <c r="F2670" t="inlineStr">
        <is>
          <t>Bergvik skog väst AB</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17-2024</t>
        </is>
      </c>
      <c r="B2671" s="1" t="n">
        <v>45293</v>
      </c>
      <c r="C2671" s="1" t="n">
        <v>46098</v>
      </c>
      <c r="D2671" t="inlineStr">
        <is>
          <t>UPPSALA LÄN</t>
        </is>
      </c>
      <c r="E2671" t="inlineStr">
        <is>
          <t>HEBY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662-2026</t>
        </is>
      </c>
      <c r="B2672" s="1" t="n">
        <v>46029.58549768518</v>
      </c>
      <c r="C2672" s="1" t="n">
        <v>46098</v>
      </c>
      <c r="D2672" t="inlineStr">
        <is>
          <t>UPPSALA LÄN</t>
        </is>
      </c>
      <c r="E2672" t="inlineStr">
        <is>
          <t>KNIVSTA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399-2026</t>
        </is>
      </c>
      <c r="B2673" s="1" t="n">
        <v>46028.65712962963</v>
      </c>
      <c r="C2673" s="1" t="n">
        <v>46098</v>
      </c>
      <c r="D2673" t="inlineStr">
        <is>
          <t>UPPSALA LÄN</t>
        </is>
      </c>
      <c r="E2673" t="inlineStr">
        <is>
          <t>TIERP</t>
        </is>
      </c>
      <c r="F2673" t="inlineStr">
        <is>
          <t>Bergvik skog öst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23759-2024</t>
        </is>
      </c>
      <c r="B2674" s="1" t="n">
        <v>45455</v>
      </c>
      <c r="C2674" s="1" t="n">
        <v>46098</v>
      </c>
      <c r="D2674" t="inlineStr">
        <is>
          <t>UPPSALA LÄN</t>
        </is>
      </c>
      <c r="E2674" t="inlineStr">
        <is>
          <t>TIERP</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9148-2026</t>
        </is>
      </c>
      <c r="B2675" s="1" t="n">
        <v>46070.30946759259</v>
      </c>
      <c r="C2675" s="1" t="n">
        <v>46098</v>
      </c>
      <c r="D2675" t="inlineStr">
        <is>
          <t>UPPSALA LÄN</t>
        </is>
      </c>
      <c r="E2675" t="inlineStr">
        <is>
          <t>ENKÖPING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401-2026</t>
        </is>
      </c>
      <c r="B2676" s="1" t="n">
        <v>46028.65945601852</v>
      </c>
      <c r="C2676" s="1" t="n">
        <v>46098</v>
      </c>
      <c r="D2676" t="inlineStr">
        <is>
          <t>UPPSALA LÄN</t>
        </is>
      </c>
      <c r="E2676" t="inlineStr">
        <is>
          <t>TIERP</t>
        </is>
      </c>
      <c r="F2676" t="inlineStr">
        <is>
          <t>Bergvik skog öst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482-2026</t>
        </is>
      </c>
      <c r="B2677" s="1" t="n">
        <v>46029.40886574074</v>
      </c>
      <c r="C2677" s="1" t="n">
        <v>46098</v>
      </c>
      <c r="D2677" t="inlineStr">
        <is>
          <t>UPPSALA LÄN</t>
        </is>
      </c>
      <c r="E2677" t="inlineStr">
        <is>
          <t>UPPSALA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534-2026</t>
        </is>
      </c>
      <c r="B2678" s="1" t="n">
        <v>46029.45288194445</v>
      </c>
      <c r="C2678" s="1" t="n">
        <v>46098</v>
      </c>
      <c r="D2678" t="inlineStr">
        <is>
          <t>UPPSALA LÄN</t>
        </is>
      </c>
      <c r="E2678" t="inlineStr">
        <is>
          <t>TIERP</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7118-2023</t>
        </is>
      </c>
      <c r="B2679" s="1" t="n">
        <v>44970.39591435185</v>
      </c>
      <c r="C2679" s="1" t="n">
        <v>46098</v>
      </c>
      <c r="D2679" t="inlineStr">
        <is>
          <t>UPPSALA LÄN</t>
        </is>
      </c>
      <c r="E2679" t="inlineStr">
        <is>
          <t>ÖSTHAMMAR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9474-2026</t>
        </is>
      </c>
      <c r="B2680" s="1" t="n">
        <v>46071.52324074074</v>
      </c>
      <c r="C2680" s="1" t="n">
        <v>46098</v>
      </c>
      <c r="D2680" t="inlineStr">
        <is>
          <t>UPPSALA LÄN</t>
        </is>
      </c>
      <c r="E2680" t="inlineStr">
        <is>
          <t>ENKÖPING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4993-2025</t>
        </is>
      </c>
      <c r="B2681" s="1" t="n">
        <v>45691</v>
      </c>
      <c r="C2681" s="1" t="n">
        <v>46098</v>
      </c>
      <c r="D2681" t="inlineStr">
        <is>
          <t>UPPSALA LÄN</t>
        </is>
      </c>
      <c r="E2681" t="inlineStr">
        <is>
          <t>UPPSALA</t>
        </is>
      </c>
      <c r="F2681" t="inlineStr">
        <is>
          <t>Kyrkan</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9257-2026</t>
        </is>
      </c>
      <c r="B2682" s="1" t="n">
        <v>46070.51166666667</v>
      </c>
      <c r="C2682" s="1" t="n">
        <v>46098</v>
      </c>
      <c r="D2682" t="inlineStr">
        <is>
          <t>UPPSALA LÄN</t>
        </is>
      </c>
      <c r="E2682" t="inlineStr">
        <is>
          <t>ENKÖPING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9394-2026</t>
        </is>
      </c>
      <c r="B2683" s="1" t="n">
        <v>46071.36576388889</v>
      </c>
      <c r="C2683" s="1" t="n">
        <v>46098</v>
      </c>
      <c r="D2683" t="inlineStr">
        <is>
          <t>UPPSALA LÄN</t>
        </is>
      </c>
      <c r="E2683" t="inlineStr">
        <is>
          <t>ÄLVKARLEBY</t>
        </is>
      </c>
      <c r="F2683" t="inlineStr">
        <is>
          <t>Bergvik skog väst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38113-2025</t>
        </is>
      </c>
      <c r="B2684" s="1" t="n">
        <v>45882.52290509259</v>
      </c>
      <c r="C2684" s="1" t="n">
        <v>46098</v>
      </c>
      <c r="D2684" t="inlineStr">
        <is>
          <t>UPPSALA LÄN</t>
        </is>
      </c>
      <c r="E2684" t="inlineStr">
        <is>
          <t>UPPSALA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653-2026</t>
        </is>
      </c>
      <c r="B2685" s="1" t="n">
        <v>46029.57829861111</v>
      </c>
      <c r="C2685" s="1" t="n">
        <v>46098</v>
      </c>
      <c r="D2685" t="inlineStr">
        <is>
          <t>UPPSALA LÄN</t>
        </is>
      </c>
      <c r="E2685" t="inlineStr">
        <is>
          <t>ÖSTHAMMAR</t>
        </is>
      </c>
      <c r="F2685" t="inlineStr">
        <is>
          <t>Bergvik skog öst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20995-2025</t>
        </is>
      </c>
      <c r="B2686" s="1" t="n">
        <v>45777</v>
      </c>
      <c r="C2686" s="1" t="n">
        <v>46098</v>
      </c>
      <c r="D2686" t="inlineStr">
        <is>
          <t>UPPSALA LÄN</t>
        </is>
      </c>
      <c r="E2686" t="inlineStr">
        <is>
          <t>HEBY</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38371-2025</t>
        </is>
      </c>
      <c r="B2687" s="1" t="n">
        <v>45883.56189814815</v>
      </c>
      <c r="C2687" s="1" t="n">
        <v>46098</v>
      </c>
      <c r="D2687" t="inlineStr">
        <is>
          <t>UPPSALA LÄN</t>
        </is>
      </c>
      <c r="E2687" t="inlineStr">
        <is>
          <t>HEBY</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53614-2024</t>
        </is>
      </c>
      <c r="B2688" s="1" t="n">
        <v>45611</v>
      </c>
      <c r="C2688" s="1" t="n">
        <v>46098</v>
      </c>
      <c r="D2688" t="inlineStr">
        <is>
          <t>UPPSALA LÄN</t>
        </is>
      </c>
      <c r="E2688" t="inlineStr">
        <is>
          <t>UPPSALA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9358-2026</t>
        </is>
      </c>
      <c r="B2689" s="1" t="n">
        <v>46070.72292824074</v>
      </c>
      <c r="C2689" s="1" t="n">
        <v>46098</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9268-2026</t>
        </is>
      </c>
      <c r="B2690" s="1" t="n">
        <v>46070.5502662037</v>
      </c>
      <c r="C2690" s="1" t="n">
        <v>46098</v>
      </c>
      <c r="D2690" t="inlineStr">
        <is>
          <t>UPPSALA LÄN</t>
        </is>
      </c>
      <c r="E2690" t="inlineStr">
        <is>
          <t>TIERP</t>
        </is>
      </c>
      <c r="F2690" t="inlineStr">
        <is>
          <t>Bergvik skog öst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7359-2023</t>
        </is>
      </c>
      <c r="B2691" s="1" t="n">
        <v>44966</v>
      </c>
      <c r="C2691" s="1" t="n">
        <v>46098</v>
      </c>
      <c r="D2691" t="inlineStr">
        <is>
          <t>UPPSALA LÄN</t>
        </is>
      </c>
      <c r="E2691" t="inlineStr">
        <is>
          <t>TIERP</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11036-2023</t>
        </is>
      </c>
      <c r="B2692" s="1" t="n">
        <v>44991.9321412037</v>
      </c>
      <c r="C2692" s="1" t="n">
        <v>46098</v>
      </c>
      <c r="D2692" t="inlineStr">
        <is>
          <t>UPPSALA LÄN</t>
        </is>
      </c>
      <c r="E2692" t="inlineStr">
        <is>
          <t>ÖSTHAMMAR</t>
        </is>
      </c>
      <c r="F2692" t="inlineStr">
        <is>
          <t>Bergvik skog öst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387-2025</t>
        </is>
      </c>
      <c r="B2693" s="1" t="n">
        <v>45662.6995949074</v>
      </c>
      <c r="C2693" s="1" t="n">
        <v>46098</v>
      </c>
      <c r="D2693" t="inlineStr">
        <is>
          <t>UPPSALA LÄN</t>
        </is>
      </c>
      <c r="E2693" t="inlineStr">
        <is>
          <t>HEBY</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44505-2023</t>
        </is>
      </c>
      <c r="B2694" s="1" t="n">
        <v>45184</v>
      </c>
      <c r="C2694" s="1" t="n">
        <v>46098</v>
      </c>
      <c r="D2694" t="inlineStr">
        <is>
          <t>UPPSALA LÄN</t>
        </is>
      </c>
      <c r="E2694" t="inlineStr">
        <is>
          <t>TIERP</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1081-2026</t>
        </is>
      </c>
      <c r="B2695" s="1" t="n">
        <v>46030.65311342593</v>
      </c>
      <c r="C2695" s="1" t="n">
        <v>46098</v>
      </c>
      <c r="D2695" t="inlineStr">
        <is>
          <t>UPPSALA LÄN</t>
        </is>
      </c>
      <c r="E2695" t="inlineStr">
        <is>
          <t>TIERP</t>
        </is>
      </c>
      <c r="F2695" t="inlineStr">
        <is>
          <t>Bergvik skog öst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968-2026</t>
        </is>
      </c>
      <c r="B2696" s="1" t="n">
        <v>46030.56152777778</v>
      </c>
      <c r="C2696" s="1" t="n">
        <v>46098</v>
      </c>
      <c r="D2696" t="inlineStr">
        <is>
          <t>UPPSALA LÄN</t>
        </is>
      </c>
      <c r="E2696" t="inlineStr">
        <is>
          <t>UPPSALA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16434-2024</t>
        </is>
      </c>
      <c r="B2697" s="1" t="n">
        <v>45407.69575231482</v>
      </c>
      <c r="C2697" s="1" t="n">
        <v>46098</v>
      </c>
      <c r="D2697" t="inlineStr">
        <is>
          <t>UPPSALA LÄN</t>
        </is>
      </c>
      <c r="E2697" t="inlineStr">
        <is>
          <t>UPPSALA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9618-2026</t>
        </is>
      </c>
      <c r="B2698" s="1" t="n">
        <v>46072.32482638889</v>
      </c>
      <c r="C2698" s="1" t="n">
        <v>46098</v>
      </c>
      <c r="D2698" t="inlineStr">
        <is>
          <t>UPPSALA LÄN</t>
        </is>
      </c>
      <c r="E2698" t="inlineStr">
        <is>
          <t>HEBY</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9623-2026</t>
        </is>
      </c>
      <c r="B2699" s="1" t="n">
        <v>46072.33219907407</v>
      </c>
      <c r="C2699" s="1" t="n">
        <v>46098</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1825-2024</t>
        </is>
      </c>
      <c r="B2700" s="1" t="n">
        <v>45307</v>
      </c>
      <c r="C2700" s="1" t="n">
        <v>46098</v>
      </c>
      <c r="D2700" t="inlineStr">
        <is>
          <t>UPPSALA LÄN</t>
        </is>
      </c>
      <c r="E2700" t="inlineStr">
        <is>
          <t>UPPSALA</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1390-2026</t>
        </is>
      </c>
      <c r="B2701" s="1" t="n">
        <v>46031.63210648148</v>
      </c>
      <c r="C2701" s="1" t="n">
        <v>46098</v>
      </c>
      <c r="D2701" t="inlineStr">
        <is>
          <t>UPPSALA LÄN</t>
        </is>
      </c>
      <c r="E2701" t="inlineStr">
        <is>
          <t>UPPSALA</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985-2026</t>
        </is>
      </c>
      <c r="B2702" s="1" t="n">
        <v>46030.58104166666</v>
      </c>
      <c r="C2702" s="1" t="n">
        <v>46098</v>
      </c>
      <c r="D2702" t="inlineStr">
        <is>
          <t>UPPSALA LÄN</t>
        </is>
      </c>
      <c r="E2702" t="inlineStr">
        <is>
          <t>ÖSTHAMMAR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9666-2026</t>
        </is>
      </c>
      <c r="B2703" s="1" t="n">
        <v>46072.36847222222</v>
      </c>
      <c r="C2703" s="1" t="n">
        <v>46098</v>
      </c>
      <c r="D2703" t="inlineStr">
        <is>
          <t>UPPSALA LÄN</t>
        </is>
      </c>
      <c r="E2703" t="inlineStr">
        <is>
          <t>ÖSTHAMMAR</t>
        </is>
      </c>
      <c r="F2703" t="inlineStr">
        <is>
          <t>Bergvik skog öst AB</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9664-2026</t>
        </is>
      </c>
      <c r="B2704" s="1" t="n">
        <v>46072.36732638889</v>
      </c>
      <c r="C2704" s="1" t="n">
        <v>46098</v>
      </c>
      <c r="D2704" t="inlineStr">
        <is>
          <t>UPPSALA LÄN</t>
        </is>
      </c>
      <c r="E2704" t="inlineStr">
        <is>
          <t>ÖSTHAMMAR</t>
        </is>
      </c>
      <c r="F2704" t="inlineStr">
        <is>
          <t>Bergvik skog öst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64855-2021</t>
        </is>
      </c>
      <c r="B2705" s="1" t="n">
        <v>44512</v>
      </c>
      <c r="C2705" s="1" t="n">
        <v>46098</v>
      </c>
      <c r="D2705" t="inlineStr">
        <is>
          <t>UPPSALA LÄN</t>
        </is>
      </c>
      <c r="E2705" t="inlineStr">
        <is>
          <t>UPPSALA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32884-2024</t>
        </is>
      </c>
      <c r="B2706" s="1" t="n">
        <v>45516.72097222223</v>
      </c>
      <c r="C2706" s="1" t="n">
        <v>46098</v>
      </c>
      <c r="D2706" t="inlineStr">
        <is>
          <t>UPPSALA LÄN</t>
        </is>
      </c>
      <c r="E2706" t="inlineStr">
        <is>
          <t>ÖSTHAMMAR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33394-2024</t>
        </is>
      </c>
      <c r="B2707" s="1" t="n">
        <v>45519</v>
      </c>
      <c r="C2707" s="1" t="n">
        <v>46098</v>
      </c>
      <c r="D2707" t="inlineStr">
        <is>
          <t>UPPSALA LÄN</t>
        </is>
      </c>
      <c r="E2707" t="inlineStr">
        <is>
          <t>HEBY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64586-2021</t>
        </is>
      </c>
      <c r="B2708" s="1" t="n">
        <v>44511</v>
      </c>
      <c r="C2708" s="1" t="n">
        <v>46098</v>
      </c>
      <c r="D2708" t="inlineStr">
        <is>
          <t>UPPSALA LÄN</t>
        </is>
      </c>
      <c r="E2708" t="inlineStr">
        <is>
          <t>ÖSTHAMMAR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861-2026</t>
        </is>
      </c>
      <c r="B2709" s="1" t="n">
        <v>46030</v>
      </c>
      <c r="C2709" s="1" t="n">
        <v>46098</v>
      </c>
      <c r="D2709" t="inlineStr">
        <is>
          <t>UPPSALA LÄN</t>
        </is>
      </c>
      <c r="E2709" t="inlineStr">
        <is>
          <t>ENKÖPING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27622-2023</t>
        </is>
      </c>
      <c r="B2710" s="1" t="n">
        <v>45097</v>
      </c>
      <c r="C2710" s="1" t="n">
        <v>46098</v>
      </c>
      <c r="D2710" t="inlineStr">
        <is>
          <t>UPPSALA LÄN</t>
        </is>
      </c>
      <c r="E2710" t="inlineStr">
        <is>
          <t>UPPSALA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20935-2024</t>
        </is>
      </c>
      <c r="B2711" s="1" t="n">
        <v>45439.5318287037</v>
      </c>
      <c r="C2711" s="1" t="n">
        <v>46098</v>
      </c>
      <c r="D2711" t="inlineStr">
        <is>
          <t>UPPSALA LÄN</t>
        </is>
      </c>
      <c r="E2711" t="inlineStr">
        <is>
          <t>HEBY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888-2026</t>
        </is>
      </c>
      <c r="B2712" s="1" t="n">
        <v>46030.45091435185</v>
      </c>
      <c r="C2712" s="1" t="n">
        <v>46098</v>
      </c>
      <c r="D2712" t="inlineStr">
        <is>
          <t>UPPSALA LÄN</t>
        </is>
      </c>
      <c r="E2712" t="inlineStr">
        <is>
          <t>TIERP</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918-2026</t>
        </is>
      </c>
      <c r="B2713" s="1" t="n">
        <v>46030</v>
      </c>
      <c r="C2713" s="1" t="n">
        <v>46098</v>
      </c>
      <c r="D2713" t="inlineStr">
        <is>
          <t>UPPSALA LÄN</t>
        </is>
      </c>
      <c r="E2713" t="inlineStr">
        <is>
          <t>UPPSALA</t>
        </is>
      </c>
      <c r="F2713" t="inlineStr">
        <is>
          <t>Övriga statliga verk och myndigheter</t>
        </is>
      </c>
      <c r="G2713" t="n">
        <v>15.1</v>
      </c>
      <c r="H2713" t="n">
        <v>0</v>
      </c>
      <c r="I2713" t="n">
        <v>0</v>
      </c>
      <c r="J2713" t="n">
        <v>0</v>
      </c>
      <c r="K2713" t="n">
        <v>0</v>
      </c>
      <c r="L2713" t="n">
        <v>0</v>
      </c>
      <c r="M2713" t="n">
        <v>0</v>
      </c>
      <c r="N2713" t="n">
        <v>0</v>
      </c>
      <c r="O2713" t="n">
        <v>0</v>
      </c>
      <c r="P2713" t="n">
        <v>0</v>
      </c>
      <c r="Q2713" t="n">
        <v>0</v>
      </c>
      <c r="R2713" s="2" t="inlineStr"/>
    </row>
    <row r="2714" ht="15" customHeight="1">
      <c r="A2714" t="inlineStr">
        <is>
          <t>A 9993-2025</t>
        </is>
      </c>
      <c r="B2714" s="1" t="n">
        <v>45719.43755787037</v>
      </c>
      <c r="C2714" s="1" t="n">
        <v>46098</v>
      </c>
      <c r="D2714" t="inlineStr">
        <is>
          <t>UPPSALA LÄN</t>
        </is>
      </c>
      <c r="E2714" t="inlineStr">
        <is>
          <t>UPPSALA</t>
        </is>
      </c>
      <c r="F2714" t="inlineStr">
        <is>
          <t>Kyrkan</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6206-2022</t>
        </is>
      </c>
      <c r="B2715" s="1" t="n">
        <v>44600.35755787037</v>
      </c>
      <c r="C2715" s="1" t="n">
        <v>46098</v>
      </c>
      <c r="D2715" t="inlineStr">
        <is>
          <t>UPPSALA LÄN</t>
        </is>
      </c>
      <c r="E2715" t="inlineStr">
        <is>
          <t>ÖSTHAMMAR</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18592-2021</t>
        </is>
      </c>
      <c r="B2716" s="1" t="n">
        <v>44306</v>
      </c>
      <c r="C2716" s="1" t="n">
        <v>46098</v>
      </c>
      <c r="D2716" t="inlineStr">
        <is>
          <t>UPPSALA LÄN</t>
        </is>
      </c>
      <c r="E2716" t="inlineStr">
        <is>
          <t>ENKÖPING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9195-2026</t>
        </is>
      </c>
      <c r="B2717" s="1" t="n">
        <v>46070.39546296297</v>
      </c>
      <c r="C2717" s="1" t="n">
        <v>46098</v>
      </c>
      <c r="D2717" t="inlineStr">
        <is>
          <t>UPPSALA LÄN</t>
        </is>
      </c>
      <c r="E2717" t="inlineStr">
        <is>
          <t>TIERP</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38886-2025</t>
        </is>
      </c>
      <c r="B2718" s="1" t="n">
        <v>45887.58370370371</v>
      </c>
      <c r="C2718" s="1" t="n">
        <v>46098</v>
      </c>
      <c r="D2718" t="inlineStr">
        <is>
          <t>UPPSALA LÄN</t>
        </is>
      </c>
      <c r="E2718" t="inlineStr">
        <is>
          <t>ÖSTHAMMAR</t>
        </is>
      </c>
      <c r="F2718" t="inlineStr">
        <is>
          <t>Bergvik skog öst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38472-2025</t>
        </is>
      </c>
      <c r="B2719" s="1" t="n">
        <v>45884.30456018518</v>
      </c>
      <c r="C2719" s="1" t="n">
        <v>46098</v>
      </c>
      <c r="D2719" t="inlineStr">
        <is>
          <t>UPPSALA LÄN</t>
        </is>
      </c>
      <c r="E2719" t="inlineStr">
        <is>
          <t>HEBY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11989-2025</t>
        </is>
      </c>
      <c r="B2720" s="1" t="n">
        <v>45728.60074074074</v>
      </c>
      <c r="C2720" s="1" t="n">
        <v>46098</v>
      </c>
      <c r="D2720" t="inlineStr">
        <is>
          <t>UPPSALA LÄN</t>
        </is>
      </c>
      <c r="E2720" t="inlineStr">
        <is>
          <t>HÅBO</t>
        </is>
      </c>
      <c r="G2720" t="n">
        <v>9.6</v>
      </c>
      <c r="H2720" t="n">
        <v>0</v>
      </c>
      <c r="I2720" t="n">
        <v>0</v>
      </c>
      <c r="J2720" t="n">
        <v>0</v>
      </c>
      <c r="K2720" t="n">
        <v>0</v>
      </c>
      <c r="L2720" t="n">
        <v>0</v>
      </c>
      <c r="M2720" t="n">
        <v>0</v>
      </c>
      <c r="N2720" t="n">
        <v>0</v>
      </c>
      <c r="O2720" t="n">
        <v>0</v>
      </c>
      <c r="P2720" t="n">
        <v>0</v>
      </c>
      <c r="Q2720" t="n">
        <v>0</v>
      </c>
      <c r="R2720" s="2" t="inlineStr"/>
    </row>
    <row r="2721" ht="15" customHeight="1">
      <c r="A2721" t="inlineStr">
        <is>
          <t>A 9895-2026</t>
        </is>
      </c>
      <c r="B2721" s="1" t="n">
        <v>46073.37952546297</v>
      </c>
      <c r="C2721" s="1" t="n">
        <v>46098</v>
      </c>
      <c r="D2721" t="inlineStr">
        <is>
          <t>UPPSALA LÄN</t>
        </is>
      </c>
      <c r="E2721" t="inlineStr">
        <is>
          <t>HEBY</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1099-2026</t>
        </is>
      </c>
      <c r="B2722" s="1" t="n">
        <v>46030.66539351852</v>
      </c>
      <c r="C2722" s="1" t="n">
        <v>46098</v>
      </c>
      <c r="D2722" t="inlineStr">
        <is>
          <t>UPPSALA LÄN</t>
        </is>
      </c>
      <c r="E2722" t="inlineStr">
        <is>
          <t>TIERP</t>
        </is>
      </c>
      <c r="F2722" t="inlineStr">
        <is>
          <t>Bergvik skog öst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6356-2022</t>
        </is>
      </c>
      <c r="B2723" s="1" t="n">
        <v>44600</v>
      </c>
      <c r="C2723" s="1" t="n">
        <v>46098</v>
      </c>
      <c r="D2723" t="inlineStr">
        <is>
          <t>UPPSALA LÄN</t>
        </is>
      </c>
      <c r="E2723" t="inlineStr">
        <is>
          <t>ENKÖPING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9744-2026</t>
        </is>
      </c>
      <c r="B2724" s="1" t="n">
        <v>46072.51857638889</v>
      </c>
      <c r="C2724" s="1" t="n">
        <v>46098</v>
      </c>
      <c r="D2724" t="inlineStr">
        <is>
          <t>UPPSALA LÄN</t>
        </is>
      </c>
      <c r="E2724" t="inlineStr">
        <is>
          <t>KNIVSTA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1271-2026</t>
        </is>
      </c>
      <c r="B2725" s="1" t="n">
        <v>46031.46616898148</v>
      </c>
      <c r="C2725" s="1" t="n">
        <v>46098</v>
      </c>
      <c r="D2725" t="inlineStr">
        <is>
          <t>UPPSALA LÄN</t>
        </is>
      </c>
      <c r="E2725" t="inlineStr">
        <is>
          <t>ÖSTHAMMAR</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1393-2026</t>
        </is>
      </c>
      <c r="B2726" s="1" t="n">
        <v>46031.63748842593</v>
      </c>
      <c r="C2726" s="1" t="n">
        <v>46098</v>
      </c>
      <c r="D2726" t="inlineStr">
        <is>
          <t>UPPSALA LÄN</t>
        </is>
      </c>
      <c r="E2726" t="inlineStr">
        <is>
          <t>ÖSTHAMMAR</t>
        </is>
      </c>
      <c r="F2726" t="inlineStr">
        <is>
          <t>Bergvik skog öst AB</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61827-2024</t>
        </is>
      </c>
      <c r="B2727" s="1" t="n">
        <v>45649.6225</v>
      </c>
      <c r="C2727" s="1" t="n">
        <v>46098</v>
      </c>
      <c r="D2727" t="inlineStr">
        <is>
          <t>UPPSALA LÄN</t>
        </is>
      </c>
      <c r="E2727" t="inlineStr">
        <is>
          <t>TIERP</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9877-2026</t>
        </is>
      </c>
      <c r="B2728" s="1" t="n">
        <v>46073.32519675926</v>
      </c>
      <c r="C2728" s="1" t="n">
        <v>46098</v>
      </c>
      <c r="D2728" t="inlineStr">
        <is>
          <t>UPPSALA LÄN</t>
        </is>
      </c>
      <c r="E2728" t="inlineStr">
        <is>
          <t>HEBY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70008-2021</t>
        </is>
      </c>
      <c r="B2729" s="1" t="n">
        <v>44533.44887731481</v>
      </c>
      <c r="C2729" s="1" t="n">
        <v>46098</v>
      </c>
      <c r="D2729" t="inlineStr">
        <is>
          <t>UPPSALA LÄN</t>
        </is>
      </c>
      <c r="E2729" t="inlineStr">
        <is>
          <t>ÖSTHAMMAR</t>
        </is>
      </c>
      <c r="F2729" t="inlineStr">
        <is>
          <t>Sveaskog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796-2026</t>
        </is>
      </c>
      <c r="B2730" s="1" t="n">
        <v>46029.86646990741</v>
      </c>
      <c r="C2730" s="1" t="n">
        <v>46098</v>
      </c>
      <c r="D2730" t="inlineStr">
        <is>
          <t>UPPSALA LÄN</t>
        </is>
      </c>
      <c r="E2730" t="inlineStr">
        <is>
          <t>TIERP</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73982-2021</t>
        </is>
      </c>
      <c r="B2731" s="1" t="n">
        <v>44555.80339120371</v>
      </c>
      <c r="C2731" s="1" t="n">
        <v>46098</v>
      </c>
      <c r="D2731" t="inlineStr">
        <is>
          <t>UPPSALA LÄN</t>
        </is>
      </c>
      <c r="E2731" t="inlineStr">
        <is>
          <t>ÖSTHAMMAR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38940-2025</t>
        </is>
      </c>
      <c r="B2732" s="1" t="n">
        <v>45887.64688657408</v>
      </c>
      <c r="C2732" s="1" t="n">
        <v>46098</v>
      </c>
      <c r="D2732" t="inlineStr">
        <is>
          <t>UPPSALA LÄN</t>
        </is>
      </c>
      <c r="E2732" t="inlineStr">
        <is>
          <t>TIERP</t>
        </is>
      </c>
      <c r="F2732" t="inlineStr">
        <is>
          <t>Bergvik skog öst AB</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5344-2025</t>
        </is>
      </c>
      <c r="B2733" s="1" t="n">
        <v>45692</v>
      </c>
      <c r="C2733" s="1" t="n">
        <v>46098</v>
      </c>
      <c r="D2733" t="inlineStr">
        <is>
          <t>UPPSALA LÄN</t>
        </is>
      </c>
      <c r="E2733" t="inlineStr">
        <is>
          <t>ÖSTHAMMAR</t>
        </is>
      </c>
      <c r="F2733" t="inlineStr">
        <is>
          <t>Bergvik skog öst AB</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43031-2023</t>
        </is>
      </c>
      <c r="B2734" s="1" t="n">
        <v>45182</v>
      </c>
      <c r="C2734" s="1" t="n">
        <v>46098</v>
      </c>
      <c r="D2734" t="inlineStr">
        <is>
          <t>UPPSALA LÄN</t>
        </is>
      </c>
      <c r="E2734" t="inlineStr">
        <is>
          <t>UPPSALA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2358-2026</t>
        </is>
      </c>
      <c r="B2735" s="1" t="n">
        <v>46034</v>
      </c>
      <c r="C2735" s="1" t="n">
        <v>46098</v>
      </c>
      <c r="D2735" t="inlineStr">
        <is>
          <t>UPPSALA LÄN</t>
        </is>
      </c>
      <c r="E2735" t="inlineStr">
        <is>
          <t>ÖSTHAMMAR</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10223-2026</t>
        </is>
      </c>
      <c r="B2736" s="1" t="n">
        <v>46076.50559027777</v>
      </c>
      <c r="C2736" s="1" t="n">
        <v>46098</v>
      </c>
      <c r="D2736" t="inlineStr">
        <is>
          <t>UPPSALA LÄN</t>
        </is>
      </c>
      <c r="E2736" t="inlineStr">
        <is>
          <t>UPPSALA</t>
        </is>
      </c>
      <c r="F2736" t="inlineStr">
        <is>
          <t>Holmen skog AB</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4984-2024</t>
        </is>
      </c>
      <c r="B2737" s="1" t="n">
        <v>45329</v>
      </c>
      <c r="C2737" s="1" t="n">
        <v>46098</v>
      </c>
      <c r="D2737" t="inlineStr">
        <is>
          <t>UPPSALA LÄN</t>
        </is>
      </c>
      <c r="E2737" t="inlineStr">
        <is>
          <t>ÖSTHAMMAR</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1906-2026</t>
        </is>
      </c>
      <c r="B2738" s="1" t="n">
        <v>46035.55158564815</v>
      </c>
      <c r="C2738" s="1" t="n">
        <v>46098</v>
      </c>
      <c r="D2738" t="inlineStr">
        <is>
          <t>UPPSALA LÄN</t>
        </is>
      </c>
      <c r="E2738" t="inlineStr">
        <is>
          <t>ÖSTHAMMAR</t>
        </is>
      </c>
      <c r="F2738" t="inlineStr">
        <is>
          <t>Bergvik skog öst AB</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3561-2023</t>
        </is>
      </c>
      <c r="B2739" s="1" t="n">
        <v>44950.47427083334</v>
      </c>
      <c r="C2739" s="1" t="n">
        <v>46098</v>
      </c>
      <c r="D2739" t="inlineStr">
        <is>
          <t>UPPSALA LÄN</t>
        </is>
      </c>
      <c r="E2739" t="inlineStr">
        <is>
          <t>TIERP</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2364-2026</t>
        </is>
      </c>
      <c r="B2740" s="1" t="n">
        <v>46034</v>
      </c>
      <c r="C2740" s="1" t="n">
        <v>46098</v>
      </c>
      <c r="D2740" t="inlineStr">
        <is>
          <t>UPPSALA LÄN</t>
        </is>
      </c>
      <c r="E2740" t="inlineStr">
        <is>
          <t>TIERP</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1673-2026</t>
        </is>
      </c>
      <c r="B2741" s="1" t="n">
        <v>46034.56863425926</v>
      </c>
      <c r="C2741" s="1" t="n">
        <v>46098</v>
      </c>
      <c r="D2741" t="inlineStr">
        <is>
          <t>UPPSALA LÄN</t>
        </is>
      </c>
      <c r="E2741" t="inlineStr">
        <is>
          <t>ÄLVKARLEBY</t>
        </is>
      </c>
      <c r="F2741" t="inlineStr">
        <is>
          <t>Bergvik skog väst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21624-2023</t>
        </is>
      </c>
      <c r="B2742" s="1" t="n">
        <v>45063.65543981481</v>
      </c>
      <c r="C2742" s="1" t="n">
        <v>46098</v>
      </c>
      <c r="D2742" t="inlineStr">
        <is>
          <t>UPPSALA LÄN</t>
        </is>
      </c>
      <c r="E2742" t="inlineStr">
        <is>
          <t>ÖSTHAMMAR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41996-2024</t>
        </is>
      </c>
      <c r="B2743" s="1" t="n">
        <v>45561</v>
      </c>
      <c r="C2743" s="1" t="n">
        <v>46098</v>
      </c>
      <c r="D2743" t="inlineStr">
        <is>
          <t>UPPSALA LÄN</t>
        </is>
      </c>
      <c r="E2743" t="inlineStr">
        <is>
          <t>ÖSTHAMMAR</t>
        </is>
      </c>
      <c r="F2743" t="inlineStr">
        <is>
          <t>Bergvik skog öst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2352-2026</t>
        </is>
      </c>
      <c r="B2744" s="1" t="n">
        <v>46034</v>
      </c>
      <c r="C2744" s="1" t="n">
        <v>46098</v>
      </c>
      <c r="D2744" t="inlineStr">
        <is>
          <t>UPPSALA LÄN</t>
        </is>
      </c>
      <c r="E2744" t="inlineStr">
        <is>
          <t>ÖSTHAMMAR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2366-2026</t>
        </is>
      </c>
      <c r="B2745" s="1" t="n">
        <v>46034</v>
      </c>
      <c r="C2745" s="1" t="n">
        <v>46098</v>
      </c>
      <c r="D2745" t="inlineStr">
        <is>
          <t>UPPSALA LÄN</t>
        </is>
      </c>
      <c r="E2745" t="inlineStr">
        <is>
          <t>TIERP</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59133-2022</t>
        </is>
      </c>
      <c r="B2746" s="1" t="n">
        <v>44904</v>
      </c>
      <c r="C2746" s="1" t="n">
        <v>46098</v>
      </c>
      <c r="D2746" t="inlineStr">
        <is>
          <t>UPPSALA LÄN</t>
        </is>
      </c>
      <c r="E2746" t="inlineStr">
        <is>
          <t>UPPSALA</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20326-2021</t>
        </is>
      </c>
      <c r="B2747" s="1" t="n">
        <v>44308</v>
      </c>
      <c r="C2747" s="1" t="n">
        <v>46098</v>
      </c>
      <c r="D2747" t="inlineStr">
        <is>
          <t>UPPSALA LÄN</t>
        </is>
      </c>
      <c r="E2747" t="inlineStr">
        <is>
          <t>ÖSTHAMMAR</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38670-2024</t>
        </is>
      </c>
      <c r="B2748" s="1" t="n">
        <v>45547.32439814815</v>
      </c>
      <c r="C2748" s="1" t="n">
        <v>46098</v>
      </c>
      <c r="D2748" t="inlineStr">
        <is>
          <t>UPPSALA LÄN</t>
        </is>
      </c>
      <c r="E2748" t="inlineStr">
        <is>
          <t>HEBY</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13816-2021</t>
        </is>
      </c>
      <c r="B2749" s="1" t="n">
        <v>44276</v>
      </c>
      <c r="C2749" s="1" t="n">
        <v>46098</v>
      </c>
      <c r="D2749" t="inlineStr">
        <is>
          <t>UPPSALA LÄN</t>
        </is>
      </c>
      <c r="E2749" t="inlineStr">
        <is>
          <t>ENKÖPING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23742-2024</t>
        </is>
      </c>
      <c r="B2750" s="1" t="n">
        <v>45455</v>
      </c>
      <c r="C2750" s="1" t="n">
        <v>46098</v>
      </c>
      <c r="D2750" t="inlineStr">
        <is>
          <t>UPPSALA LÄN</t>
        </is>
      </c>
      <c r="E2750" t="inlineStr">
        <is>
          <t>ÖSTHAMMAR</t>
        </is>
      </c>
      <c r="F2750" t="inlineStr">
        <is>
          <t>Bergvik skog öst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10131-2026</t>
        </is>
      </c>
      <c r="B2751" s="1" t="n">
        <v>46076.31298611111</v>
      </c>
      <c r="C2751" s="1" t="n">
        <v>46098</v>
      </c>
      <c r="D2751" t="inlineStr">
        <is>
          <t>UPPSALA LÄN</t>
        </is>
      </c>
      <c r="E2751" t="inlineStr">
        <is>
          <t>HEBY</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10587-2026</t>
        </is>
      </c>
      <c r="B2752" s="1" t="n">
        <v>46077.68528935185</v>
      </c>
      <c r="C2752" s="1" t="n">
        <v>46098</v>
      </c>
      <c r="D2752" t="inlineStr">
        <is>
          <t>UPPSALA LÄN</t>
        </is>
      </c>
      <c r="E2752" t="inlineStr">
        <is>
          <t>UPPSALA</t>
        </is>
      </c>
      <c r="F2752" t="inlineStr">
        <is>
          <t>Bergvik skog öst AB</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1752-2022</t>
        </is>
      </c>
      <c r="B2753" s="1" t="n">
        <v>44574</v>
      </c>
      <c r="C2753" s="1" t="n">
        <v>46098</v>
      </c>
      <c r="D2753" t="inlineStr">
        <is>
          <t>UPPSALA LÄN</t>
        </is>
      </c>
      <c r="E2753" t="inlineStr">
        <is>
          <t>HEBY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6106-2024</t>
        </is>
      </c>
      <c r="B2754" s="1" t="n">
        <v>45337.36831018519</v>
      </c>
      <c r="C2754" s="1" t="n">
        <v>46098</v>
      </c>
      <c r="D2754" t="inlineStr">
        <is>
          <t>UPPSALA LÄN</t>
        </is>
      </c>
      <c r="E2754" t="inlineStr">
        <is>
          <t>ÖSTHAMMAR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10584-2026</t>
        </is>
      </c>
      <c r="B2755" s="1" t="n">
        <v>46077.67903935185</v>
      </c>
      <c r="C2755" s="1" t="n">
        <v>46098</v>
      </c>
      <c r="D2755" t="inlineStr">
        <is>
          <t>UPPSALA LÄN</t>
        </is>
      </c>
      <c r="E2755" t="inlineStr">
        <is>
          <t>UPPSALA</t>
        </is>
      </c>
      <c r="F2755" t="inlineStr">
        <is>
          <t>Bergvik skog öst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10585-2026</t>
        </is>
      </c>
      <c r="B2756" s="1" t="n">
        <v>46077.68155092592</v>
      </c>
      <c r="C2756" s="1" t="n">
        <v>46098</v>
      </c>
      <c r="D2756" t="inlineStr">
        <is>
          <t>UPPSALA LÄN</t>
        </is>
      </c>
      <c r="E2756" t="inlineStr">
        <is>
          <t>UPPSALA</t>
        </is>
      </c>
      <c r="F2756" t="inlineStr">
        <is>
          <t>Bergvik skog öst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60314-2024</t>
        </is>
      </c>
      <c r="B2757" s="1" t="n">
        <v>45643</v>
      </c>
      <c r="C2757" s="1" t="n">
        <v>46098</v>
      </c>
      <c r="D2757" t="inlineStr">
        <is>
          <t>UPPSALA LÄN</t>
        </is>
      </c>
      <c r="E2757" t="inlineStr">
        <is>
          <t>TIERP</t>
        </is>
      </c>
      <c r="F2757" t="inlineStr">
        <is>
          <t>Bergvik skog öst AB</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10207-2026</t>
        </is>
      </c>
      <c r="B2758" s="1" t="n">
        <v>46076.48445601852</v>
      </c>
      <c r="C2758" s="1" t="n">
        <v>46098</v>
      </c>
      <c r="D2758" t="inlineStr">
        <is>
          <t>UPPSALA LÄN</t>
        </is>
      </c>
      <c r="E2758" t="inlineStr">
        <is>
          <t>TIERP</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10211-2026</t>
        </is>
      </c>
      <c r="B2759" s="1" t="n">
        <v>46076.48810185185</v>
      </c>
      <c r="C2759" s="1" t="n">
        <v>46098</v>
      </c>
      <c r="D2759" t="inlineStr">
        <is>
          <t>UPPSALA LÄN</t>
        </is>
      </c>
      <c r="E2759" t="inlineStr">
        <is>
          <t>TIERP</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42124-2021</t>
        </is>
      </c>
      <c r="B2760" s="1" t="n">
        <v>44426</v>
      </c>
      <c r="C2760" s="1" t="n">
        <v>46098</v>
      </c>
      <c r="D2760" t="inlineStr">
        <is>
          <t>UPPSALA LÄN</t>
        </is>
      </c>
      <c r="E2760" t="inlineStr">
        <is>
          <t>UPPSALA</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65020-2021</t>
        </is>
      </c>
      <c r="B2761" s="1" t="n">
        <v>44515</v>
      </c>
      <c r="C2761" s="1" t="n">
        <v>46098</v>
      </c>
      <c r="D2761" t="inlineStr">
        <is>
          <t>UPPSALA LÄN</t>
        </is>
      </c>
      <c r="E2761" t="inlineStr">
        <is>
          <t>ÖSTHAMMAR</t>
        </is>
      </c>
      <c r="F2761" t="inlineStr">
        <is>
          <t>Sveaskog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9767-2023</t>
        </is>
      </c>
      <c r="B2762" s="1" t="n">
        <v>44984</v>
      </c>
      <c r="C2762" s="1" t="n">
        <v>46098</v>
      </c>
      <c r="D2762" t="inlineStr">
        <is>
          <t>UPPSALA LÄN</t>
        </is>
      </c>
      <c r="E2762" t="inlineStr">
        <is>
          <t>HEBY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39795-2022</t>
        </is>
      </c>
      <c r="B2763" s="1" t="n">
        <v>44819.50233796296</v>
      </c>
      <c r="C2763" s="1" t="n">
        <v>46098</v>
      </c>
      <c r="D2763" t="inlineStr">
        <is>
          <t>UPPSALA LÄN</t>
        </is>
      </c>
      <c r="E2763" t="inlineStr">
        <is>
          <t>UPPSALA</t>
        </is>
      </c>
      <c r="F2763" t="inlineStr">
        <is>
          <t>Övriga Aktiebolag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59702-2023</t>
        </is>
      </c>
      <c r="B2764" s="1" t="n">
        <v>45256.91207175926</v>
      </c>
      <c r="C2764" s="1" t="n">
        <v>46098</v>
      </c>
      <c r="D2764" t="inlineStr">
        <is>
          <t>UPPSALA LÄN</t>
        </is>
      </c>
      <c r="E2764" t="inlineStr">
        <is>
          <t>HEBY</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11409-2025</t>
        </is>
      </c>
      <c r="B2765" s="1" t="n">
        <v>45726</v>
      </c>
      <c r="C2765" s="1" t="n">
        <v>46098</v>
      </c>
      <c r="D2765" t="inlineStr">
        <is>
          <t>UPPSALA LÄN</t>
        </is>
      </c>
      <c r="E2765" t="inlineStr">
        <is>
          <t>UPPSALA</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37053-2024</t>
        </is>
      </c>
      <c r="B2766" s="1" t="n">
        <v>45539.43512731481</v>
      </c>
      <c r="C2766" s="1" t="n">
        <v>46098</v>
      </c>
      <c r="D2766" t="inlineStr">
        <is>
          <t>UPPSALA LÄN</t>
        </is>
      </c>
      <c r="E2766" t="inlineStr">
        <is>
          <t>TIERP</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668-2025</t>
        </is>
      </c>
      <c r="B2767" s="1" t="n">
        <v>45664</v>
      </c>
      <c r="C2767" s="1" t="n">
        <v>46098</v>
      </c>
      <c r="D2767" t="inlineStr">
        <is>
          <t>UPPSALA LÄN</t>
        </is>
      </c>
      <c r="E2767" t="inlineStr">
        <is>
          <t>UPPSALA</t>
        </is>
      </c>
      <c r="F2767" t="inlineStr">
        <is>
          <t>Bergvik skog öst AB</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2309-2025</t>
        </is>
      </c>
      <c r="B2768" s="1" t="n">
        <v>45673</v>
      </c>
      <c r="C2768" s="1" t="n">
        <v>46098</v>
      </c>
      <c r="D2768" t="inlineStr">
        <is>
          <t>UPPSALA LÄN</t>
        </is>
      </c>
      <c r="E2768" t="inlineStr">
        <is>
          <t>HEBY</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3771-2024</t>
        </is>
      </c>
      <c r="B2769" s="1" t="n">
        <v>45321</v>
      </c>
      <c r="C2769" s="1" t="n">
        <v>46098</v>
      </c>
      <c r="D2769" t="inlineStr">
        <is>
          <t>UPPSALA LÄN</t>
        </is>
      </c>
      <c r="E2769" t="inlineStr">
        <is>
          <t>HEBY</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2952-2026</t>
        </is>
      </c>
      <c r="B2770" s="1" t="n">
        <v>46037</v>
      </c>
      <c r="C2770" s="1" t="n">
        <v>46098</v>
      </c>
      <c r="D2770" t="inlineStr">
        <is>
          <t>UPPSALA LÄN</t>
        </is>
      </c>
      <c r="E2770" t="inlineStr">
        <is>
          <t>KNIVSTA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16773-2022</t>
        </is>
      </c>
      <c r="B2771" s="1" t="n">
        <v>44673</v>
      </c>
      <c r="C2771" s="1" t="n">
        <v>46098</v>
      </c>
      <c r="D2771" t="inlineStr">
        <is>
          <t>UPPSALA LÄN</t>
        </is>
      </c>
      <c r="E2771" t="inlineStr">
        <is>
          <t>KNIVSTA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11056-2026</t>
        </is>
      </c>
      <c r="B2772" s="1" t="n">
        <v>46079.59508101852</v>
      </c>
      <c r="C2772" s="1" t="n">
        <v>46098</v>
      </c>
      <c r="D2772" t="inlineStr">
        <is>
          <t>UPPSALA LÄN</t>
        </is>
      </c>
      <c r="E2772" t="inlineStr">
        <is>
          <t>HEBY</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7556-2026</t>
        </is>
      </c>
      <c r="B2773" s="1" t="n">
        <v>46059.76631944445</v>
      </c>
      <c r="C2773" s="1" t="n">
        <v>46098</v>
      </c>
      <c r="D2773" t="inlineStr">
        <is>
          <t>UPPSALA LÄN</t>
        </is>
      </c>
      <c r="E2773" t="inlineStr">
        <is>
          <t>UPPSALA</t>
        </is>
      </c>
      <c r="F2773" t="inlineStr">
        <is>
          <t>Bergvik skog öst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5276-2026</t>
        </is>
      </c>
      <c r="B2774" s="1" t="n">
        <v>46037</v>
      </c>
      <c r="C2774" s="1" t="n">
        <v>46098</v>
      </c>
      <c r="D2774" t="inlineStr">
        <is>
          <t>UPPSALA LÄN</t>
        </is>
      </c>
      <c r="E2774" t="inlineStr">
        <is>
          <t>KNIVSTA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6408-2022</t>
        </is>
      </c>
      <c r="B2775" s="1" t="n">
        <v>44600</v>
      </c>
      <c r="C2775" s="1" t="n">
        <v>46098</v>
      </c>
      <c r="D2775" t="inlineStr">
        <is>
          <t>UPPSALA LÄN</t>
        </is>
      </c>
      <c r="E2775" t="inlineStr">
        <is>
          <t>UPPSALA</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44774-2024</t>
        </is>
      </c>
      <c r="B2776" s="1" t="n">
        <v>45574</v>
      </c>
      <c r="C2776" s="1" t="n">
        <v>46098</v>
      </c>
      <c r="D2776" t="inlineStr">
        <is>
          <t>UPPSALA LÄN</t>
        </is>
      </c>
      <c r="E2776" t="inlineStr">
        <is>
          <t>TIERP</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6660-2026</t>
        </is>
      </c>
      <c r="B2777" s="1" t="n">
        <v>46056</v>
      </c>
      <c r="C2777" s="1" t="n">
        <v>46098</v>
      </c>
      <c r="D2777" t="inlineStr">
        <is>
          <t>UPPSALA LÄN</t>
        </is>
      </c>
      <c r="E2777" t="inlineStr">
        <is>
          <t>HEBY</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2944-2026</t>
        </is>
      </c>
      <c r="B2778" s="1" t="n">
        <v>46037</v>
      </c>
      <c r="C2778" s="1" t="n">
        <v>46098</v>
      </c>
      <c r="D2778" t="inlineStr">
        <is>
          <t>UPPSALA LÄN</t>
        </is>
      </c>
      <c r="E2778" t="inlineStr">
        <is>
          <t>KNIVSTA</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24098-2024</t>
        </is>
      </c>
      <c r="B2779" s="1" t="n">
        <v>45456.59535879629</v>
      </c>
      <c r="C2779" s="1" t="n">
        <v>46098</v>
      </c>
      <c r="D2779" t="inlineStr">
        <is>
          <t>UPPSALA LÄN</t>
        </is>
      </c>
      <c r="E2779" t="inlineStr">
        <is>
          <t>UPPSALA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5722-2025</t>
        </is>
      </c>
      <c r="B2780" s="1" t="n">
        <v>45694</v>
      </c>
      <c r="C2780" s="1" t="n">
        <v>46098</v>
      </c>
      <c r="D2780" t="inlineStr">
        <is>
          <t>UPPSALA LÄN</t>
        </is>
      </c>
      <c r="E2780" t="inlineStr">
        <is>
          <t>UPPSALA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37316-2022</t>
        </is>
      </c>
      <c r="B2781" s="1" t="n">
        <v>44806</v>
      </c>
      <c r="C2781" s="1" t="n">
        <v>46098</v>
      </c>
      <c r="D2781" t="inlineStr">
        <is>
          <t>UPPSALA LÄN</t>
        </is>
      </c>
      <c r="E2781" t="inlineStr">
        <is>
          <t>UPPSALA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2615-2026</t>
        </is>
      </c>
      <c r="B2782" s="1" t="n">
        <v>46037.58893518519</v>
      </c>
      <c r="C2782" s="1" t="n">
        <v>46098</v>
      </c>
      <c r="D2782" t="inlineStr">
        <is>
          <t>UPPSALA LÄN</t>
        </is>
      </c>
      <c r="E2782" t="inlineStr">
        <is>
          <t>ÖSTHAMMAR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2620-2026</t>
        </is>
      </c>
      <c r="B2783" s="1" t="n">
        <v>46037.59137731481</v>
      </c>
      <c r="C2783" s="1" t="n">
        <v>46098</v>
      </c>
      <c r="D2783" t="inlineStr">
        <is>
          <t>UPPSALA LÄN</t>
        </is>
      </c>
      <c r="E2783" t="inlineStr">
        <is>
          <t>ÖSTHAMMAR</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10945-2026</t>
        </is>
      </c>
      <c r="B2784" s="1" t="n">
        <v>46079.37956018518</v>
      </c>
      <c r="C2784" s="1" t="n">
        <v>46098</v>
      </c>
      <c r="D2784" t="inlineStr">
        <is>
          <t>UPPSALA LÄN</t>
        </is>
      </c>
      <c r="E2784" t="inlineStr">
        <is>
          <t>TIERP</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2562-2026</t>
        </is>
      </c>
      <c r="B2785" s="1" t="n">
        <v>46037</v>
      </c>
      <c r="C2785" s="1" t="n">
        <v>46098</v>
      </c>
      <c r="D2785" t="inlineStr">
        <is>
          <t>UPPSALA LÄN</t>
        </is>
      </c>
      <c r="E2785" t="inlineStr">
        <is>
          <t>HEBY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2563-2026</t>
        </is>
      </c>
      <c r="B2786" s="1" t="n">
        <v>46037</v>
      </c>
      <c r="C2786" s="1" t="n">
        <v>46098</v>
      </c>
      <c r="D2786" t="inlineStr">
        <is>
          <t>UPPSALA LÄN</t>
        </is>
      </c>
      <c r="E2786" t="inlineStr">
        <is>
          <t>HEBY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2564-2026</t>
        </is>
      </c>
      <c r="B2787" s="1" t="n">
        <v>46037</v>
      </c>
      <c r="C2787" s="1" t="n">
        <v>46098</v>
      </c>
      <c r="D2787" t="inlineStr">
        <is>
          <t>UPPSALA LÄN</t>
        </is>
      </c>
      <c r="E2787" t="inlineStr">
        <is>
          <t>HEBY</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6363-2024</t>
        </is>
      </c>
      <c r="B2788" s="1" t="n">
        <v>45338.49412037037</v>
      </c>
      <c r="C2788" s="1" t="n">
        <v>46098</v>
      </c>
      <c r="D2788" t="inlineStr">
        <is>
          <t>UPPSALA LÄN</t>
        </is>
      </c>
      <c r="E2788" t="inlineStr">
        <is>
          <t>UPPSALA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1238-2022</t>
        </is>
      </c>
      <c r="B2789" s="1" t="n">
        <v>44572.5827662037</v>
      </c>
      <c r="C2789" s="1" t="n">
        <v>46098</v>
      </c>
      <c r="D2789" t="inlineStr">
        <is>
          <t>UPPSALA LÄN</t>
        </is>
      </c>
      <c r="E2789" t="inlineStr">
        <is>
          <t>ÖSTHAMMAR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2258-2026</t>
        </is>
      </c>
      <c r="B2790" s="1" t="n">
        <v>46036</v>
      </c>
      <c r="C2790" s="1" t="n">
        <v>46098</v>
      </c>
      <c r="D2790" t="inlineStr">
        <is>
          <t>UPPSALA LÄN</t>
        </is>
      </c>
      <c r="E2790" t="inlineStr">
        <is>
          <t>ENKÖPING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2695-2026</t>
        </is>
      </c>
      <c r="B2791" s="1" t="n">
        <v>46037.67167824074</v>
      </c>
      <c r="C2791" s="1" t="n">
        <v>46098</v>
      </c>
      <c r="D2791" t="inlineStr">
        <is>
          <t>UPPSALA LÄN</t>
        </is>
      </c>
      <c r="E2791" t="inlineStr">
        <is>
          <t>HEBY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64057-2025</t>
        </is>
      </c>
      <c r="B2792" s="1" t="n">
        <v>46010</v>
      </c>
      <c r="C2792" s="1" t="n">
        <v>46098</v>
      </c>
      <c r="D2792" t="inlineStr">
        <is>
          <t>UPPSALA LÄN</t>
        </is>
      </c>
      <c r="E2792" t="inlineStr">
        <is>
          <t>HEBY</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49614-2024</t>
        </is>
      </c>
      <c r="B2793" s="1" t="n">
        <v>45596.57716435185</v>
      </c>
      <c r="C2793" s="1" t="n">
        <v>46098</v>
      </c>
      <c r="D2793" t="inlineStr">
        <is>
          <t>UPPSALA LÄN</t>
        </is>
      </c>
      <c r="E2793" t="inlineStr">
        <is>
          <t>ENKÖPING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49632-2024</t>
        </is>
      </c>
      <c r="B2794" s="1" t="n">
        <v>45596</v>
      </c>
      <c r="C2794" s="1" t="n">
        <v>46098</v>
      </c>
      <c r="D2794" t="inlineStr">
        <is>
          <t>UPPSALA LÄN</t>
        </is>
      </c>
      <c r="E2794" t="inlineStr">
        <is>
          <t>ENKÖPING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2406-2026</t>
        </is>
      </c>
      <c r="B2795" s="1" t="n">
        <v>46036.71761574074</v>
      </c>
      <c r="C2795" s="1" t="n">
        <v>46098</v>
      </c>
      <c r="D2795" t="inlineStr">
        <is>
          <t>UPPSALA LÄN</t>
        </is>
      </c>
      <c r="E2795" t="inlineStr">
        <is>
          <t>TIERP</t>
        </is>
      </c>
      <c r="F2795" t="inlineStr">
        <is>
          <t>Bergvik skog väst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54808-2023</t>
        </is>
      </c>
      <c r="B2796" s="1" t="n">
        <v>45236</v>
      </c>
      <c r="C2796" s="1" t="n">
        <v>46098</v>
      </c>
      <c r="D2796" t="inlineStr">
        <is>
          <t>UPPSALA LÄN</t>
        </is>
      </c>
      <c r="E2796" t="inlineStr">
        <is>
          <t>UPPSALA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38003-2024</t>
        </is>
      </c>
      <c r="B2797" s="1" t="n">
        <v>45544</v>
      </c>
      <c r="C2797" s="1" t="n">
        <v>46098</v>
      </c>
      <c r="D2797" t="inlineStr">
        <is>
          <t>UPPSALA LÄN</t>
        </is>
      </c>
      <c r="E2797" t="inlineStr">
        <is>
          <t>ÖSTHAMMAR</t>
        </is>
      </c>
      <c r="F2797" t="inlineStr">
        <is>
          <t>Naturvårdsverket</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55204-2022</t>
        </is>
      </c>
      <c r="B2798" s="1" t="n">
        <v>44886</v>
      </c>
      <c r="C2798" s="1" t="n">
        <v>46098</v>
      </c>
      <c r="D2798" t="inlineStr">
        <is>
          <t>UPPSALA LÄN</t>
        </is>
      </c>
      <c r="E2798" t="inlineStr">
        <is>
          <t>HEBY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2218-2026</t>
        </is>
      </c>
      <c r="B2799" s="1" t="n">
        <v>46036.50010416667</v>
      </c>
      <c r="C2799" s="1" t="n">
        <v>46098</v>
      </c>
      <c r="D2799" t="inlineStr">
        <is>
          <t>UPPSALA LÄN</t>
        </is>
      </c>
      <c r="E2799" t="inlineStr">
        <is>
          <t>ENKÖPING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36561-2022</t>
        </is>
      </c>
      <c r="B2800" s="1" t="n">
        <v>44804</v>
      </c>
      <c r="C2800" s="1" t="n">
        <v>46098</v>
      </c>
      <c r="D2800" t="inlineStr">
        <is>
          <t>UPPSALA LÄN</t>
        </is>
      </c>
      <c r="E2800" t="inlineStr">
        <is>
          <t>TIERP</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38464-2023</t>
        </is>
      </c>
      <c r="B2801" s="1" t="n">
        <v>45162.44894675926</v>
      </c>
      <c r="C2801" s="1" t="n">
        <v>46098</v>
      </c>
      <c r="D2801" t="inlineStr">
        <is>
          <t>UPPSALA LÄN</t>
        </is>
      </c>
      <c r="E2801" t="inlineStr">
        <is>
          <t>TIERP</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25252-2024</t>
        </is>
      </c>
      <c r="B2802" s="1" t="n">
        <v>45462</v>
      </c>
      <c r="C2802" s="1" t="n">
        <v>46098</v>
      </c>
      <c r="D2802" t="inlineStr">
        <is>
          <t>UPPSALA LÄN</t>
        </is>
      </c>
      <c r="E2802" t="inlineStr">
        <is>
          <t>ÖSTHAMMAR</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16531-2025</t>
        </is>
      </c>
      <c r="B2803" s="1" t="n">
        <v>45751</v>
      </c>
      <c r="C2803" s="1" t="n">
        <v>46098</v>
      </c>
      <c r="D2803" t="inlineStr">
        <is>
          <t>UPPSALA LÄN</t>
        </is>
      </c>
      <c r="E2803" t="inlineStr">
        <is>
          <t>ÖSTHAMMAR</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29479-2022</t>
        </is>
      </c>
      <c r="B2804" s="1" t="n">
        <v>44753.57265046296</v>
      </c>
      <c r="C2804" s="1" t="n">
        <v>46098</v>
      </c>
      <c r="D2804" t="inlineStr">
        <is>
          <t>UPPSALA LÄN</t>
        </is>
      </c>
      <c r="E2804" t="inlineStr">
        <is>
          <t>ENKÖPING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54813-2022</t>
        </is>
      </c>
      <c r="B2805" s="1" t="n">
        <v>44883</v>
      </c>
      <c r="C2805" s="1" t="n">
        <v>46098</v>
      </c>
      <c r="D2805" t="inlineStr">
        <is>
          <t>UPPSALA LÄN</t>
        </is>
      </c>
      <c r="E2805" t="inlineStr">
        <is>
          <t>UPPSALA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1117-2026</t>
        </is>
      </c>
      <c r="B2806" s="1" t="n">
        <v>46029</v>
      </c>
      <c r="C2806" s="1" t="n">
        <v>46098</v>
      </c>
      <c r="D2806" t="inlineStr">
        <is>
          <t>UPPSALA LÄN</t>
        </is>
      </c>
      <c r="E2806" t="inlineStr">
        <is>
          <t>TIERP</t>
        </is>
      </c>
      <c r="F2806" t="inlineStr">
        <is>
          <t>Naturvårdsverket</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64191-2023</t>
        </is>
      </c>
      <c r="B2807" s="1" t="n">
        <v>45279</v>
      </c>
      <c r="C2807" s="1" t="n">
        <v>46098</v>
      </c>
      <c r="D2807" t="inlineStr">
        <is>
          <t>UPPSALA LÄN</t>
        </is>
      </c>
      <c r="E2807" t="inlineStr">
        <is>
          <t>HEBY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4666-2025</t>
        </is>
      </c>
      <c r="B2808" s="1" t="n">
        <v>45687</v>
      </c>
      <c r="C2808" s="1" t="n">
        <v>46098</v>
      </c>
      <c r="D2808" t="inlineStr">
        <is>
          <t>UPPSALA LÄN</t>
        </is>
      </c>
      <c r="E2808" t="inlineStr">
        <is>
          <t>HEBY</t>
        </is>
      </c>
      <c r="F2808" t="inlineStr">
        <is>
          <t>Övriga Aktiebolag</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35542-2022</t>
        </is>
      </c>
      <c r="B2809" s="1" t="n">
        <v>44799.36695601852</v>
      </c>
      <c r="C2809" s="1" t="n">
        <v>46098</v>
      </c>
      <c r="D2809" t="inlineStr">
        <is>
          <t>UPPSALA LÄN</t>
        </is>
      </c>
      <c r="E2809" t="inlineStr">
        <is>
          <t>UPPSALA</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3015-2026</t>
        </is>
      </c>
      <c r="B2810" s="1" t="n">
        <v>46038</v>
      </c>
      <c r="C2810" s="1" t="n">
        <v>46098</v>
      </c>
      <c r="D2810" t="inlineStr">
        <is>
          <t>UPPSALA LÄN</t>
        </is>
      </c>
      <c r="E2810" t="inlineStr">
        <is>
          <t>KNIVSTA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11276-2026</t>
        </is>
      </c>
      <c r="B2811" s="1" t="n">
        <v>46080.58021990741</v>
      </c>
      <c r="C2811" s="1" t="n">
        <v>46098</v>
      </c>
      <c r="D2811" t="inlineStr">
        <is>
          <t>UPPSALA LÄN</t>
        </is>
      </c>
      <c r="E2811" t="inlineStr">
        <is>
          <t>UPPSALA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1105-2026</t>
        </is>
      </c>
      <c r="B2812" s="1" t="n">
        <v>46029</v>
      </c>
      <c r="C2812" s="1" t="n">
        <v>46098</v>
      </c>
      <c r="D2812" t="inlineStr">
        <is>
          <t>UPPSALA LÄN</t>
        </is>
      </c>
      <c r="E2812" t="inlineStr">
        <is>
          <t>TIERP</t>
        </is>
      </c>
      <c r="F2812" t="inlineStr">
        <is>
          <t>Naturvårdsverket</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3095-2026</t>
        </is>
      </c>
      <c r="B2813" s="1" t="n">
        <v>46040.90493055555</v>
      </c>
      <c r="C2813" s="1" t="n">
        <v>46098</v>
      </c>
      <c r="D2813" t="inlineStr">
        <is>
          <t>UPPSALA LÄN</t>
        </is>
      </c>
      <c r="E2813" t="inlineStr">
        <is>
          <t>ÖSTHAMMAR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3055-2026</t>
        </is>
      </c>
      <c r="B2814" s="1" t="n">
        <v>46039.39636574074</v>
      </c>
      <c r="C2814" s="1" t="n">
        <v>46098</v>
      </c>
      <c r="D2814" t="inlineStr">
        <is>
          <t>UPPSALA LÄN</t>
        </is>
      </c>
      <c r="E2814" t="inlineStr">
        <is>
          <t>ÖSTHAMMAR</t>
        </is>
      </c>
      <c r="F2814" t="inlineStr">
        <is>
          <t>Bergvik skog öst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3355-2024</t>
        </is>
      </c>
      <c r="B2815" s="1" t="n">
        <v>45317</v>
      </c>
      <c r="C2815" s="1" t="n">
        <v>46098</v>
      </c>
      <c r="D2815" t="inlineStr">
        <is>
          <t>UPPSALA LÄN</t>
        </is>
      </c>
      <c r="E2815" t="inlineStr">
        <is>
          <t>HEBY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31137-2022</t>
        </is>
      </c>
      <c r="B2816" s="1" t="n">
        <v>44770.42166666667</v>
      </c>
      <c r="C2816" s="1" t="n">
        <v>46098</v>
      </c>
      <c r="D2816" t="inlineStr">
        <is>
          <t>UPPSALA LÄN</t>
        </is>
      </c>
      <c r="E2816" t="inlineStr">
        <is>
          <t>ÖSTHAMMAR</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3016-2026</t>
        </is>
      </c>
      <c r="B2817" s="1" t="n">
        <v>46038</v>
      </c>
      <c r="C2817" s="1" t="n">
        <v>46098</v>
      </c>
      <c r="D2817" t="inlineStr">
        <is>
          <t>UPPSALA LÄN</t>
        </is>
      </c>
      <c r="E2817" t="inlineStr">
        <is>
          <t>KNIVSTA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47316-2023</t>
        </is>
      </c>
      <c r="B2818" s="1" t="n">
        <v>45202.4997337963</v>
      </c>
      <c r="C2818" s="1" t="n">
        <v>46098</v>
      </c>
      <c r="D2818" t="inlineStr">
        <is>
          <t>UPPSALA LÄN</t>
        </is>
      </c>
      <c r="E2818" t="inlineStr">
        <is>
          <t>UPPSALA</t>
        </is>
      </c>
      <c r="F2818" t="inlineStr">
        <is>
          <t>Bergvik skog öst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6851-2022</t>
        </is>
      </c>
      <c r="B2819" s="1" t="n">
        <v>44602</v>
      </c>
      <c r="C2819" s="1" t="n">
        <v>46098</v>
      </c>
      <c r="D2819" t="inlineStr">
        <is>
          <t>UPPSALA LÄN</t>
        </is>
      </c>
      <c r="E2819" t="inlineStr">
        <is>
          <t>UPPSALA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61807-2022</t>
        </is>
      </c>
      <c r="B2820" s="1" t="n">
        <v>44917</v>
      </c>
      <c r="C2820" s="1" t="n">
        <v>46098</v>
      </c>
      <c r="D2820" t="inlineStr">
        <is>
          <t>UPPSALA LÄN</t>
        </is>
      </c>
      <c r="E2820" t="inlineStr">
        <is>
          <t>HEBY</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11467-2026</t>
        </is>
      </c>
      <c r="B2821" s="1" t="n">
        <v>46083.58950231481</v>
      </c>
      <c r="C2821" s="1" t="n">
        <v>46098</v>
      </c>
      <c r="D2821" t="inlineStr">
        <is>
          <t>UPPSALA LÄN</t>
        </is>
      </c>
      <c r="E2821" t="inlineStr">
        <is>
          <t>ÄLVKARLEBY</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39107-2023</t>
        </is>
      </c>
      <c r="B2822" s="1" t="n">
        <v>45164.82913194445</v>
      </c>
      <c r="C2822" s="1" t="n">
        <v>46098</v>
      </c>
      <c r="D2822" t="inlineStr">
        <is>
          <t>UPPSALA LÄN</t>
        </is>
      </c>
      <c r="E2822" t="inlineStr">
        <is>
          <t>UPPSALA</t>
        </is>
      </c>
      <c r="F2822" t="inlineStr">
        <is>
          <t>Bergvik skog öst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27538-2023</t>
        </is>
      </c>
      <c r="B2823" s="1" t="n">
        <v>45097</v>
      </c>
      <c r="C2823" s="1" t="n">
        <v>46098</v>
      </c>
      <c r="D2823" t="inlineStr">
        <is>
          <t>UPPSALA LÄN</t>
        </is>
      </c>
      <c r="E2823" t="inlineStr">
        <is>
          <t>ENKÖPING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74429-2021</t>
        </is>
      </c>
      <c r="B2824" s="1" t="n">
        <v>44560.43136574074</v>
      </c>
      <c r="C2824" s="1" t="n">
        <v>46098</v>
      </c>
      <c r="D2824" t="inlineStr">
        <is>
          <t>UPPSALA LÄN</t>
        </is>
      </c>
      <c r="E2824" t="inlineStr">
        <is>
          <t>ÖSTHAMMAR</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15409-2025</t>
        </is>
      </c>
      <c r="B2825" s="1" t="n">
        <v>45747</v>
      </c>
      <c r="C2825" s="1" t="n">
        <v>46098</v>
      </c>
      <c r="D2825" t="inlineStr">
        <is>
          <t>UPPSALA LÄN</t>
        </is>
      </c>
      <c r="E2825" t="inlineStr">
        <is>
          <t>ENKÖPING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60874-2023</t>
        </is>
      </c>
      <c r="B2826" s="1" t="n">
        <v>45261.06280092592</v>
      </c>
      <c r="C2826" s="1" t="n">
        <v>46098</v>
      </c>
      <c r="D2826" t="inlineStr">
        <is>
          <t>UPPSALA LÄN</t>
        </is>
      </c>
      <c r="E2826" t="inlineStr">
        <is>
          <t>ENKÖPING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30931-2021</t>
        </is>
      </c>
      <c r="B2827" s="1" t="n">
        <v>44365</v>
      </c>
      <c r="C2827" s="1" t="n">
        <v>46098</v>
      </c>
      <c r="D2827" t="inlineStr">
        <is>
          <t>UPPSALA LÄN</t>
        </is>
      </c>
      <c r="E2827" t="inlineStr">
        <is>
          <t>ÖSTHAMMAR</t>
        </is>
      </c>
      <c r="F2827" t="inlineStr">
        <is>
          <t>Bergvik skog öst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20505-2021</t>
        </is>
      </c>
      <c r="B2828" s="1" t="n">
        <v>44313</v>
      </c>
      <c r="C2828" s="1" t="n">
        <v>46098</v>
      </c>
      <c r="D2828" t="inlineStr">
        <is>
          <t>UPPSALA LÄN</t>
        </is>
      </c>
      <c r="E2828" t="inlineStr">
        <is>
          <t>KNIVSTA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11830-2026</t>
        </is>
      </c>
      <c r="B2829" s="1" t="n">
        <v>46085.42673611111</v>
      </c>
      <c r="C2829" s="1" t="n">
        <v>46098</v>
      </c>
      <c r="D2829" t="inlineStr">
        <is>
          <t>UPPSALA LÄN</t>
        </is>
      </c>
      <c r="E2829" t="inlineStr">
        <is>
          <t>HEBY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3438-2026</t>
        </is>
      </c>
      <c r="B2830" s="1" t="n">
        <v>46042.47289351852</v>
      </c>
      <c r="C2830" s="1" t="n">
        <v>46098</v>
      </c>
      <c r="D2830" t="inlineStr">
        <is>
          <t>UPPSALA LÄN</t>
        </is>
      </c>
      <c r="E2830" t="inlineStr">
        <is>
          <t>TIERP</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17642-2025</t>
        </is>
      </c>
      <c r="B2831" s="1" t="n">
        <v>45758</v>
      </c>
      <c r="C2831" s="1" t="n">
        <v>46098</v>
      </c>
      <c r="D2831" t="inlineStr">
        <is>
          <t>UPPSALA LÄN</t>
        </is>
      </c>
      <c r="E2831" t="inlineStr">
        <is>
          <t>TIERP</t>
        </is>
      </c>
      <c r="F2831" t="inlineStr">
        <is>
          <t>Bergvik skog väst AB</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7068-2022</t>
        </is>
      </c>
      <c r="B2832" s="1" t="n">
        <v>44603</v>
      </c>
      <c r="C2832" s="1" t="n">
        <v>46098</v>
      </c>
      <c r="D2832" t="inlineStr">
        <is>
          <t>UPPSALA LÄN</t>
        </is>
      </c>
      <c r="E2832" t="inlineStr">
        <is>
          <t>TIERP</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3824-2026</t>
        </is>
      </c>
      <c r="B2833" s="1" t="n">
        <v>46043.58570601852</v>
      </c>
      <c r="C2833" s="1" t="n">
        <v>46098</v>
      </c>
      <c r="D2833" t="inlineStr">
        <is>
          <t>UPPSALA LÄN</t>
        </is>
      </c>
      <c r="E2833" t="inlineStr">
        <is>
          <t>KNIVSTA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3865-2026</t>
        </is>
      </c>
      <c r="B2834" s="1" t="n">
        <v>46043</v>
      </c>
      <c r="C2834" s="1" t="n">
        <v>46098</v>
      </c>
      <c r="D2834" t="inlineStr">
        <is>
          <t>UPPSALA LÄN</t>
        </is>
      </c>
      <c r="E2834" t="inlineStr">
        <is>
          <t>TIERP</t>
        </is>
      </c>
      <c r="F2834" t="inlineStr">
        <is>
          <t>Bergvik skog väst AB</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3443-2026</t>
        </is>
      </c>
      <c r="B2835" s="1" t="n">
        <v>46042.47866898148</v>
      </c>
      <c r="C2835" s="1" t="n">
        <v>46098</v>
      </c>
      <c r="D2835" t="inlineStr">
        <is>
          <t>UPPSALA LÄN</t>
        </is>
      </c>
      <c r="E2835" t="inlineStr">
        <is>
          <t>TIERP</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50394-2024</t>
        </is>
      </c>
      <c r="B2836" s="1" t="n">
        <v>45600</v>
      </c>
      <c r="C2836" s="1" t="n">
        <v>46098</v>
      </c>
      <c r="D2836" t="inlineStr">
        <is>
          <t>UPPSALA LÄN</t>
        </is>
      </c>
      <c r="E2836" t="inlineStr">
        <is>
          <t>ENKÖPING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21310-2023</t>
        </is>
      </c>
      <c r="B2837" s="1" t="n">
        <v>45058</v>
      </c>
      <c r="C2837" s="1" t="n">
        <v>46098</v>
      </c>
      <c r="D2837" t="inlineStr">
        <is>
          <t>UPPSALA LÄN</t>
        </is>
      </c>
      <c r="E2837" t="inlineStr">
        <is>
          <t>HEBY</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23411-2024</t>
        </is>
      </c>
      <c r="B2838" s="1" t="n">
        <v>45453</v>
      </c>
      <c r="C2838" s="1" t="n">
        <v>46098</v>
      </c>
      <c r="D2838" t="inlineStr">
        <is>
          <t>UPPSALA LÄN</t>
        </is>
      </c>
      <c r="E2838" t="inlineStr">
        <is>
          <t>HEBY</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48564-2023</t>
        </is>
      </c>
      <c r="B2839" s="1" t="n">
        <v>45208.4350462963</v>
      </c>
      <c r="C2839" s="1" t="n">
        <v>46098</v>
      </c>
      <c r="D2839" t="inlineStr">
        <is>
          <t>UPPSALA LÄN</t>
        </is>
      </c>
      <c r="E2839" t="inlineStr">
        <is>
          <t>UPPSALA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3767-2026</t>
        </is>
      </c>
      <c r="B2840" s="1" t="n">
        <v>46043.5583449074</v>
      </c>
      <c r="C2840" s="1" t="n">
        <v>46098</v>
      </c>
      <c r="D2840" t="inlineStr">
        <is>
          <t>UPPSALA LÄN</t>
        </is>
      </c>
      <c r="E2840" t="inlineStr">
        <is>
          <t>TIERP</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11529-2022</t>
        </is>
      </c>
      <c r="B2841" s="1" t="n">
        <v>44631.38126157408</v>
      </c>
      <c r="C2841" s="1" t="n">
        <v>46098</v>
      </c>
      <c r="D2841" t="inlineStr">
        <is>
          <t>UPPSALA LÄN</t>
        </is>
      </c>
      <c r="E2841" t="inlineStr">
        <is>
          <t>TIERP</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51010-2024</t>
        </is>
      </c>
      <c r="B2842" s="1" t="n">
        <v>45603.39285879629</v>
      </c>
      <c r="C2842" s="1" t="n">
        <v>46098</v>
      </c>
      <c r="D2842" t="inlineStr">
        <is>
          <t>UPPSALA LÄN</t>
        </is>
      </c>
      <c r="E2842" t="inlineStr">
        <is>
          <t>ENKÖPING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21727-2023</t>
        </is>
      </c>
      <c r="B2843" s="1" t="n">
        <v>45065.43013888889</v>
      </c>
      <c r="C2843" s="1" t="n">
        <v>46098</v>
      </c>
      <c r="D2843" t="inlineStr">
        <is>
          <t>UPPSALA LÄN</t>
        </is>
      </c>
      <c r="E2843" t="inlineStr">
        <is>
          <t>UPPSALA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17867-2024</t>
        </is>
      </c>
      <c r="B2844" s="1" t="n">
        <v>45419.44106481481</v>
      </c>
      <c r="C2844" s="1" t="n">
        <v>46098</v>
      </c>
      <c r="D2844" t="inlineStr">
        <is>
          <t>UPPSALA LÄN</t>
        </is>
      </c>
      <c r="E2844" t="inlineStr">
        <is>
          <t>ÖSTHAMMAR</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18668-2024</t>
        </is>
      </c>
      <c r="B2845" s="1" t="n">
        <v>45426.34148148148</v>
      </c>
      <c r="C2845" s="1" t="n">
        <v>46098</v>
      </c>
      <c r="D2845" t="inlineStr">
        <is>
          <t>UPPSALA LÄN</t>
        </is>
      </c>
      <c r="E2845" t="inlineStr">
        <is>
          <t>UPPSALA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4228-2023</t>
        </is>
      </c>
      <c r="B2846" s="1" t="n">
        <v>44953.48179398148</v>
      </c>
      <c r="C2846" s="1" t="n">
        <v>46098</v>
      </c>
      <c r="D2846" t="inlineStr">
        <is>
          <t>UPPSALA LÄN</t>
        </is>
      </c>
      <c r="E2846" t="inlineStr">
        <is>
          <t>ÖSTHAMMAR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12027-2026</t>
        </is>
      </c>
      <c r="B2847" s="1" t="n">
        <v>46085.84549768519</v>
      </c>
      <c r="C2847" s="1" t="n">
        <v>46098</v>
      </c>
      <c r="D2847" t="inlineStr">
        <is>
          <t>UPPSALA LÄN</t>
        </is>
      </c>
      <c r="E2847" t="inlineStr">
        <is>
          <t>KNIVSTA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32276-2021</t>
        </is>
      </c>
      <c r="B2848" s="1" t="n">
        <v>44371.49178240741</v>
      </c>
      <c r="C2848" s="1" t="n">
        <v>46098</v>
      </c>
      <c r="D2848" t="inlineStr">
        <is>
          <t>UPPSALA LÄN</t>
        </is>
      </c>
      <c r="E2848" t="inlineStr">
        <is>
          <t>UPPSALA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3433-2026</t>
        </is>
      </c>
      <c r="B2849" s="1" t="n">
        <v>46042.46269675926</v>
      </c>
      <c r="C2849" s="1" t="n">
        <v>46098</v>
      </c>
      <c r="D2849" t="inlineStr">
        <is>
          <t>UPPSALA LÄN</t>
        </is>
      </c>
      <c r="E2849" t="inlineStr">
        <is>
          <t>TIERP</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43016-2021</t>
        </is>
      </c>
      <c r="B2850" s="1" t="n">
        <v>44431</v>
      </c>
      <c r="C2850" s="1" t="n">
        <v>46098</v>
      </c>
      <c r="D2850" t="inlineStr">
        <is>
          <t>UPPSALA LÄN</t>
        </is>
      </c>
      <c r="E2850" t="inlineStr">
        <is>
          <t>ENKÖPING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43179-2021</t>
        </is>
      </c>
      <c r="B2851" s="1" t="n">
        <v>44431</v>
      </c>
      <c r="C2851" s="1" t="n">
        <v>46098</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11059-2025</t>
        </is>
      </c>
      <c r="B2852" s="1" t="n">
        <v>45723.5122337963</v>
      </c>
      <c r="C2852" s="1" t="n">
        <v>46098</v>
      </c>
      <c r="D2852" t="inlineStr">
        <is>
          <t>UPPSALA LÄN</t>
        </is>
      </c>
      <c r="E2852" t="inlineStr">
        <is>
          <t>HEBY</t>
        </is>
      </c>
      <c r="F2852" t="inlineStr">
        <is>
          <t>Kyrkan</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11103-2025</t>
        </is>
      </c>
      <c r="B2853" s="1" t="n">
        <v>45723</v>
      </c>
      <c r="C2853" s="1" t="n">
        <v>46098</v>
      </c>
      <c r="D2853" t="inlineStr">
        <is>
          <t>UPPSALA LÄN</t>
        </is>
      </c>
      <c r="E2853" t="inlineStr">
        <is>
          <t>UPPSALA</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48403-2022</t>
        </is>
      </c>
      <c r="B2854" s="1" t="n">
        <v>44858.61703703704</v>
      </c>
      <c r="C2854" s="1" t="n">
        <v>46098</v>
      </c>
      <c r="D2854" t="inlineStr">
        <is>
          <t>UPPSALA LÄN</t>
        </is>
      </c>
      <c r="E2854" t="inlineStr">
        <is>
          <t>TIERP</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11775-2026</t>
        </is>
      </c>
      <c r="B2855" s="1" t="n">
        <v>46084.76925925926</v>
      </c>
      <c r="C2855" s="1" t="n">
        <v>46098</v>
      </c>
      <c r="D2855" t="inlineStr">
        <is>
          <t>UPPSALA LÄN</t>
        </is>
      </c>
      <c r="E2855" t="inlineStr">
        <is>
          <t>TIERP</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6549-2025</t>
        </is>
      </c>
      <c r="B2856" s="1" t="n">
        <v>45699</v>
      </c>
      <c r="C2856" s="1" t="n">
        <v>46098</v>
      </c>
      <c r="D2856" t="inlineStr">
        <is>
          <t>UPPSALA LÄN</t>
        </is>
      </c>
      <c r="E2856" t="inlineStr">
        <is>
          <t>UPPSALA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11560-2026</t>
        </is>
      </c>
      <c r="B2857" s="1" t="n">
        <v>46084</v>
      </c>
      <c r="C2857" s="1" t="n">
        <v>46098</v>
      </c>
      <c r="D2857" t="inlineStr">
        <is>
          <t>UPPSALA LÄN</t>
        </is>
      </c>
      <c r="E2857" t="inlineStr">
        <is>
          <t>HEBY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36301-2023</t>
        </is>
      </c>
      <c r="B2858" s="1" t="n">
        <v>45152.37296296296</v>
      </c>
      <c r="C2858" s="1" t="n">
        <v>46098</v>
      </c>
      <c r="D2858" t="inlineStr">
        <is>
          <t>UPPSALA LÄN</t>
        </is>
      </c>
      <c r="E2858" t="inlineStr">
        <is>
          <t>ÖSTHAMMAR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60018-2024</t>
        </is>
      </c>
      <c r="B2859" s="1" t="n">
        <v>45642</v>
      </c>
      <c r="C2859" s="1" t="n">
        <v>46098</v>
      </c>
      <c r="D2859" t="inlineStr">
        <is>
          <t>UPPSALA LÄN</t>
        </is>
      </c>
      <c r="E2859" t="inlineStr">
        <is>
          <t>KNIVSTA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6999-2023</t>
        </is>
      </c>
      <c r="B2860" s="1" t="n">
        <v>44967.80034722222</v>
      </c>
      <c r="C2860" s="1" t="n">
        <v>46098</v>
      </c>
      <c r="D2860" t="inlineStr">
        <is>
          <t>UPPSALA LÄN</t>
        </is>
      </c>
      <c r="E2860" t="inlineStr">
        <is>
          <t>UPPSALA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7002-2023</t>
        </is>
      </c>
      <c r="B2861" s="1" t="n">
        <v>44967</v>
      </c>
      <c r="C2861" s="1" t="n">
        <v>46098</v>
      </c>
      <c r="D2861" t="inlineStr">
        <is>
          <t>UPPSALA LÄN</t>
        </is>
      </c>
      <c r="E2861" t="inlineStr">
        <is>
          <t>UPPSALA</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15574-2024</t>
        </is>
      </c>
      <c r="B2862" s="1" t="n">
        <v>45401.68577546296</v>
      </c>
      <c r="C2862" s="1" t="n">
        <v>46098</v>
      </c>
      <c r="D2862" t="inlineStr">
        <is>
          <t>UPPSALA LÄN</t>
        </is>
      </c>
      <c r="E2862" t="inlineStr">
        <is>
          <t>TIERP</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11841-2026</t>
        </is>
      </c>
      <c r="B2863" s="1" t="n">
        <v>46085.44862268519</v>
      </c>
      <c r="C2863" s="1" t="n">
        <v>46098</v>
      </c>
      <c r="D2863" t="inlineStr">
        <is>
          <t>UPPSALA LÄN</t>
        </is>
      </c>
      <c r="E2863" t="inlineStr">
        <is>
          <t>HEBY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11848-2026</t>
        </is>
      </c>
      <c r="B2864" s="1" t="n">
        <v>46085.45927083334</v>
      </c>
      <c r="C2864" s="1" t="n">
        <v>46098</v>
      </c>
      <c r="D2864" t="inlineStr">
        <is>
          <t>UPPSALA LÄN</t>
        </is>
      </c>
      <c r="E2864" t="inlineStr">
        <is>
          <t>ÄLVKARLEBY</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3836-2026</t>
        </is>
      </c>
      <c r="B2865" s="1" t="n">
        <v>46043.5925</v>
      </c>
      <c r="C2865" s="1" t="n">
        <v>46098</v>
      </c>
      <c r="D2865" t="inlineStr">
        <is>
          <t>UPPSALA LÄN</t>
        </is>
      </c>
      <c r="E2865" t="inlineStr">
        <is>
          <t>KNIVSTA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3375-2026</t>
        </is>
      </c>
      <c r="B2866" s="1" t="n">
        <v>46042</v>
      </c>
      <c r="C2866" s="1" t="n">
        <v>46098</v>
      </c>
      <c r="D2866" t="inlineStr">
        <is>
          <t>UPPSALA LÄN</t>
        </is>
      </c>
      <c r="E2866" t="inlineStr">
        <is>
          <t>KNIVSTA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7195-2023</t>
        </is>
      </c>
      <c r="B2867" s="1" t="n">
        <v>44970</v>
      </c>
      <c r="C2867" s="1" t="n">
        <v>46098</v>
      </c>
      <c r="D2867" t="inlineStr">
        <is>
          <t>UPPSALA LÄN</t>
        </is>
      </c>
      <c r="E2867" t="inlineStr">
        <is>
          <t>ÖSTHAMMAR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3642-2026</t>
        </is>
      </c>
      <c r="B2868" s="1" t="n">
        <v>46043.35760416667</v>
      </c>
      <c r="C2868" s="1" t="n">
        <v>46098</v>
      </c>
      <c r="D2868" t="inlineStr">
        <is>
          <t>UPPSALA LÄN</t>
        </is>
      </c>
      <c r="E2868" t="inlineStr">
        <is>
          <t>ÖSTHAMMAR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3668-2026</t>
        </is>
      </c>
      <c r="B2869" s="1" t="n">
        <v>46043.41212962963</v>
      </c>
      <c r="C2869" s="1" t="n">
        <v>46098</v>
      </c>
      <c r="D2869" t="inlineStr">
        <is>
          <t>UPPSALA LÄN</t>
        </is>
      </c>
      <c r="E2869" t="inlineStr">
        <is>
          <t>ÖSTHAMMAR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9769-2023</t>
        </is>
      </c>
      <c r="B2870" s="1" t="n">
        <v>44984</v>
      </c>
      <c r="C2870" s="1" t="n">
        <v>46098</v>
      </c>
      <c r="D2870" t="inlineStr">
        <is>
          <t>UPPSALA LÄN</t>
        </is>
      </c>
      <c r="E2870" t="inlineStr">
        <is>
          <t>HEBY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11774-2026</t>
        </is>
      </c>
      <c r="B2871" s="1" t="n">
        <v>46084.76508101852</v>
      </c>
      <c r="C2871" s="1" t="n">
        <v>46098</v>
      </c>
      <c r="D2871" t="inlineStr">
        <is>
          <t>UPPSALA LÄN</t>
        </is>
      </c>
      <c r="E2871" t="inlineStr">
        <is>
          <t>TIERP</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11915-2026</t>
        </is>
      </c>
      <c r="B2872" s="1" t="n">
        <v>46085.55482638889</v>
      </c>
      <c r="C2872" s="1" t="n">
        <v>46098</v>
      </c>
      <c r="D2872" t="inlineStr">
        <is>
          <t>UPPSALA LÄN</t>
        </is>
      </c>
      <c r="E2872" t="inlineStr">
        <is>
          <t>UPPSALA</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26774-2023</t>
        </is>
      </c>
      <c r="B2873" s="1" t="n">
        <v>45093.47947916666</v>
      </c>
      <c r="C2873" s="1" t="n">
        <v>46098</v>
      </c>
      <c r="D2873" t="inlineStr">
        <is>
          <t>UPPSALA LÄN</t>
        </is>
      </c>
      <c r="E2873" t="inlineStr">
        <is>
          <t>ÖSTHAMMAR</t>
        </is>
      </c>
      <c r="F2873" t="inlineStr">
        <is>
          <t>Bergvik skog öst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19147-2024</t>
        </is>
      </c>
      <c r="B2874" s="1" t="n">
        <v>45428</v>
      </c>
      <c r="C2874" s="1" t="n">
        <v>46098</v>
      </c>
      <c r="D2874" t="inlineStr">
        <is>
          <t>UPPSALA LÄN</t>
        </is>
      </c>
      <c r="E2874" t="inlineStr">
        <is>
          <t>ENKÖPING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4866-2026</t>
        </is>
      </c>
      <c r="B2875" s="1" t="n">
        <v>46045</v>
      </c>
      <c r="C2875" s="1" t="n">
        <v>46098</v>
      </c>
      <c r="D2875" t="inlineStr">
        <is>
          <t>UPPSALA LÄN</t>
        </is>
      </c>
      <c r="E2875" t="inlineStr">
        <is>
          <t>UPPSALA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16396-2025</t>
        </is>
      </c>
      <c r="B2876" s="1" t="n">
        <v>45751.44219907407</v>
      </c>
      <c r="C2876" s="1" t="n">
        <v>46098</v>
      </c>
      <c r="D2876" t="inlineStr">
        <is>
          <t>UPPSALA LÄN</t>
        </is>
      </c>
      <c r="E2876" t="inlineStr">
        <is>
          <t>KNIVSTA</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57871-2024</t>
        </is>
      </c>
      <c r="B2877" s="1" t="n">
        <v>45631.44464120371</v>
      </c>
      <c r="C2877" s="1" t="n">
        <v>46098</v>
      </c>
      <c r="D2877" t="inlineStr">
        <is>
          <t>UPPSALA LÄN</t>
        </is>
      </c>
      <c r="E2877" t="inlineStr">
        <is>
          <t>UPPSALA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57209-2024</t>
        </is>
      </c>
      <c r="B2878" s="1" t="n">
        <v>45629.49311342592</v>
      </c>
      <c r="C2878" s="1" t="n">
        <v>46098</v>
      </c>
      <c r="D2878" t="inlineStr">
        <is>
          <t>UPPSALA LÄN</t>
        </is>
      </c>
      <c r="E2878" t="inlineStr">
        <is>
          <t>ENKÖPING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51120-2023</t>
        </is>
      </c>
      <c r="B2879" s="1" t="n">
        <v>45219.3088425926</v>
      </c>
      <c r="C2879" s="1" t="n">
        <v>46098</v>
      </c>
      <c r="D2879" t="inlineStr">
        <is>
          <t>UPPSALA LÄN</t>
        </is>
      </c>
      <c r="E2879" t="inlineStr">
        <is>
          <t>ENKÖPING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43285-2023</t>
        </is>
      </c>
      <c r="B2880" s="1" t="n">
        <v>45183.5630787037</v>
      </c>
      <c r="C2880" s="1" t="n">
        <v>46098</v>
      </c>
      <c r="D2880" t="inlineStr">
        <is>
          <t>UPPSALA LÄN</t>
        </is>
      </c>
      <c r="E2880" t="inlineStr">
        <is>
          <t>ÄLVKARLEBY</t>
        </is>
      </c>
      <c r="F2880" t="inlineStr">
        <is>
          <t>Bergvik skog väst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12150-2026</t>
        </is>
      </c>
      <c r="B2881" s="1" t="n">
        <v>46086.59512731482</v>
      </c>
      <c r="C2881" s="1" t="n">
        <v>46098</v>
      </c>
      <c r="D2881" t="inlineStr">
        <is>
          <t>UPPSALA LÄN</t>
        </is>
      </c>
      <c r="E2881" t="inlineStr">
        <is>
          <t>ÖSTHAMMAR</t>
        </is>
      </c>
      <c r="F2881" t="inlineStr">
        <is>
          <t>Bergvik skog öst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12878-2025</t>
        </is>
      </c>
      <c r="B2882" s="1" t="n">
        <v>45733.68571759259</v>
      </c>
      <c r="C2882" s="1" t="n">
        <v>46098</v>
      </c>
      <c r="D2882" t="inlineStr">
        <is>
          <t>UPPSALA LÄN</t>
        </is>
      </c>
      <c r="E2882" t="inlineStr">
        <is>
          <t>ENKÖPING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62471-2021</t>
        </is>
      </c>
      <c r="B2883" s="1" t="n">
        <v>44503</v>
      </c>
      <c r="C2883" s="1" t="n">
        <v>46098</v>
      </c>
      <c r="D2883" t="inlineStr">
        <is>
          <t>UPPSALA LÄN</t>
        </is>
      </c>
      <c r="E2883" t="inlineStr">
        <is>
          <t>UPPSALA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4425-2026</t>
        </is>
      </c>
      <c r="B2884" s="1" t="n">
        <v>46045.61635416667</v>
      </c>
      <c r="C2884" s="1" t="n">
        <v>46098</v>
      </c>
      <c r="D2884" t="inlineStr">
        <is>
          <t>UPPSALA LÄN</t>
        </is>
      </c>
      <c r="E2884" t="inlineStr">
        <is>
          <t>HEBY</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12151-2026</t>
        </is>
      </c>
      <c r="B2885" s="1" t="n">
        <v>46086.5972800926</v>
      </c>
      <c r="C2885" s="1" t="n">
        <v>46098</v>
      </c>
      <c r="D2885" t="inlineStr">
        <is>
          <t>UPPSALA LÄN</t>
        </is>
      </c>
      <c r="E2885" t="inlineStr">
        <is>
          <t>ÖSTHAMMAR</t>
        </is>
      </c>
      <c r="F2885" t="inlineStr">
        <is>
          <t>Bergvik skog öst AB</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4055-2026</t>
        </is>
      </c>
      <c r="B2886" s="1" t="n">
        <v>46044.4862037037</v>
      </c>
      <c r="C2886" s="1" t="n">
        <v>46098</v>
      </c>
      <c r="D2886" t="inlineStr">
        <is>
          <t>UPPSALA LÄN</t>
        </is>
      </c>
      <c r="E2886" t="inlineStr">
        <is>
          <t>TIERP</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17644-2025</t>
        </is>
      </c>
      <c r="B2887" s="1" t="n">
        <v>45758.32645833334</v>
      </c>
      <c r="C2887" s="1" t="n">
        <v>46098</v>
      </c>
      <c r="D2887" t="inlineStr">
        <is>
          <t>UPPSALA LÄN</t>
        </is>
      </c>
      <c r="E2887" t="inlineStr">
        <is>
          <t>ÖSTHAMMAR</t>
        </is>
      </c>
      <c r="F2887" t="inlineStr">
        <is>
          <t>Bergvik skog väst AB</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20317-2025</t>
        </is>
      </c>
      <c r="B2888" s="1" t="n">
        <v>45775</v>
      </c>
      <c r="C2888" s="1" t="n">
        <v>46098</v>
      </c>
      <c r="D2888" t="inlineStr">
        <is>
          <t>UPPSALA LÄN</t>
        </is>
      </c>
      <c r="E2888" t="inlineStr">
        <is>
          <t>TIERP</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4131-2026</t>
        </is>
      </c>
      <c r="B2889" s="1" t="n">
        <v>46044.62451388889</v>
      </c>
      <c r="C2889" s="1" t="n">
        <v>46098</v>
      </c>
      <c r="D2889" t="inlineStr">
        <is>
          <t>UPPSALA LÄN</t>
        </is>
      </c>
      <c r="E2889" t="inlineStr">
        <is>
          <t>ÄLVKARLEBY</t>
        </is>
      </c>
      <c r="F2889" t="inlineStr">
        <is>
          <t>Bergvik skog öst AB</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4134-2026</t>
        </is>
      </c>
      <c r="B2890" s="1" t="n">
        <v>46044.6280787037</v>
      </c>
      <c r="C2890" s="1" t="n">
        <v>46098</v>
      </c>
      <c r="D2890" t="inlineStr">
        <is>
          <t>UPPSALA LÄN</t>
        </is>
      </c>
      <c r="E2890" t="inlineStr">
        <is>
          <t>ÄLVKARLEBY</t>
        </is>
      </c>
      <c r="F2890" t="inlineStr">
        <is>
          <t>Bergvik skog öst AB</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12606-2023</t>
        </is>
      </c>
      <c r="B2891" s="1" t="n">
        <v>45000.44666666666</v>
      </c>
      <c r="C2891" s="1" t="n">
        <v>46098</v>
      </c>
      <c r="D2891" t="inlineStr">
        <is>
          <t>UPPSALA LÄN</t>
        </is>
      </c>
      <c r="E2891" t="inlineStr">
        <is>
          <t>UPPSALA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6602-2023</t>
        </is>
      </c>
      <c r="B2892" s="1" t="n">
        <v>44966</v>
      </c>
      <c r="C2892" s="1" t="n">
        <v>46098</v>
      </c>
      <c r="D2892" t="inlineStr">
        <is>
          <t>UPPSALA LÄN</t>
        </is>
      </c>
      <c r="E2892" t="inlineStr">
        <is>
          <t>UPPSALA</t>
        </is>
      </c>
      <c r="F2892" t="inlineStr">
        <is>
          <t>Allmännings- och besparingsskogar</t>
        </is>
      </c>
      <c r="G2892" t="n">
        <v>20.2</v>
      </c>
      <c r="H2892" t="n">
        <v>0</v>
      </c>
      <c r="I2892" t="n">
        <v>0</v>
      </c>
      <c r="J2892" t="n">
        <v>0</v>
      </c>
      <c r="K2892" t="n">
        <v>0</v>
      </c>
      <c r="L2892" t="n">
        <v>0</v>
      </c>
      <c r="M2892" t="n">
        <v>0</v>
      </c>
      <c r="N2892" t="n">
        <v>0</v>
      </c>
      <c r="O2892" t="n">
        <v>0</v>
      </c>
      <c r="P2892" t="n">
        <v>0</v>
      </c>
      <c r="Q2892" t="n">
        <v>0</v>
      </c>
      <c r="R2892" s="2" t="inlineStr"/>
    </row>
    <row r="2893" ht="15" customHeight="1">
      <c r="A2893" t="inlineStr">
        <is>
          <t>A 12172-2026</t>
        </is>
      </c>
      <c r="B2893" s="1" t="n">
        <v>46086.6590625</v>
      </c>
      <c r="C2893" s="1" t="n">
        <v>46098</v>
      </c>
      <c r="D2893" t="inlineStr">
        <is>
          <t>UPPSALA LÄN</t>
        </is>
      </c>
      <c r="E2893" t="inlineStr">
        <is>
          <t>ÖSTHAMMAR</t>
        </is>
      </c>
      <c r="F2893" t="inlineStr">
        <is>
          <t>Bergvik skog öst AB</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4139-2026</t>
        </is>
      </c>
      <c r="B2894" s="1" t="n">
        <v>46044.63179398148</v>
      </c>
      <c r="C2894" s="1" t="n">
        <v>46098</v>
      </c>
      <c r="D2894" t="inlineStr">
        <is>
          <t>UPPSALA LÄN</t>
        </is>
      </c>
      <c r="E2894" t="inlineStr">
        <is>
          <t>TIERP</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3926-2026</t>
        </is>
      </c>
      <c r="B2895" s="1" t="n">
        <v>46043.781875</v>
      </c>
      <c r="C2895" s="1" t="n">
        <v>46098</v>
      </c>
      <c r="D2895" t="inlineStr">
        <is>
          <t>UPPSALA LÄN</t>
        </is>
      </c>
      <c r="E2895" t="inlineStr">
        <is>
          <t>ÖSTHAMMAR</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2899-2023</t>
        </is>
      </c>
      <c r="B2896" s="1" t="n">
        <v>44945</v>
      </c>
      <c r="C2896" s="1" t="n">
        <v>46098</v>
      </c>
      <c r="D2896" t="inlineStr">
        <is>
          <t>UPPSALA LÄN</t>
        </is>
      </c>
      <c r="E2896" t="inlineStr">
        <is>
          <t>TIERP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20324-2021</t>
        </is>
      </c>
      <c r="B2897" s="1" t="n">
        <v>44308</v>
      </c>
      <c r="C2897" s="1" t="n">
        <v>46098</v>
      </c>
      <c r="D2897" t="inlineStr">
        <is>
          <t>UPPSALA LÄN</t>
        </is>
      </c>
      <c r="E2897" t="inlineStr">
        <is>
          <t>ÖSTHAMMAR</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12263-2026</t>
        </is>
      </c>
      <c r="B2898" s="1" t="n">
        <v>46087.49299768519</v>
      </c>
      <c r="C2898" s="1" t="n">
        <v>46098</v>
      </c>
      <c r="D2898" t="inlineStr">
        <is>
          <t>UPPSALA LÄN</t>
        </is>
      </c>
      <c r="E2898" t="inlineStr">
        <is>
          <t>ÖSTHAMMAR</t>
        </is>
      </c>
      <c r="F2898" t="inlineStr">
        <is>
          <t>Övriga Aktiebolag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31101-2024</t>
        </is>
      </c>
      <c r="B2899" s="1" t="n">
        <v>45502</v>
      </c>
      <c r="C2899" s="1" t="n">
        <v>46098</v>
      </c>
      <c r="D2899" t="inlineStr">
        <is>
          <t>UPPSALA LÄN</t>
        </is>
      </c>
      <c r="E2899" t="inlineStr">
        <is>
          <t>HEBY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4093-2026</t>
        </is>
      </c>
      <c r="B2900" s="1" t="n">
        <v>46044.56475694444</v>
      </c>
      <c r="C2900" s="1" t="n">
        <v>46098</v>
      </c>
      <c r="D2900" t="inlineStr">
        <is>
          <t>UPPSALA LÄN</t>
        </is>
      </c>
      <c r="E2900" t="inlineStr">
        <is>
          <t>HEBY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44115-2023</t>
        </is>
      </c>
      <c r="B2901" s="1" t="n">
        <v>45188</v>
      </c>
      <c r="C2901" s="1" t="n">
        <v>46098</v>
      </c>
      <c r="D2901" t="inlineStr">
        <is>
          <t>UPPSALA LÄN</t>
        </is>
      </c>
      <c r="E2901" t="inlineStr">
        <is>
          <t>UPPSALA</t>
        </is>
      </c>
      <c r="F2901" t="inlineStr">
        <is>
          <t>Holmen skog AB</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13634-2023</t>
        </is>
      </c>
      <c r="B2902" s="1" t="n">
        <v>45006.6362962963</v>
      </c>
      <c r="C2902" s="1" t="n">
        <v>46098</v>
      </c>
      <c r="D2902" t="inlineStr">
        <is>
          <t>UPPSALA LÄN</t>
        </is>
      </c>
      <c r="E2902" t="inlineStr">
        <is>
          <t>HEBY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42063-2023</t>
        </is>
      </c>
      <c r="B2903" s="1" t="n">
        <v>45177.56940972222</v>
      </c>
      <c r="C2903" s="1" t="n">
        <v>46098</v>
      </c>
      <c r="D2903" t="inlineStr">
        <is>
          <t>UPPSALA LÄN</t>
        </is>
      </c>
      <c r="E2903" t="inlineStr">
        <is>
          <t>UPPSALA</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16631-2023</t>
        </is>
      </c>
      <c r="B2904" s="1" t="n">
        <v>45030</v>
      </c>
      <c r="C2904" s="1" t="n">
        <v>46098</v>
      </c>
      <c r="D2904" t="inlineStr">
        <is>
          <t>UPPSALA LÄN</t>
        </is>
      </c>
      <c r="E2904" t="inlineStr">
        <is>
          <t>TIERP</t>
        </is>
      </c>
      <c r="F2904" t="inlineStr">
        <is>
          <t>Bergvik skog väst AB</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4342-2026</t>
        </is>
      </c>
      <c r="B2905" s="1" t="n">
        <v>46045.51246527778</v>
      </c>
      <c r="C2905" s="1" t="n">
        <v>46098</v>
      </c>
      <c r="D2905" t="inlineStr">
        <is>
          <t>UPPSALA LÄN</t>
        </is>
      </c>
      <c r="E2905" t="inlineStr">
        <is>
          <t>TIERP</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4343-2026</t>
        </is>
      </c>
      <c r="B2906" s="1" t="n">
        <v>46045.51665509259</v>
      </c>
      <c r="C2906" s="1" t="n">
        <v>46098</v>
      </c>
      <c r="D2906" t="inlineStr">
        <is>
          <t>UPPSALA LÄN</t>
        </is>
      </c>
      <c r="E2906" t="inlineStr">
        <is>
          <t>TIERP</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74493-2021</t>
        </is>
      </c>
      <c r="B2907" s="1" t="n">
        <v>44560</v>
      </c>
      <c r="C2907" s="1" t="n">
        <v>46098</v>
      </c>
      <c r="D2907" t="inlineStr">
        <is>
          <t>UPPSALA LÄN</t>
        </is>
      </c>
      <c r="E2907" t="inlineStr">
        <is>
          <t>UPPSALA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36150-2021</t>
        </is>
      </c>
      <c r="B2908" s="1" t="n">
        <v>44389</v>
      </c>
      <c r="C2908" s="1" t="n">
        <v>46098</v>
      </c>
      <c r="D2908" t="inlineStr">
        <is>
          <t>UPPSALA LÄN</t>
        </is>
      </c>
      <c r="E2908" t="inlineStr">
        <is>
          <t>TIERP</t>
        </is>
      </c>
      <c r="F2908" t="inlineStr">
        <is>
          <t>Bergvik skog öst AB</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17652-2025</t>
        </is>
      </c>
      <c r="B2909" s="1" t="n">
        <v>45758.33583333333</v>
      </c>
      <c r="C2909" s="1" t="n">
        <v>46098</v>
      </c>
      <c r="D2909" t="inlineStr">
        <is>
          <t>UPPSALA LÄN</t>
        </is>
      </c>
      <c r="E2909" t="inlineStr">
        <is>
          <t>ÖSTHAMMAR</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17481-2023</t>
        </is>
      </c>
      <c r="B2910" s="1" t="n">
        <v>45036</v>
      </c>
      <c r="C2910" s="1" t="n">
        <v>46098</v>
      </c>
      <c r="D2910" t="inlineStr">
        <is>
          <t>UPPSALA LÄN</t>
        </is>
      </c>
      <c r="E2910" t="inlineStr">
        <is>
          <t>UPPSALA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4133-2026</t>
        </is>
      </c>
      <c r="B2911" s="1" t="n">
        <v>46044.626875</v>
      </c>
      <c r="C2911" s="1" t="n">
        <v>46098</v>
      </c>
      <c r="D2911" t="inlineStr">
        <is>
          <t>UPPSALA LÄN</t>
        </is>
      </c>
      <c r="E2911" t="inlineStr">
        <is>
          <t>ÄLVKARLEBY</t>
        </is>
      </c>
      <c r="F2911" t="inlineStr">
        <is>
          <t>Bergvik skog öst AB</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6120-2024</t>
        </is>
      </c>
      <c r="B2912" s="1" t="n">
        <v>45337.41784722222</v>
      </c>
      <c r="C2912" s="1" t="n">
        <v>46098</v>
      </c>
      <c r="D2912" t="inlineStr">
        <is>
          <t>UPPSALA LÄN</t>
        </is>
      </c>
      <c r="E2912" t="inlineStr">
        <is>
          <t>ÖSTHAMMAR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12528-2024</t>
        </is>
      </c>
      <c r="B2913" s="1" t="n">
        <v>45379.61878472222</v>
      </c>
      <c r="C2913" s="1" t="n">
        <v>46098</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43896-2022</t>
        </is>
      </c>
      <c r="B2914" s="1" t="n">
        <v>44838</v>
      </c>
      <c r="C2914" s="1" t="n">
        <v>46098</v>
      </c>
      <c r="D2914" t="inlineStr">
        <is>
          <t>UPPSALA LÄN</t>
        </is>
      </c>
      <c r="E2914" t="inlineStr">
        <is>
          <t>ENKÖPING</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4152-2026</t>
        </is>
      </c>
      <c r="B2915" s="1" t="n">
        <v>46044.64974537037</v>
      </c>
      <c r="C2915" s="1" t="n">
        <v>46098</v>
      </c>
      <c r="D2915" t="inlineStr">
        <is>
          <t>UPPSALA LÄN</t>
        </is>
      </c>
      <c r="E2915" t="inlineStr">
        <is>
          <t>TIERP</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12261-2026</t>
        </is>
      </c>
      <c r="B2916" s="1" t="n">
        <v>46087.48739583333</v>
      </c>
      <c r="C2916" s="1" t="n">
        <v>46098</v>
      </c>
      <c r="D2916" t="inlineStr">
        <is>
          <t>UPPSALA LÄN</t>
        </is>
      </c>
      <c r="E2916" t="inlineStr">
        <is>
          <t>ÖSTHAMMAR</t>
        </is>
      </c>
      <c r="F2916" t="inlineStr">
        <is>
          <t>Övriga Aktiebolag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12262-2026</t>
        </is>
      </c>
      <c r="B2917" s="1" t="n">
        <v>46087.4896875</v>
      </c>
      <c r="C2917" s="1" t="n">
        <v>46098</v>
      </c>
      <c r="D2917" t="inlineStr">
        <is>
          <t>UPPSALA LÄN</t>
        </is>
      </c>
      <c r="E2917" t="inlineStr">
        <is>
          <t>ÖSTHAMMAR</t>
        </is>
      </c>
      <c r="F2917" t="inlineStr">
        <is>
          <t>Övriga Aktiebolag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3959-2026</t>
        </is>
      </c>
      <c r="B2918" s="1" t="n">
        <v>46044.33802083333</v>
      </c>
      <c r="C2918" s="1" t="n">
        <v>46098</v>
      </c>
      <c r="D2918" t="inlineStr">
        <is>
          <t>UPPSALA LÄN</t>
        </is>
      </c>
      <c r="E2918" t="inlineStr">
        <is>
          <t>ÖSTHAMMAR</t>
        </is>
      </c>
      <c r="F2918" t="inlineStr">
        <is>
          <t>Övriga Aktiebolag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2695-2025</t>
        </is>
      </c>
      <c r="B2919" s="1" t="n">
        <v>45677.39440972222</v>
      </c>
      <c r="C2919" s="1" t="n">
        <v>46098</v>
      </c>
      <c r="D2919" t="inlineStr">
        <is>
          <t>UPPSALA LÄN</t>
        </is>
      </c>
      <c r="E2919" t="inlineStr">
        <is>
          <t>UPPSALA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12612-2026</t>
        </is>
      </c>
      <c r="B2920" s="1" t="n">
        <v>46091.39962962963</v>
      </c>
      <c r="C2920" s="1" t="n">
        <v>46098</v>
      </c>
      <c r="D2920" t="inlineStr">
        <is>
          <t>UPPSALA LÄN</t>
        </is>
      </c>
      <c r="E2920" t="inlineStr">
        <is>
          <t>TIERP</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26161-2022</t>
        </is>
      </c>
      <c r="B2921" s="1" t="n">
        <v>44735</v>
      </c>
      <c r="C2921" s="1" t="n">
        <v>46098</v>
      </c>
      <c r="D2921" t="inlineStr">
        <is>
          <t>UPPSALA LÄN</t>
        </is>
      </c>
      <c r="E2921" t="inlineStr">
        <is>
          <t>TIERP</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12387-2026</t>
        </is>
      </c>
      <c r="B2922" s="1" t="n">
        <v>46090</v>
      </c>
      <c r="C2922" s="1" t="n">
        <v>46098</v>
      </c>
      <c r="D2922" t="inlineStr">
        <is>
          <t>UPPSALA LÄN</t>
        </is>
      </c>
      <c r="E2922" t="inlineStr">
        <is>
          <t>ÖSTHAMMAR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357-2025</t>
        </is>
      </c>
      <c r="B2923" s="1" t="n">
        <v>45659</v>
      </c>
      <c r="C2923" s="1" t="n">
        <v>46098</v>
      </c>
      <c r="D2923" t="inlineStr">
        <is>
          <t>UPPSALA LÄN</t>
        </is>
      </c>
      <c r="E2923" t="inlineStr">
        <is>
          <t>ÖSTHAMMAR</t>
        </is>
      </c>
      <c r="G2923" t="n">
        <v>15.8</v>
      </c>
      <c r="H2923" t="n">
        <v>0</v>
      </c>
      <c r="I2923" t="n">
        <v>0</v>
      </c>
      <c r="J2923" t="n">
        <v>0</v>
      </c>
      <c r="K2923" t="n">
        <v>0</v>
      </c>
      <c r="L2923" t="n">
        <v>0</v>
      </c>
      <c r="M2923" t="n">
        <v>0</v>
      </c>
      <c r="N2923" t="n">
        <v>0</v>
      </c>
      <c r="O2923" t="n">
        <v>0</v>
      </c>
      <c r="P2923" t="n">
        <v>0</v>
      </c>
      <c r="Q2923" t="n">
        <v>0</v>
      </c>
      <c r="R2923" s="2" t="inlineStr"/>
    </row>
    <row r="2924" ht="15" customHeight="1">
      <c r="A2924" t="inlineStr">
        <is>
          <t>A 43089-2024</t>
        </is>
      </c>
      <c r="B2924" s="1" t="n">
        <v>45567</v>
      </c>
      <c r="C2924" s="1" t="n">
        <v>46098</v>
      </c>
      <c r="D2924" t="inlineStr">
        <is>
          <t>UPPSALA LÄN</t>
        </is>
      </c>
      <c r="E2924" t="inlineStr">
        <is>
          <t>HEBY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319-2023</t>
        </is>
      </c>
      <c r="B2925" s="1" t="n">
        <v>44929</v>
      </c>
      <c r="C2925" s="1" t="n">
        <v>46098</v>
      </c>
      <c r="D2925" t="inlineStr">
        <is>
          <t>UPPSALA LÄN</t>
        </is>
      </c>
      <c r="E2925" t="inlineStr">
        <is>
          <t>TIERP</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12697-2026</t>
        </is>
      </c>
      <c r="B2926" s="1" t="n">
        <v>46091.58021990741</v>
      </c>
      <c r="C2926" s="1" t="n">
        <v>46098</v>
      </c>
      <c r="D2926" t="inlineStr">
        <is>
          <t>UPPSALA LÄN</t>
        </is>
      </c>
      <c r="E2926" t="inlineStr">
        <is>
          <t>UPPSALA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12733-2026</t>
        </is>
      </c>
      <c r="B2927" s="1" t="n">
        <v>46091.63170138889</v>
      </c>
      <c r="C2927" s="1" t="n">
        <v>46098</v>
      </c>
      <c r="D2927" t="inlineStr">
        <is>
          <t>UPPSALA LÄN</t>
        </is>
      </c>
      <c r="E2927" t="inlineStr">
        <is>
          <t>TIERP</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15629-2023</t>
        </is>
      </c>
      <c r="B2928" s="1" t="n">
        <v>45021.29524305555</v>
      </c>
      <c r="C2928" s="1" t="n">
        <v>46098</v>
      </c>
      <c r="D2928" t="inlineStr">
        <is>
          <t>UPPSALA LÄN</t>
        </is>
      </c>
      <c r="E2928" t="inlineStr">
        <is>
          <t>UPPSALA</t>
        </is>
      </c>
      <c r="F2928" t="inlineStr">
        <is>
          <t>Övriga Aktiebolag</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12774-2026</t>
        </is>
      </c>
      <c r="B2929" s="1" t="n">
        <v>46091.70140046296</v>
      </c>
      <c r="C2929" s="1" t="n">
        <v>46098</v>
      </c>
      <c r="D2929" t="inlineStr">
        <is>
          <t>UPPSALA LÄN</t>
        </is>
      </c>
      <c r="E2929" t="inlineStr">
        <is>
          <t>KNIVSTA</t>
        </is>
      </c>
      <c r="F2929" t="inlineStr">
        <is>
          <t>Holmen skog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20497-2022</t>
        </is>
      </c>
      <c r="B2930" s="1" t="n">
        <v>44699</v>
      </c>
      <c r="C2930" s="1" t="n">
        <v>46098</v>
      </c>
      <c r="D2930" t="inlineStr">
        <is>
          <t>UPPSALA LÄN</t>
        </is>
      </c>
      <c r="E2930" t="inlineStr">
        <is>
          <t>UPPSALA</t>
        </is>
      </c>
      <c r="F2930" t="inlineStr">
        <is>
          <t>Övriga statliga verk och myndigheter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9267-2024</t>
        </is>
      </c>
      <c r="B2931" s="1" t="n">
        <v>45358</v>
      </c>
      <c r="C2931" s="1" t="n">
        <v>46098</v>
      </c>
      <c r="D2931" t="inlineStr">
        <is>
          <t>UPPSALA LÄN</t>
        </is>
      </c>
      <c r="E2931" t="inlineStr">
        <is>
          <t>ÖSTHAMMAR</t>
        </is>
      </c>
      <c r="F2931" t="inlineStr">
        <is>
          <t>Bergvik skog öst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33601-2024</t>
        </is>
      </c>
      <c r="B2932" s="1" t="n">
        <v>45520</v>
      </c>
      <c r="C2932" s="1" t="n">
        <v>46098</v>
      </c>
      <c r="D2932" t="inlineStr">
        <is>
          <t>UPPSALA LÄN</t>
        </is>
      </c>
      <c r="E2932" t="inlineStr">
        <is>
          <t>ÖSTHAMMAR</t>
        </is>
      </c>
      <c r="F2932" t="inlineStr">
        <is>
          <t>Övriga Aktiebolag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13893-2025</t>
        </is>
      </c>
      <c r="B2933" s="1" t="n">
        <v>45737.62077546296</v>
      </c>
      <c r="C2933" s="1" t="n">
        <v>46098</v>
      </c>
      <c r="D2933" t="inlineStr">
        <is>
          <t>UPPSALA LÄN</t>
        </is>
      </c>
      <c r="E2933" t="inlineStr">
        <is>
          <t>HEBY</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5129-2026</t>
        </is>
      </c>
      <c r="B2934" s="1" t="n">
        <v>46049.58660879629</v>
      </c>
      <c r="C2934" s="1" t="n">
        <v>46098</v>
      </c>
      <c r="D2934" t="inlineStr">
        <is>
          <t>UPPSALA LÄN</t>
        </is>
      </c>
      <c r="E2934" t="inlineStr">
        <is>
          <t>UPPSALA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7090-2022</t>
        </is>
      </c>
      <c r="B2935" s="1" t="n">
        <v>44603.59520833333</v>
      </c>
      <c r="C2935" s="1" t="n">
        <v>46098</v>
      </c>
      <c r="D2935" t="inlineStr">
        <is>
          <t>UPPSALA LÄN</t>
        </is>
      </c>
      <c r="E2935" t="inlineStr">
        <is>
          <t>ENKÖPING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4669-2026</t>
        </is>
      </c>
      <c r="B2936" s="1" t="n">
        <v>46048.41511574074</v>
      </c>
      <c r="C2936" s="1" t="n">
        <v>46098</v>
      </c>
      <c r="D2936" t="inlineStr">
        <is>
          <t>UPPSALA LÄN</t>
        </is>
      </c>
      <c r="E2936" t="inlineStr">
        <is>
          <t>HEBY</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9487-2025</t>
        </is>
      </c>
      <c r="B2937" s="1" t="n">
        <v>45715.49331018519</v>
      </c>
      <c r="C2937" s="1" t="n">
        <v>46098</v>
      </c>
      <c r="D2937" t="inlineStr">
        <is>
          <t>UPPSALA LÄN</t>
        </is>
      </c>
      <c r="E2937" t="inlineStr">
        <is>
          <t>ENKÖPING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9533-2025</t>
        </is>
      </c>
      <c r="B2938" s="1" t="n">
        <v>45715.57082175926</v>
      </c>
      <c r="C2938" s="1" t="n">
        <v>46098</v>
      </c>
      <c r="D2938" t="inlineStr">
        <is>
          <t>UPPSALA LÄN</t>
        </is>
      </c>
      <c r="E2938" t="inlineStr">
        <is>
          <t>ÄLVKARLEBY</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12702-2026</t>
        </is>
      </c>
      <c r="B2939" s="1" t="n">
        <v>46091.58174768519</v>
      </c>
      <c r="C2939" s="1" t="n">
        <v>46098</v>
      </c>
      <c r="D2939" t="inlineStr">
        <is>
          <t>UPPSALA LÄN</t>
        </is>
      </c>
      <c r="E2939" t="inlineStr">
        <is>
          <t>UPPSALA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6144-2024</t>
        </is>
      </c>
      <c r="B2940" s="1" t="n">
        <v>45337.4684837963</v>
      </c>
      <c r="C2940" s="1" t="n">
        <v>46098</v>
      </c>
      <c r="D2940" t="inlineStr">
        <is>
          <t>UPPSALA LÄN</t>
        </is>
      </c>
      <c r="E2940" t="inlineStr">
        <is>
          <t>ENKÖPING</t>
        </is>
      </c>
      <c r="G2940" t="n">
        <v>13.8</v>
      </c>
      <c r="H2940" t="n">
        <v>0</v>
      </c>
      <c r="I2940" t="n">
        <v>0</v>
      </c>
      <c r="J2940" t="n">
        <v>0</v>
      </c>
      <c r="K2940" t="n">
        <v>0</v>
      </c>
      <c r="L2940" t="n">
        <v>0</v>
      </c>
      <c r="M2940" t="n">
        <v>0</v>
      </c>
      <c r="N2940" t="n">
        <v>0</v>
      </c>
      <c r="O2940" t="n">
        <v>0</v>
      </c>
      <c r="P2940" t="n">
        <v>0</v>
      </c>
      <c r="Q2940" t="n">
        <v>0</v>
      </c>
      <c r="R2940" s="2" t="inlineStr"/>
    </row>
    <row r="2941" ht="15" customHeight="1">
      <c r="A2941" t="inlineStr">
        <is>
          <t>A 20021-2025</t>
        </is>
      </c>
      <c r="B2941" s="1" t="n">
        <v>45772.33785879629</v>
      </c>
      <c r="C2941" s="1" t="n">
        <v>46098</v>
      </c>
      <c r="D2941" t="inlineStr">
        <is>
          <t>UPPSALA LÄN</t>
        </is>
      </c>
      <c r="E2941" t="inlineStr">
        <is>
          <t>TIERP</t>
        </is>
      </c>
      <c r="F2941" t="inlineStr">
        <is>
          <t>Kyrkan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2266-2023</t>
        </is>
      </c>
      <c r="B2942" s="1" t="n">
        <v>44942.49743055556</v>
      </c>
      <c r="C2942" s="1" t="n">
        <v>46098</v>
      </c>
      <c r="D2942" t="inlineStr">
        <is>
          <t>UPPSALA LÄN</t>
        </is>
      </c>
      <c r="E2942" t="inlineStr">
        <is>
          <t>TIERP</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12411-2026</t>
        </is>
      </c>
      <c r="B2943" s="1" t="n">
        <v>46090.42670138889</v>
      </c>
      <c r="C2943" s="1" t="n">
        <v>46098</v>
      </c>
      <c r="D2943" t="inlineStr">
        <is>
          <t>UPPSALA LÄN</t>
        </is>
      </c>
      <c r="E2943" t="inlineStr">
        <is>
          <t>ENKÖPING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33955-2024</t>
        </is>
      </c>
      <c r="B2944" s="1" t="n">
        <v>45523.46952546296</v>
      </c>
      <c r="C2944" s="1" t="n">
        <v>46098</v>
      </c>
      <c r="D2944" t="inlineStr">
        <is>
          <t>UPPSALA LÄN</t>
        </is>
      </c>
      <c r="E2944" t="inlineStr">
        <is>
          <t>ENKÖPING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44080-2023</t>
        </is>
      </c>
      <c r="B2945" s="1" t="n">
        <v>45188.42052083334</v>
      </c>
      <c r="C2945" s="1" t="n">
        <v>46098</v>
      </c>
      <c r="D2945" t="inlineStr">
        <is>
          <t>UPPSALA LÄN</t>
        </is>
      </c>
      <c r="E2945" t="inlineStr">
        <is>
          <t>UPPSALA</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10490-2025</t>
        </is>
      </c>
      <c r="B2946" s="1" t="n">
        <v>45721.35173611111</v>
      </c>
      <c r="C2946" s="1" t="n">
        <v>46098</v>
      </c>
      <c r="D2946" t="inlineStr">
        <is>
          <t>UPPSALA LÄN</t>
        </is>
      </c>
      <c r="E2946" t="inlineStr">
        <is>
          <t>UPPSALA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55021-2022</t>
        </is>
      </c>
      <c r="B2947" s="1" t="n">
        <v>44886</v>
      </c>
      <c r="C2947" s="1" t="n">
        <v>46098</v>
      </c>
      <c r="D2947" t="inlineStr">
        <is>
          <t>UPPSALA LÄN</t>
        </is>
      </c>
      <c r="E2947" t="inlineStr">
        <is>
          <t>UPPSALA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4706-2026</t>
        </is>
      </c>
      <c r="B2948" s="1" t="n">
        <v>46048.45535879629</v>
      </c>
      <c r="C2948" s="1" t="n">
        <v>46098</v>
      </c>
      <c r="D2948" t="inlineStr">
        <is>
          <t>UPPSALA LÄN</t>
        </is>
      </c>
      <c r="E2948" t="inlineStr">
        <is>
          <t>TIERP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62132-2022</t>
        </is>
      </c>
      <c r="B2949" s="1" t="n">
        <v>44914</v>
      </c>
      <c r="C2949" s="1" t="n">
        <v>46098</v>
      </c>
      <c r="D2949" t="inlineStr">
        <is>
          <t>UPPSALA LÄN</t>
        </is>
      </c>
      <c r="E2949" t="inlineStr">
        <is>
          <t>HEBY</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2184-2024</t>
        </is>
      </c>
      <c r="B2950" s="1" t="n">
        <v>45309</v>
      </c>
      <c r="C2950" s="1" t="n">
        <v>46098</v>
      </c>
      <c r="D2950" t="inlineStr">
        <is>
          <t>UPPSALA LÄN</t>
        </is>
      </c>
      <c r="E2950" t="inlineStr">
        <is>
          <t>ÄLVKARLEBY</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5104-2026</t>
        </is>
      </c>
      <c r="B2951" s="1" t="n">
        <v>46049.56914351852</v>
      </c>
      <c r="C2951" s="1" t="n">
        <v>46098</v>
      </c>
      <c r="D2951" t="inlineStr">
        <is>
          <t>UPPSALA LÄN</t>
        </is>
      </c>
      <c r="E2951" t="inlineStr">
        <is>
          <t>ENKÖPING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65659-2021</t>
        </is>
      </c>
      <c r="B2952" s="1" t="n">
        <v>44516</v>
      </c>
      <c r="C2952" s="1" t="n">
        <v>46098</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66241-2021</t>
        </is>
      </c>
      <c r="B2953" s="1" t="n">
        <v>44518.40658564815</v>
      </c>
      <c r="C2953" s="1" t="n">
        <v>46098</v>
      </c>
      <c r="D2953" t="inlineStr">
        <is>
          <t>UPPSALA LÄN</t>
        </is>
      </c>
      <c r="E2953" t="inlineStr">
        <is>
          <t>TIERP</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12770-2026</t>
        </is>
      </c>
      <c r="B2954" s="1" t="n">
        <v>46091.68695601852</v>
      </c>
      <c r="C2954" s="1" t="n">
        <v>46098</v>
      </c>
      <c r="D2954" t="inlineStr">
        <is>
          <t>UPPSALA LÄN</t>
        </is>
      </c>
      <c r="E2954" t="inlineStr">
        <is>
          <t>UPPSALA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12771-2026</t>
        </is>
      </c>
      <c r="B2955" s="1" t="n">
        <v>46091.68879629629</v>
      </c>
      <c r="C2955" s="1" t="n">
        <v>46098</v>
      </c>
      <c r="D2955" t="inlineStr">
        <is>
          <t>UPPSALA LÄN</t>
        </is>
      </c>
      <c r="E2955" t="inlineStr">
        <is>
          <t>UPPSALA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51091-2023</t>
        </is>
      </c>
      <c r="B2956" s="1" t="n">
        <v>45218</v>
      </c>
      <c r="C2956" s="1" t="n">
        <v>46098</v>
      </c>
      <c r="D2956" t="inlineStr">
        <is>
          <t>UPPSALA LÄN</t>
        </is>
      </c>
      <c r="E2956" t="inlineStr">
        <is>
          <t>HEBY</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784-2024</t>
        </is>
      </c>
      <c r="B2957" s="1" t="n">
        <v>45300.55680555556</v>
      </c>
      <c r="C2957" s="1" t="n">
        <v>46098</v>
      </c>
      <c r="D2957" t="inlineStr">
        <is>
          <t>UPPSALA LÄN</t>
        </is>
      </c>
      <c r="E2957" t="inlineStr">
        <is>
          <t>UPPSALA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5101-2026</t>
        </is>
      </c>
      <c r="B2958" s="1" t="n">
        <v>46049.56449074074</v>
      </c>
      <c r="C2958" s="1" t="n">
        <v>46098</v>
      </c>
      <c r="D2958" t="inlineStr">
        <is>
          <t>UPPSALA LÄN</t>
        </is>
      </c>
      <c r="E2958" t="inlineStr">
        <is>
          <t>TIERP</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23197-2023</t>
        </is>
      </c>
      <c r="B2959" s="1" t="n">
        <v>45075</v>
      </c>
      <c r="C2959" s="1" t="n">
        <v>46098</v>
      </c>
      <c r="D2959" t="inlineStr">
        <is>
          <t>UPPSALA LÄN</t>
        </is>
      </c>
      <c r="E2959" t="inlineStr">
        <is>
          <t>ÖSTHAMMAR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52478-2024</t>
        </is>
      </c>
      <c r="B2960" s="1" t="n">
        <v>45609.55065972222</v>
      </c>
      <c r="C2960" s="1" t="n">
        <v>46098</v>
      </c>
      <c r="D2960" t="inlineStr">
        <is>
          <t>UPPSALA LÄN</t>
        </is>
      </c>
      <c r="E2960" t="inlineStr">
        <is>
          <t>ÖSTHAMMAR</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5190-2026</t>
        </is>
      </c>
      <c r="B2961" s="1" t="n">
        <v>46049.66104166667</v>
      </c>
      <c r="C2961" s="1" t="n">
        <v>46098</v>
      </c>
      <c r="D2961" t="inlineStr">
        <is>
          <t>UPPSALA LÄN</t>
        </is>
      </c>
      <c r="E2961" t="inlineStr">
        <is>
          <t>TIERP</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13044-2022</t>
        </is>
      </c>
      <c r="B2962" s="1" t="n">
        <v>44643</v>
      </c>
      <c r="C2962" s="1" t="n">
        <v>46098</v>
      </c>
      <c r="D2962" t="inlineStr">
        <is>
          <t>UPPSALA LÄN</t>
        </is>
      </c>
      <c r="E2962" t="inlineStr">
        <is>
          <t>ÖSTHAMMAR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12409-2026</t>
        </is>
      </c>
      <c r="B2963" s="1" t="n">
        <v>46090.42486111111</v>
      </c>
      <c r="C2963" s="1" t="n">
        <v>46098</v>
      </c>
      <c r="D2963" t="inlineStr">
        <is>
          <t>UPPSALA LÄN</t>
        </is>
      </c>
      <c r="E2963" t="inlineStr">
        <is>
          <t>UPPSALA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12416-2026</t>
        </is>
      </c>
      <c r="B2964" s="1" t="n">
        <v>46090.43864583333</v>
      </c>
      <c r="C2964" s="1" t="n">
        <v>46098</v>
      </c>
      <c r="D2964" t="inlineStr">
        <is>
          <t>UPPSALA LÄN</t>
        </is>
      </c>
      <c r="E2964" t="inlineStr">
        <is>
          <t>UPPSALA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32245-2022</t>
        </is>
      </c>
      <c r="B2965" s="1" t="n">
        <v>44781.48400462963</v>
      </c>
      <c r="C2965" s="1" t="n">
        <v>46098</v>
      </c>
      <c r="D2965" t="inlineStr">
        <is>
          <t>UPPSALA LÄN</t>
        </is>
      </c>
      <c r="E2965" t="inlineStr">
        <is>
          <t>HEBY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2947-2025</t>
        </is>
      </c>
      <c r="B2966" s="1" t="n">
        <v>45678</v>
      </c>
      <c r="C2966" s="1" t="n">
        <v>46098</v>
      </c>
      <c r="D2966" t="inlineStr">
        <is>
          <t>UPPSALA LÄN</t>
        </is>
      </c>
      <c r="E2966" t="inlineStr">
        <is>
          <t>ÖSTHAMMAR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4570-2026</t>
        </is>
      </c>
      <c r="B2967" s="1" t="n">
        <v>46048.00856481482</v>
      </c>
      <c r="C2967" s="1" t="n">
        <v>46098</v>
      </c>
      <c r="D2967" t="inlineStr">
        <is>
          <t>UPPSALA LÄN</t>
        </is>
      </c>
      <c r="E2967" t="inlineStr">
        <is>
          <t>ÖSTHAMMAR</t>
        </is>
      </c>
      <c r="F2967" t="inlineStr">
        <is>
          <t>Allmännings- och besparingsskogar</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12772-2026</t>
        </is>
      </c>
      <c r="B2968" s="1" t="n">
        <v>46091.69060185185</v>
      </c>
      <c r="C2968" s="1" t="n">
        <v>46098</v>
      </c>
      <c r="D2968" t="inlineStr">
        <is>
          <t>UPPSALA LÄN</t>
        </is>
      </c>
      <c r="E2968" t="inlineStr">
        <is>
          <t>UPPSALA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4641-2026</t>
        </is>
      </c>
      <c r="B2969" s="1" t="n">
        <v>46048.39959490741</v>
      </c>
      <c r="C2969" s="1" t="n">
        <v>46098</v>
      </c>
      <c r="D2969" t="inlineStr">
        <is>
          <t>UPPSALA LÄN</t>
        </is>
      </c>
      <c r="E2969" t="inlineStr">
        <is>
          <t>HEBY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48571-2023</t>
        </is>
      </c>
      <c r="B2970" s="1" t="n">
        <v>45208.46130787037</v>
      </c>
      <c r="C2970" s="1" t="n">
        <v>46098</v>
      </c>
      <c r="D2970" t="inlineStr">
        <is>
          <t>UPPSALA LÄN</t>
        </is>
      </c>
      <c r="E2970" t="inlineStr">
        <is>
          <t>UPPSALA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17433-2025</t>
        </is>
      </c>
      <c r="B2971" s="1" t="n">
        <v>45757.40733796296</v>
      </c>
      <c r="C2971" s="1" t="n">
        <v>46098</v>
      </c>
      <c r="D2971" t="inlineStr">
        <is>
          <t>UPPSALA LÄN</t>
        </is>
      </c>
      <c r="E2971" t="inlineStr">
        <is>
          <t>ÖSTHAMMAR</t>
        </is>
      </c>
      <c r="F2971" t="inlineStr">
        <is>
          <t>Övriga Aktiebolag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4716-2026</t>
        </is>
      </c>
      <c r="B2972" s="1" t="n">
        <v>46048.46590277777</v>
      </c>
      <c r="C2972" s="1" t="n">
        <v>46098</v>
      </c>
      <c r="D2972" t="inlineStr">
        <is>
          <t>UPPSALA LÄN</t>
        </is>
      </c>
      <c r="E2972" t="inlineStr">
        <is>
          <t>TIERP</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12769-2026</t>
        </is>
      </c>
      <c r="B2973" s="1" t="n">
        <v>46091.68390046297</v>
      </c>
      <c r="C2973" s="1" t="n">
        <v>46098</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41002-2023</t>
        </is>
      </c>
      <c r="B2974" s="1" t="n">
        <v>45173</v>
      </c>
      <c r="C2974" s="1" t="n">
        <v>46098</v>
      </c>
      <c r="D2974" t="inlineStr">
        <is>
          <t>UPPSALA LÄN</t>
        </is>
      </c>
      <c r="E2974" t="inlineStr">
        <is>
          <t>UPPSALA</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13001-2026</t>
        </is>
      </c>
      <c r="B2975" s="1" t="n">
        <v>46092.68502314815</v>
      </c>
      <c r="C2975" s="1" t="n">
        <v>46098</v>
      </c>
      <c r="D2975" t="inlineStr">
        <is>
          <t>UPPSALA LÄN</t>
        </is>
      </c>
      <c r="E2975" t="inlineStr">
        <is>
          <t>KNIVSTA</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12991-2026</t>
        </is>
      </c>
      <c r="B2976" s="1" t="n">
        <v>46092.66820601852</v>
      </c>
      <c r="C2976" s="1" t="n">
        <v>46098</v>
      </c>
      <c r="D2976" t="inlineStr">
        <is>
          <t>UPPSALA LÄN</t>
        </is>
      </c>
      <c r="E2976" t="inlineStr">
        <is>
          <t>KNIVSTA</t>
        </is>
      </c>
      <c r="F2976" t="inlineStr">
        <is>
          <t>Holmen skog AB</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12996-2026</t>
        </is>
      </c>
      <c r="B2977" s="1" t="n">
        <v>46092.68149305556</v>
      </c>
      <c r="C2977" s="1" t="n">
        <v>46098</v>
      </c>
      <c r="D2977" t="inlineStr">
        <is>
          <t>UPPSALA LÄN</t>
        </is>
      </c>
      <c r="E2977" t="inlineStr">
        <is>
          <t>ENKÖPING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12756-2024</t>
        </is>
      </c>
      <c r="B2978" s="1" t="n">
        <v>45384</v>
      </c>
      <c r="C2978" s="1" t="n">
        <v>46098</v>
      </c>
      <c r="D2978" t="inlineStr">
        <is>
          <t>UPPSALA LÄN</t>
        </is>
      </c>
      <c r="E2978" t="inlineStr">
        <is>
          <t>ÖSTHAMMAR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9761-2023</t>
        </is>
      </c>
      <c r="B2979" s="1" t="n">
        <v>44984.57246527778</v>
      </c>
      <c r="C2979" s="1" t="n">
        <v>46098</v>
      </c>
      <c r="D2979" t="inlineStr">
        <is>
          <t>UPPSALA LÄN</t>
        </is>
      </c>
      <c r="E2979" t="inlineStr">
        <is>
          <t>HEBY</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9773-2023</t>
        </is>
      </c>
      <c r="B2980" s="1" t="n">
        <v>44984</v>
      </c>
      <c r="C2980" s="1" t="n">
        <v>46098</v>
      </c>
      <c r="D2980" t="inlineStr">
        <is>
          <t>UPPSALA LÄN</t>
        </is>
      </c>
      <c r="E2980" t="inlineStr">
        <is>
          <t>HEBY</t>
        </is>
      </c>
      <c r="F2980" t="inlineStr">
        <is>
          <t>Allmännings- och besparingsskogar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12883-2026</t>
        </is>
      </c>
      <c r="B2981" s="1" t="n">
        <v>46092</v>
      </c>
      <c r="C2981" s="1" t="n">
        <v>46098</v>
      </c>
      <c r="D2981" t="inlineStr">
        <is>
          <t>UPPSALA LÄN</t>
        </is>
      </c>
      <c r="E2981" t="inlineStr">
        <is>
          <t>ENKÖPING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15928-2022</t>
        </is>
      </c>
      <c r="B2982" s="1" t="n">
        <v>44664</v>
      </c>
      <c r="C2982" s="1" t="n">
        <v>46098</v>
      </c>
      <c r="D2982" t="inlineStr">
        <is>
          <t>UPPSALA LÄN</t>
        </is>
      </c>
      <c r="E2982" t="inlineStr">
        <is>
          <t>ÖSTHAMMAR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25990-2025</t>
        </is>
      </c>
      <c r="B2983" s="1" t="n">
        <v>45804.65229166667</v>
      </c>
      <c r="C2983" s="1" t="n">
        <v>46098</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5727-2026</t>
        </is>
      </c>
      <c r="B2984" s="1" t="n">
        <v>46051.56842592593</v>
      </c>
      <c r="C2984" s="1" t="n">
        <v>46098</v>
      </c>
      <c r="D2984" t="inlineStr">
        <is>
          <t>UPPSALA LÄN</t>
        </is>
      </c>
      <c r="E2984" t="inlineStr">
        <is>
          <t>TIERP</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5735-2026</t>
        </is>
      </c>
      <c r="B2985" s="1" t="n">
        <v>46051.57649305555</v>
      </c>
      <c r="C2985" s="1" t="n">
        <v>46098</v>
      </c>
      <c r="D2985" t="inlineStr">
        <is>
          <t>UPPSALA LÄN</t>
        </is>
      </c>
      <c r="E2985" t="inlineStr">
        <is>
          <t>TIERP</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5741-2026</t>
        </is>
      </c>
      <c r="B2986" s="1" t="n">
        <v>46051.58244212963</v>
      </c>
      <c r="C2986" s="1" t="n">
        <v>46098</v>
      </c>
      <c r="D2986" t="inlineStr">
        <is>
          <t>UPPSALA LÄN</t>
        </is>
      </c>
      <c r="E2986" t="inlineStr">
        <is>
          <t>TIERP</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6048-2023</t>
        </is>
      </c>
      <c r="B2987" s="1" t="n">
        <v>44964</v>
      </c>
      <c r="C2987" s="1" t="n">
        <v>46098</v>
      </c>
      <c r="D2987" t="inlineStr">
        <is>
          <t>UPPSALA LÄN</t>
        </is>
      </c>
      <c r="E2987" t="inlineStr">
        <is>
          <t>TIERP</t>
        </is>
      </c>
      <c r="F2987" t="inlineStr">
        <is>
          <t>Bergvik skog öst AB</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6049-2023</t>
        </is>
      </c>
      <c r="B2988" s="1" t="n">
        <v>44964</v>
      </c>
      <c r="C2988" s="1" t="n">
        <v>46098</v>
      </c>
      <c r="D2988" t="inlineStr">
        <is>
          <t>UPPSALA LÄN</t>
        </is>
      </c>
      <c r="E2988" t="inlineStr">
        <is>
          <t>TIERP</t>
        </is>
      </c>
      <c r="F2988" t="inlineStr">
        <is>
          <t>Bergvik skog öst AB</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8708-2022</t>
        </is>
      </c>
      <c r="B2989" s="1" t="n">
        <v>44613.77238425926</v>
      </c>
      <c r="C2989" s="1" t="n">
        <v>46098</v>
      </c>
      <c r="D2989" t="inlineStr">
        <is>
          <t>UPPSALA LÄN</t>
        </is>
      </c>
      <c r="E2989" t="inlineStr">
        <is>
          <t>ÖSTHAMMAR</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13092-2026</t>
        </is>
      </c>
      <c r="B2990" s="1" t="n">
        <v>46093.40673611111</v>
      </c>
      <c r="C2990" s="1" t="n">
        <v>46098</v>
      </c>
      <c r="D2990" t="inlineStr">
        <is>
          <t>UPPSALA LÄN</t>
        </is>
      </c>
      <c r="E2990" t="inlineStr">
        <is>
          <t>HEBY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5662-2026</t>
        </is>
      </c>
      <c r="B2991" s="1" t="n">
        <v>46051.45866898148</v>
      </c>
      <c r="C2991" s="1" t="n">
        <v>46098</v>
      </c>
      <c r="D2991" t="inlineStr">
        <is>
          <t>UPPSALA LÄN</t>
        </is>
      </c>
      <c r="E2991" t="inlineStr">
        <is>
          <t>TIERP</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5687-2026</t>
        </is>
      </c>
      <c r="B2992" s="1" t="n">
        <v>46051.48957175926</v>
      </c>
      <c r="C2992" s="1" t="n">
        <v>46098</v>
      </c>
      <c r="D2992" t="inlineStr">
        <is>
          <t>UPPSALA LÄN</t>
        </is>
      </c>
      <c r="E2992" t="inlineStr">
        <is>
          <t>UPPSALA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5794-2026</t>
        </is>
      </c>
      <c r="B2993" s="1" t="n">
        <v>46051.7077199074</v>
      </c>
      <c r="C2993" s="1" t="n">
        <v>46098</v>
      </c>
      <c r="D2993" t="inlineStr">
        <is>
          <t>UPPSALA LÄN</t>
        </is>
      </c>
      <c r="E2993" t="inlineStr">
        <is>
          <t>TIERP</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5569-2026</t>
        </is>
      </c>
      <c r="B2994" s="1" t="n">
        <v>46050.89431712963</v>
      </c>
      <c r="C2994" s="1" t="n">
        <v>46098</v>
      </c>
      <c r="D2994" t="inlineStr">
        <is>
          <t>UPPSALA LÄN</t>
        </is>
      </c>
      <c r="E2994" t="inlineStr">
        <is>
          <t>ENKÖPING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6305-2026</t>
        </is>
      </c>
      <c r="B2995" s="1" t="n">
        <v>46051</v>
      </c>
      <c r="C2995" s="1" t="n">
        <v>46098</v>
      </c>
      <c r="D2995" t="inlineStr">
        <is>
          <t>UPPSALA LÄN</t>
        </is>
      </c>
      <c r="E2995" t="inlineStr">
        <is>
          <t>HEBY</t>
        </is>
      </c>
      <c r="F2995" t="inlineStr">
        <is>
          <t>Bergvik skog väst AB</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10414-2022</t>
        </is>
      </c>
      <c r="B2996" s="1" t="n">
        <v>44623.45859953704</v>
      </c>
      <c r="C2996" s="1" t="n">
        <v>46098</v>
      </c>
      <c r="D2996" t="inlineStr">
        <is>
          <t>UPPSALA LÄN</t>
        </is>
      </c>
      <c r="E2996" t="inlineStr">
        <is>
          <t>HEBY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13097-2026</t>
        </is>
      </c>
      <c r="B2997" s="1" t="n">
        <v>46093.40854166666</v>
      </c>
      <c r="C2997" s="1" t="n">
        <v>46098</v>
      </c>
      <c r="D2997" t="inlineStr">
        <is>
          <t>UPPSALA LÄN</t>
        </is>
      </c>
      <c r="E2997" t="inlineStr">
        <is>
          <t>HEBY</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5629-2026</t>
        </is>
      </c>
      <c r="B2998" s="1" t="n">
        <v>46051</v>
      </c>
      <c r="C2998" s="1" t="n">
        <v>46098</v>
      </c>
      <c r="D2998" t="inlineStr">
        <is>
          <t>UPPSALA LÄN</t>
        </is>
      </c>
      <c r="E2998" t="inlineStr">
        <is>
          <t>UPPSALA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45489-2023</t>
        </is>
      </c>
      <c r="B2999" s="1" t="n">
        <v>45194</v>
      </c>
      <c r="C2999" s="1" t="n">
        <v>46098</v>
      </c>
      <c r="D2999" t="inlineStr">
        <is>
          <t>UPPSALA LÄN</t>
        </is>
      </c>
      <c r="E2999" t="inlineStr">
        <is>
          <t>UPPSALA</t>
        </is>
      </c>
      <c r="F2999" t="inlineStr">
        <is>
          <t>Allmännings- och besparingsskogar</t>
        </is>
      </c>
      <c r="G2999" t="n">
        <v>15.8</v>
      </c>
      <c r="H2999" t="n">
        <v>0</v>
      </c>
      <c r="I2999" t="n">
        <v>0</v>
      </c>
      <c r="J2999" t="n">
        <v>0</v>
      </c>
      <c r="K2999" t="n">
        <v>0</v>
      </c>
      <c r="L2999" t="n">
        <v>0</v>
      </c>
      <c r="M2999" t="n">
        <v>0</v>
      </c>
      <c r="N2999" t="n">
        <v>0</v>
      </c>
      <c r="O2999" t="n">
        <v>0</v>
      </c>
      <c r="P2999" t="n">
        <v>0</v>
      </c>
      <c r="Q2999" t="n">
        <v>0</v>
      </c>
      <c r="R2999" s="2" t="inlineStr"/>
    </row>
    <row r="3000" ht="15" customHeight="1">
      <c r="A3000" t="inlineStr">
        <is>
          <t>A 53906-2023</t>
        </is>
      </c>
      <c r="B3000" s="1" t="n">
        <v>45231</v>
      </c>
      <c r="C3000" s="1" t="n">
        <v>46098</v>
      </c>
      <c r="D3000" t="inlineStr">
        <is>
          <t>UPPSALA LÄN</t>
        </is>
      </c>
      <c r="E3000" t="inlineStr">
        <is>
          <t>UPPSALA</t>
        </is>
      </c>
      <c r="G3000" t="n">
        <v>13.2</v>
      </c>
      <c r="H3000" t="n">
        <v>0</v>
      </c>
      <c r="I3000" t="n">
        <v>0</v>
      </c>
      <c r="J3000" t="n">
        <v>0</v>
      </c>
      <c r="K3000" t="n">
        <v>0</v>
      </c>
      <c r="L3000" t="n">
        <v>0</v>
      </c>
      <c r="M3000" t="n">
        <v>0</v>
      </c>
      <c r="N3000" t="n">
        <v>0</v>
      </c>
      <c r="O3000" t="n">
        <v>0</v>
      </c>
      <c r="P3000" t="n">
        <v>0</v>
      </c>
      <c r="Q3000" t="n">
        <v>0</v>
      </c>
      <c r="R3000" s="2" t="inlineStr"/>
    </row>
    <row r="3001" ht="15" customHeight="1">
      <c r="A3001" t="inlineStr">
        <is>
          <t>A 12589-2026</t>
        </is>
      </c>
      <c r="B3001" s="1" t="n">
        <v>46090</v>
      </c>
      <c r="C3001" s="1" t="n">
        <v>46098</v>
      </c>
      <c r="D3001" t="inlineStr">
        <is>
          <t>UPPSALA LÄN</t>
        </is>
      </c>
      <c r="E3001" t="inlineStr">
        <is>
          <t>ÖSTHAMMAR</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1063-2025</t>
        </is>
      </c>
      <c r="B3002" s="1" t="n">
        <v>45666</v>
      </c>
      <c r="C3002" s="1" t="n">
        <v>46098</v>
      </c>
      <c r="D3002" t="inlineStr">
        <is>
          <t>UPPSALA LÄN</t>
        </is>
      </c>
      <c r="E3002" t="inlineStr">
        <is>
          <t>ÖSTHAMMAR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5423-2026</t>
        </is>
      </c>
      <c r="B3003" s="1" t="n">
        <v>46050.54232638889</v>
      </c>
      <c r="C3003" s="1" t="n">
        <v>46098</v>
      </c>
      <c r="D3003" t="inlineStr">
        <is>
          <t>UPPSALA LÄN</t>
        </is>
      </c>
      <c r="E3003" t="inlineStr">
        <is>
          <t>TIERP</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6497-2023</t>
        </is>
      </c>
      <c r="B3004" s="1" t="n">
        <v>44966</v>
      </c>
      <c r="C3004" s="1" t="n">
        <v>46098</v>
      </c>
      <c r="D3004" t="inlineStr">
        <is>
          <t>UPPSALA LÄN</t>
        </is>
      </c>
      <c r="E3004" t="inlineStr">
        <is>
          <t>TIERP</t>
        </is>
      </c>
      <c r="F3004" t="inlineStr">
        <is>
          <t>Bergvik skog öst AB</t>
        </is>
      </c>
      <c r="G3004" t="n">
        <v>12.9</v>
      </c>
      <c r="H3004" t="n">
        <v>0</v>
      </c>
      <c r="I3004" t="n">
        <v>0</v>
      </c>
      <c r="J3004" t="n">
        <v>0</v>
      </c>
      <c r="K3004" t="n">
        <v>0</v>
      </c>
      <c r="L3004" t="n">
        <v>0</v>
      </c>
      <c r="M3004" t="n">
        <v>0</v>
      </c>
      <c r="N3004" t="n">
        <v>0</v>
      </c>
      <c r="O3004" t="n">
        <v>0</v>
      </c>
      <c r="P3004" t="n">
        <v>0</v>
      </c>
      <c r="Q3004" t="n">
        <v>0</v>
      </c>
      <c r="R3004" s="2" t="inlineStr"/>
    </row>
    <row r="3005" ht="15" customHeight="1">
      <c r="A3005" t="inlineStr">
        <is>
          <t>A 55073-2022</t>
        </is>
      </c>
      <c r="B3005" s="1" t="n">
        <v>44886.5928125</v>
      </c>
      <c r="C3005" s="1" t="n">
        <v>46098</v>
      </c>
      <c r="D3005" t="inlineStr">
        <is>
          <t>UPPSALA LÄN</t>
        </is>
      </c>
      <c r="E3005" t="inlineStr">
        <is>
          <t>UPPSALA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33760-2024</t>
        </is>
      </c>
      <c r="B3006" s="1" t="n">
        <v>45520</v>
      </c>
      <c r="C3006" s="1" t="n">
        <v>46098</v>
      </c>
      <c r="D3006" t="inlineStr">
        <is>
          <t>UPPSALA LÄN</t>
        </is>
      </c>
      <c r="E3006" t="inlineStr">
        <is>
          <t>ÖSTHAMMAR</t>
        </is>
      </c>
      <c r="F3006" t="inlineStr">
        <is>
          <t>Övriga Aktiebolag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13011-2026</t>
        </is>
      </c>
      <c r="B3007" s="1" t="n">
        <v>46092.71887731482</v>
      </c>
      <c r="C3007" s="1" t="n">
        <v>46098</v>
      </c>
      <c r="D3007" t="inlineStr">
        <is>
          <t>UPPSALA LÄN</t>
        </is>
      </c>
      <c r="E3007" t="inlineStr">
        <is>
          <t>KNIVSTA</t>
        </is>
      </c>
      <c r="F3007" t="inlineStr">
        <is>
          <t>Holmen skog AB</t>
        </is>
      </c>
      <c r="G3007" t="n">
        <v>1.9</v>
      </c>
      <c r="H3007" t="n">
        <v>0</v>
      </c>
      <c r="I3007" t="n">
        <v>0</v>
      </c>
      <c r="J3007" t="n">
        <v>0</v>
      </c>
      <c r="K3007" t="n">
        <v>0</v>
      </c>
      <c r="L3007" t="n">
        <v>0</v>
      </c>
      <c r="M3007" t="n">
        <v>0</v>
      </c>
      <c r="N3007" t="n">
        <v>0</v>
      </c>
      <c r="O3007" t="n">
        <v>0</v>
      </c>
      <c r="P3007" t="n">
        <v>0</v>
      </c>
      <c r="Q3007" t="n">
        <v>0</v>
      </c>
      <c r="R3007" s="2" t="inlineStr"/>
      <c r="U3007">
        <f>HYPERLINK("https://klasma.github.io/Logging_0330/knärot/A 13011-2026 karta knärot.png", "A 13011-2026")</f>
        <v/>
      </c>
      <c r="V3007">
        <f>HYPERLINK("https://klasma.github.io/Logging_0330/klagomål/A 13011-2026 FSC-klagomål.docx", "A 13011-2026")</f>
        <v/>
      </c>
      <c r="W3007">
        <f>HYPERLINK("https://klasma.github.io/Logging_0330/klagomålsmail/A 13011-2026 FSC-klagomål mail.docx", "A 13011-2026")</f>
        <v/>
      </c>
      <c r="X3007">
        <f>HYPERLINK("https://klasma.github.io/Logging_0330/tillsyn/A 13011-2026 tillsynsbegäran.docx", "A 13011-2026")</f>
        <v/>
      </c>
      <c r="Y3007">
        <f>HYPERLINK("https://klasma.github.io/Logging_0330/tillsynsmail/A 13011-2026 tillsynsbegäran mail.docx", "A 13011-2026")</f>
        <v/>
      </c>
    </row>
    <row r="3008" ht="15" customHeight="1">
      <c r="A3008" t="inlineStr">
        <is>
          <t>A 33816-2024</t>
        </is>
      </c>
      <c r="B3008" s="1" t="n">
        <v>45520</v>
      </c>
      <c r="C3008" s="1" t="n">
        <v>46098</v>
      </c>
      <c r="D3008" t="inlineStr">
        <is>
          <t>UPPSALA LÄN</t>
        </is>
      </c>
      <c r="E3008" t="inlineStr">
        <is>
          <t>UPPSALA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6523-2022</t>
        </is>
      </c>
      <c r="B3009" s="1" t="n">
        <v>44601</v>
      </c>
      <c r="C3009" s="1" t="n">
        <v>46098</v>
      </c>
      <c r="D3009" t="inlineStr">
        <is>
          <t>UPPSALA LÄN</t>
        </is>
      </c>
      <c r="E3009" t="inlineStr">
        <is>
          <t>HEBY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8592-2022</t>
        </is>
      </c>
      <c r="B3010" s="1" t="n">
        <v>44613</v>
      </c>
      <c r="C3010" s="1" t="n">
        <v>46098</v>
      </c>
      <c r="D3010" t="inlineStr">
        <is>
          <t>UPPSALA LÄN</t>
        </is>
      </c>
      <c r="E3010" t="inlineStr">
        <is>
          <t>ÖSTHAMMAR</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12997-2026</t>
        </is>
      </c>
      <c r="B3011" s="1" t="n">
        <v>46092.6834375</v>
      </c>
      <c r="C3011" s="1" t="n">
        <v>46098</v>
      </c>
      <c r="D3011" t="inlineStr">
        <is>
          <t>UPPSALA LÄN</t>
        </is>
      </c>
      <c r="E3011" t="inlineStr">
        <is>
          <t>ENKÖPING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13005-2026</t>
        </is>
      </c>
      <c r="B3012" s="1" t="n">
        <v>46092.69429398148</v>
      </c>
      <c r="C3012" s="1" t="n">
        <v>46098</v>
      </c>
      <c r="D3012" t="inlineStr">
        <is>
          <t>UPPSALA LÄN</t>
        </is>
      </c>
      <c r="E3012" t="inlineStr">
        <is>
          <t>KNIVSTA</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13016-2026</t>
        </is>
      </c>
      <c r="B3013" s="1" t="n">
        <v>46092.73381944445</v>
      </c>
      <c r="C3013" s="1" t="n">
        <v>46098</v>
      </c>
      <c r="D3013" t="inlineStr">
        <is>
          <t>UPPSALA LÄN</t>
        </is>
      </c>
      <c r="E3013" t="inlineStr">
        <is>
          <t>KNIVSTA</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5469-2026</t>
        </is>
      </c>
      <c r="B3014" s="1" t="n">
        <v>46050</v>
      </c>
      <c r="C3014" s="1" t="n">
        <v>46098</v>
      </c>
      <c r="D3014" t="inlineStr">
        <is>
          <t>UPPSALA LÄN</t>
        </is>
      </c>
      <c r="E3014" t="inlineStr">
        <is>
          <t>ÖSTHAMMAR</t>
        </is>
      </c>
      <c r="F3014" t="inlineStr">
        <is>
          <t>Övriga Aktiebolag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11997-2026</t>
        </is>
      </c>
      <c r="B3015" s="1" t="n">
        <v>46085.66461805555</v>
      </c>
      <c r="C3015" s="1" t="n">
        <v>46098</v>
      </c>
      <c r="D3015" t="inlineStr">
        <is>
          <t>UPPSALA LÄN</t>
        </is>
      </c>
      <c r="E3015" t="inlineStr">
        <is>
          <t>HÅBO</t>
        </is>
      </c>
      <c r="F3015" t="inlineStr">
        <is>
          <t>Övriga statliga verk och myndigheter</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16920-2023</t>
        </is>
      </c>
      <c r="B3016" s="1" t="n">
        <v>45033.59030092593</v>
      </c>
      <c r="C3016" s="1" t="n">
        <v>46098</v>
      </c>
      <c r="D3016" t="inlineStr">
        <is>
          <t>UPPSALA LÄN</t>
        </is>
      </c>
      <c r="E3016" t="inlineStr">
        <is>
          <t>ENKÖPING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52629-2023</t>
        </is>
      </c>
      <c r="B3017" s="1" t="n">
        <v>45225</v>
      </c>
      <c r="C3017" s="1" t="n">
        <v>46098</v>
      </c>
      <c r="D3017" t="inlineStr">
        <is>
          <t>UPPSALA LÄN</t>
        </is>
      </c>
      <c r="E3017" t="inlineStr">
        <is>
          <t>ÖSTHAMMAR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47083-2023</t>
        </is>
      </c>
      <c r="B3018" s="1" t="n">
        <v>45201.62318287037</v>
      </c>
      <c r="C3018" s="1" t="n">
        <v>46098</v>
      </c>
      <c r="D3018" t="inlineStr">
        <is>
          <t>UPPSALA LÄN</t>
        </is>
      </c>
      <c r="E3018" t="inlineStr">
        <is>
          <t>UPPSALA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35918-2023</t>
        </is>
      </c>
      <c r="B3019" s="1" t="n">
        <v>45148.64976851852</v>
      </c>
      <c r="C3019" s="1" t="n">
        <v>46098</v>
      </c>
      <c r="D3019" t="inlineStr">
        <is>
          <t>UPPSALA LÄN</t>
        </is>
      </c>
      <c r="E3019" t="inlineStr">
        <is>
          <t>ÖSTHAMMAR</t>
        </is>
      </c>
      <c r="F3019" t="inlineStr">
        <is>
          <t>Bergvik skog öst AB</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13075-2026</t>
        </is>
      </c>
      <c r="B3020" s="1" t="n">
        <v>46093.37692129629</v>
      </c>
      <c r="C3020" s="1" t="n">
        <v>46098</v>
      </c>
      <c r="D3020" t="inlineStr">
        <is>
          <t>UPPSALA LÄN</t>
        </is>
      </c>
      <c r="E3020" t="inlineStr">
        <is>
          <t>UPPSALA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13099-2026</t>
        </is>
      </c>
      <c r="B3021" s="1" t="n">
        <v>46093.41048611111</v>
      </c>
      <c r="C3021" s="1" t="n">
        <v>46098</v>
      </c>
      <c r="D3021" t="inlineStr">
        <is>
          <t>UPPSALA LÄN</t>
        </is>
      </c>
      <c r="E3021" t="inlineStr">
        <is>
          <t>HEBY</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1791-2024</t>
        </is>
      </c>
      <c r="B3022" s="1" t="n">
        <v>45307.574375</v>
      </c>
      <c r="C3022" s="1" t="n">
        <v>46098</v>
      </c>
      <c r="D3022" t="inlineStr">
        <is>
          <t>UPPSALA LÄN</t>
        </is>
      </c>
      <c r="E3022" t="inlineStr">
        <is>
          <t>KNIVSTA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13013-2026</t>
        </is>
      </c>
      <c r="B3023" s="1" t="n">
        <v>46092.7271412037</v>
      </c>
      <c r="C3023" s="1" t="n">
        <v>46098</v>
      </c>
      <c r="D3023" t="inlineStr">
        <is>
          <t>UPPSALA LÄN</t>
        </is>
      </c>
      <c r="E3023" t="inlineStr">
        <is>
          <t>KNIVSTA</t>
        </is>
      </c>
      <c r="F3023" t="inlineStr">
        <is>
          <t>Holmen skog AB</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6991-2026</t>
        </is>
      </c>
      <c r="B3024" s="1" t="n">
        <v>46057.60431712963</v>
      </c>
      <c r="C3024" s="1" t="n">
        <v>46098</v>
      </c>
      <c r="D3024" t="inlineStr">
        <is>
          <t>UPPSALA LÄN</t>
        </is>
      </c>
      <c r="E3024" t="inlineStr">
        <is>
          <t>UPPSALA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25989-2025</t>
        </is>
      </c>
      <c r="B3025" s="1" t="n">
        <v>45804.65050925926</v>
      </c>
      <c r="C3025" s="1" t="n">
        <v>46098</v>
      </c>
      <c r="D3025" t="inlineStr">
        <is>
          <t>UPPSALA LÄN</t>
        </is>
      </c>
      <c r="E3025" t="inlineStr">
        <is>
          <t>ENKÖPING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34837-2024</t>
        </is>
      </c>
      <c r="B3026" s="1" t="n">
        <v>45526</v>
      </c>
      <c r="C3026" s="1" t="n">
        <v>46098</v>
      </c>
      <c r="D3026" t="inlineStr">
        <is>
          <t>UPPSALA LÄN</t>
        </is>
      </c>
      <c r="E3026" t="inlineStr">
        <is>
          <t>TIERP</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37670-2022</t>
        </is>
      </c>
      <c r="B3027" s="1" t="n">
        <v>44810</v>
      </c>
      <c r="C3027" s="1" t="n">
        <v>46098</v>
      </c>
      <c r="D3027" t="inlineStr">
        <is>
          <t>UPPSALA LÄN</t>
        </is>
      </c>
      <c r="E3027" t="inlineStr">
        <is>
          <t>UPPSALA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4292-2025</t>
        </is>
      </c>
      <c r="B3028" s="1" t="n">
        <v>45685.66459490741</v>
      </c>
      <c r="C3028" s="1" t="n">
        <v>46098</v>
      </c>
      <c r="D3028" t="inlineStr">
        <is>
          <t>UPPSALA LÄN</t>
        </is>
      </c>
      <c r="E3028" t="inlineStr">
        <is>
          <t>ÖSTHAMMAR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53586-2024</t>
        </is>
      </c>
      <c r="B3029" s="1" t="n">
        <v>45614</v>
      </c>
      <c r="C3029" s="1" t="n">
        <v>46098</v>
      </c>
      <c r="D3029" t="inlineStr">
        <is>
          <t>UPPSALA LÄN</t>
        </is>
      </c>
      <c r="E3029" t="inlineStr">
        <is>
          <t>ENKÖPING</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4356-2025</t>
        </is>
      </c>
      <c r="B3030" s="1" t="n">
        <v>45686</v>
      </c>
      <c r="C3030" s="1" t="n">
        <v>46098</v>
      </c>
      <c r="D3030" t="inlineStr">
        <is>
          <t>UPPSALA LÄN</t>
        </is>
      </c>
      <c r="E3030" t="inlineStr">
        <is>
          <t>ÖSTHAMMAR</t>
        </is>
      </c>
      <c r="F3030" t="inlineStr">
        <is>
          <t>Övriga Aktiebolag</t>
        </is>
      </c>
      <c r="G3030" t="n">
        <v>24.6</v>
      </c>
      <c r="H3030" t="n">
        <v>0</v>
      </c>
      <c r="I3030" t="n">
        <v>0</v>
      </c>
      <c r="J3030" t="n">
        <v>0</v>
      </c>
      <c r="K3030" t="n">
        <v>0</v>
      </c>
      <c r="L3030" t="n">
        <v>0</v>
      </c>
      <c r="M3030" t="n">
        <v>0</v>
      </c>
      <c r="N3030" t="n">
        <v>0</v>
      </c>
      <c r="O3030" t="n">
        <v>0</v>
      </c>
      <c r="P3030" t="n">
        <v>0</v>
      </c>
      <c r="Q3030" t="n">
        <v>0</v>
      </c>
      <c r="R3030" s="2" t="inlineStr"/>
    </row>
    <row r="3031" ht="15" customHeight="1">
      <c r="A3031" t="inlineStr">
        <is>
          <t>A 13089-2026</t>
        </is>
      </c>
      <c r="B3031" s="1" t="n">
        <v>46093.40275462963</v>
      </c>
      <c r="C3031" s="1" t="n">
        <v>46098</v>
      </c>
      <c r="D3031" t="inlineStr">
        <is>
          <t>UPPSALA LÄN</t>
        </is>
      </c>
      <c r="E3031" t="inlineStr">
        <is>
          <t>HEBY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5797-2026</t>
        </is>
      </c>
      <c r="B3032" s="1" t="n">
        <v>46051.71248842592</v>
      </c>
      <c r="C3032" s="1" t="n">
        <v>46098</v>
      </c>
      <c r="D3032" t="inlineStr">
        <is>
          <t>UPPSALA LÄN</t>
        </is>
      </c>
      <c r="E3032" t="inlineStr">
        <is>
          <t>TIERP</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12913-2026</t>
        </is>
      </c>
      <c r="B3033" s="1" t="n">
        <v>46092.58787037037</v>
      </c>
      <c r="C3033" s="1" t="n">
        <v>46098</v>
      </c>
      <c r="D3033" t="inlineStr">
        <is>
          <t>UPPSALA LÄN</t>
        </is>
      </c>
      <c r="E3033" t="inlineStr">
        <is>
          <t>ÖSTHAMMAR</t>
        </is>
      </c>
      <c r="F3033" t="inlineStr">
        <is>
          <t>Övriga Aktiebolag</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13337-2026</t>
        </is>
      </c>
      <c r="B3034" s="1" t="n">
        <v>46094.37365740741</v>
      </c>
      <c r="C3034" s="1" t="n">
        <v>46098</v>
      </c>
      <c r="D3034" t="inlineStr">
        <is>
          <t>UPPSALA LÄN</t>
        </is>
      </c>
      <c r="E3034" t="inlineStr">
        <is>
          <t>UPPSALA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6661-2024</t>
        </is>
      </c>
      <c r="B3035" s="1" t="n">
        <v>45341.70582175926</v>
      </c>
      <c r="C3035" s="1" t="n">
        <v>46098</v>
      </c>
      <c r="D3035" t="inlineStr">
        <is>
          <t>UPPSALA LÄN</t>
        </is>
      </c>
      <c r="E3035" t="inlineStr">
        <is>
          <t>ÖSTHAMMAR</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13434-2026</t>
        </is>
      </c>
      <c r="B3036" s="1" t="n">
        <v>46094.48894675926</v>
      </c>
      <c r="C3036" s="1" t="n">
        <v>46098</v>
      </c>
      <c r="D3036" t="inlineStr">
        <is>
          <t>UPPSALA LÄN</t>
        </is>
      </c>
      <c r="E3036" t="inlineStr">
        <is>
          <t>UPPSALA</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13485-2026</t>
        </is>
      </c>
      <c r="B3037" s="1" t="n">
        <v>46094.58113425926</v>
      </c>
      <c r="C3037" s="1" t="n">
        <v>46098</v>
      </c>
      <c r="D3037" t="inlineStr">
        <is>
          <t>UPPSALA LÄN</t>
        </is>
      </c>
      <c r="E3037" t="inlineStr">
        <is>
          <t>UPPSALA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17646-2025</t>
        </is>
      </c>
      <c r="B3038" s="1" t="n">
        <v>45758.32872685185</v>
      </c>
      <c r="C3038" s="1" t="n">
        <v>46098</v>
      </c>
      <c r="D3038" t="inlineStr">
        <is>
          <t>UPPSALA LÄN</t>
        </is>
      </c>
      <c r="E3038" t="inlineStr">
        <is>
          <t>ÖSTHAMMAR</t>
        </is>
      </c>
      <c r="F3038" t="inlineStr">
        <is>
          <t>Bergvik skog väst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17648-2025</t>
        </is>
      </c>
      <c r="B3039" s="1" t="n">
        <v>45758.33064814815</v>
      </c>
      <c r="C3039" s="1" t="n">
        <v>46098</v>
      </c>
      <c r="D3039" t="inlineStr">
        <is>
          <t>UPPSALA LÄN</t>
        </is>
      </c>
      <c r="E3039" t="inlineStr">
        <is>
          <t>ÖSTHAMMAR</t>
        </is>
      </c>
      <c r="F3039" t="inlineStr">
        <is>
          <t>Bergvik skog väst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56903-2023</t>
        </is>
      </c>
      <c r="B3040" s="1" t="n">
        <v>45244.56943287037</v>
      </c>
      <c r="C3040" s="1" t="n">
        <v>46098</v>
      </c>
      <c r="D3040" t="inlineStr">
        <is>
          <t>UPPSALA LÄN</t>
        </is>
      </c>
      <c r="E3040" t="inlineStr">
        <is>
          <t>ÖSTHAMMAR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64540-2023</t>
        </is>
      </c>
      <c r="B3041" s="1" t="n">
        <v>45281.37799768519</v>
      </c>
      <c r="C3041" s="1" t="n">
        <v>46098</v>
      </c>
      <c r="D3041" t="inlineStr">
        <is>
          <t>UPPSALA LÄN</t>
        </is>
      </c>
      <c r="E3041" t="inlineStr">
        <is>
          <t>TIERP</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6238-2026</t>
        </is>
      </c>
      <c r="B3042" s="1" t="n">
        <v>46055.45547453704</v>
      </c>
      <c r="C3042" s="1" t="n">
        <v>46098</v>
      </c>
      <c r="D3042" t="inlineStr">
        <is>
          <t>UPPSALA LÄN</t>
        </is>
      </c>
      <c r="E3042" t="inlineStr">
        <is>
          <t>ÖSTHAMMAR</t>
        </is>
      </c>
      <c r="F3042" t="inlineStr">
        <is>
          <t>Övriga Aktiebolag</t>
        </is>
      </c>
      <c r="G3042" t="n">
        <v>26.7</v>
      </c>
      <c r="H3042" t="n">
        <v>0</v>
      </c>
      <c r="I3042" t="n">
        <v>0</v>
      </c>
      <c r="J3042" t="n">
        <v>0</v>
      </c>
      <c r="K3042" t="n">
        <v>0</v>
      </c>
      <c r="L3042" t="n">
        <v>0</v>
      </c>
      <c r="M3042" t="n">
        <v>0</v>
      </c>
      <c r="N3042" t="n">
        <v>0</v>
      </c>
      <c r="O3042" t="n">
        <v>0</v>
      </c>
      <c r="P3042" t="n">
        <v>0</v>
      </c>
      <c r="Q3042" t="n">
        <v>0</v>
      </c>
      <c r="R3042" s="2" t="inlineStr"/>
    </row>
    <row r="3043" ht="15" customHeight="1">
      <c r="A3043" t="inlineStr">
        <is>
          <t>A 6404-2026</t>
        </is>
      </c>
      <c r="B3043" s="1" t="n">
        <v>46055.66452546296</v>
      </c>
      <c r="C3043" s="1" t="n">
        <v>46098</v>
      </c>
      <c r="D3043" t="inlineStr">
        <is>
          <t>UPPSALA LÄN</t>
        </is>
      </c>
      <c r="E3043" t="inlineStr">
        <is>
          <t>TIERP</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6407-2026</t>
        </is>
      </c>
      <c r="B3044" s="1" t="n">
        <v>46055.66721064815</v>
      </c>
      <c r="C3044" s="1" t="n">
        <v>46098</v>
      </c>
      <c r="D3044" t="inlineStr">
        <is>
          <t>UPPSALA LÄN</t>
        </is>
      </c>
      <c r="E3044" t="inlineStr">
        <is>
          <t>TIERP</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9352-2026</t>
        </is>
      </c>
      <c r="B3045" s="1" t="n">
        <v>46070</v>
      </c>
      <c r="C3045" s="1" t="n">
        <v>46098</v>
      </c>
      <c r="D3045" t="inlineStr">
        <is>
          <t>UPPSALA LÄN</t>
        </is>
      </c>
      <c r="E3045" t="inlineStr">
        <is>
          <t>HEBY</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32688-2023</t>
        </is>
      </c>
      <c r="B3046" s="1" t="n">
        <v>45121</v>
      </c>
      <c r="C3046" s="1" t="n">
        <v>46098</v>
      </c>
      <c r="D3046" t="inlineStr">
        <is>
          <t>UPPSALA LÄN</t>
        </is>
      </c>
      <c r="E3046" t="inlineStr">
        <is>
          <t>UPPSALA</t>
        </is>
      </c>
      <c r="F3046" t="inlineStr">
        <is>
          <t>Holmen skog AB</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28420-2023</t>
        </is>
      </c>
      <c r="B3047" s="1" t="n">
        <v>45102.33054398148</v>
      </c>
      <c r="C3047" s="1" t="n">
        <v>46098</v>
      </c>
      <c r="D3047" t="inlineStr">
        <is>
          <t>UPPSALA LÄN</t>
        </is>
      </c>
      <c r="E3047" t="inlineStr">
        <is>
          <t>ÖSTHAMMAR</t>
        </is>
      </c>
      <c r="F3047" t="inlineStr">
        <is>
          <t>Bergvik skog öst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28432-2023</t>
        </is>
      </c>
      <c r="B3048" s="1" t="n">
        <v>45102.59896990741</v>
      </c>
      <c r="C3048" s="1" t="n">
        <v>46098</v>
      </c>
      <c r="D3048" t="inlineStr">
        <is>
          <t>UPPSALA LÄN</t>
        </is>
      </c>
      <c r="E3048" t="inlineStr">
        <is>
          <t>ÖSTHAMMAR</t>
        </is>
      </c>
      <c r="F3048" t="inlineStr">
        <is>
          <t>Bergvik skog öst AB</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13536-2026</t>
        </is>
      </c>
      <c r="B3049" s="1" t="n">
        <v>46094.66190972222</v>
      </c>
      <c r="C3049" s="1" t="n">
        <v>46098</v>
      </c>
      <c r="D3049" t="inlineStr">
        <is>
          <t>UPPSALA LÄN</t>
        </is>
      </c>
      <c r="E3049" t="inlineStr">
        <is>
          <t>UPPSALA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13380-2026</t>
        </is>
      </c>
      <c r="B3050" s="1" t="n">
        <v>46094.42555555556</v>
      </c>
      <c r="C3050" s="1" t="n">
        <v>46098</v>
      </c>
      <c r="D3050" t="inlineStr">
        <is>
          <t>UPPSALA LÄN</t>
        </is>
      </c>
      <c r="E3050" t="inlineStr">
        <is>
          <t>KNIVSTA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53266-2024</t>
        </is>
      </c>
      <c r="B3051" s="1" t="n">
        <v>45614</v>
      </c>
      <c r="C3051" s="1" t="n">
        <v>46098</v>
      </c>
      <c r="D3051" t="inlineStr">
        <is>
          <t>UPPSALA LÄN</t>
        </is>
      </c>
      <c r="E3051" t="inlineStr">
        <is>
          <t>UPPSALA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6187-2026</t>
        </is>
      </c>
      <c r="B3052" s="1" t="n">
        <v>46055.36872685186</v>
      </c>
      <c r="C3052" s="1" t="n">
        <v>46098</v>
      </c>
      <c r="D3052" t="inlineStr">
        <is>
          <t>UPPSALA LÄN</t>
        </is>
      </c>
      <c r="E3052" t="inlineStr">
        <is>
          <t>UPPSALA</t>
        </is>
      </c>
      <c r="F3052" t="inlineStr">
        <is>
          <t>Allmännings- och besparingsskogar</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5855-2026</t>
        </is>
      </c>
      <c r="B3053" s="1" t="n">
        <v>46052.3639699074</v>
      </c>
      <c r="C3053" s="1" t="n">
        <v>46098</v>
      </c>
      <c r="D3053" t="inlineStr">
        <is>
          <t>UPPSALA LÄN</t>
        </is>
      </c>
      <c r="E3053" t="inlineStr">
        <is>
          <t>HEBY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56969-2022</t>
        </is>
      </c>
      <c r="B3054" s="1" t="n">
        <v>44894.68043981482</v>
      </c>
      <c r="C3054" s="1" t="n">
        <v>46098</v>
      </c>
      <c r="D3054" t="inlineStr">
        <is>
          <t>UPPSALA LÄN</t>
        </is>
      </c>
      <c r="E3054" t="inlineStr">
        <is>
          <t>ÖSTHAMMAR</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2301-2024</t>
        </is>
      </c>
      <c r="B3055" s="1" t="n">
        <v>45310.44783564815</v>
      </c>
      <c r="C3055" s="1" t="n">
        <v>46098</v>
      </c>
      <c r="D3055" t="inlineStr">
        <is>
          <t>UPPSALA LÄN</t>
        </is>
      </c>
      <c r="E3055" t="inlineStr">
        <is>
          <t>TIERP</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5948-2026</t>
        </is>
      </c>
      <c r="B3056" s="1" t="n">
        <v>46052</v>
      </c>
      <c r="C3056" s="1" t="n">
        <v>46098</v>
      </c>
      <c r="D3056" t="inlineStr">
        <is>
          <t>UPPSALA LÄN</t>
        </is>
      </c>
      <c r="E3056" t="inlineStr">
        <is>
          <t>ENKÖPING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6709-2026</t>
        </is>
      </c>
      <c r="B3057" s="1" t="n">
        <v>46053</v>
      </c>
      <c r="C3057" s="1" t="n">
        <v>46098</v>
      </c>
      <c r="D3057" t="inlineStr">
        <is>
          <t>UPPSALA LÄN</t>
        </is>
      </c>
      <c r="E3057" t="inlineStr">
        <is>
          <t>TIERP</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6360-2026</t>
        </is>
      </c>
      <c r="B3058" s="1" t="n">
        <v>46055.61907407407</v>
      </c>
      <c r="C3058" s="1" t="n">
        <v>46098</v>
      </c>
      <c r="D3058" t="inlineStr">
        <is>
          <t>UPPSALA LÄN</t>
        </is>
      </c>
      <c r="E3058" t="inlineStr">
        <is>
          <t>UPPSALA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946-2023</t>
        </is>
      </c>
      <c r="B3059" s="1" t="n">
        <v>44934.47055555556</v>
      </c>
      <c r="C3059" s="1" t="n">
        <v>46098</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12282-2025</t>
        </is>
      </c>
      <c r="B3060" s="1" t="n">
        <v>45729</v>
      </c>
      <c r="C3060" s="1" t="n">
        <v>46098</v>
      </c>
      <c r="D3060" t="inlineStr">
        <is>
          <t>UPPSALA LÄN</t>
        </is>
      </c>
      <c r="E3060" t="inlineStr">
        <is>
          <t>UPPSALA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11011-2025</t>
        </is>
      </c>
      <c r="B3061" s="1" t="n">
        <v>45723.45540509259</v>
      </c>
      <c r="C3061" s="1" t="n">
        <v>46098</v>
      </c>
      <c r="D3061" t="inlineStr">
        <is>
          <t>UPPSALA LÄN</t>
        </is>
      </c>
      <c r="E3061" t="inlineStr">
        <is>
          <t>HEBY</t>
        </is>
      </c>
      <c r="F3061" t="inlineStr">
        <is>
          <t>Kyrkan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6049-2026</t>
        </is>
      </c>
      <c r="B3062" s="1" t="n">
        <v>46052.63005787037</v>
      </c>
      <c r="C3062" s="1" t="n">
        <v>46098</v>
      </c>
      <c r="D3062" t="inlineStr">
        <is>
          <t>UPPSALA LÄN</t>
        </is>
      </c>
      <c r="E3062" t="inlineStr">
        <is>
          <t>ENKÖPING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13472-2026</t>
        </is>
      </c>
      <c r="B3063" s="1" t="n">
        <v>46094</v>
      </c>
      <c r="C3063" s="1" t="n">
        <v>46098</v>
      </c>
      <c r="D3063" t="inlineStr">
        <is>
          <t>UPPSALA LÄN</t>
        </is>
      </c>
      <c r="E3063" t="inlineStr">
        <is>
          <t>ÖSTHAMMAR</t>
        </is>
      </c>
      <c r="F3063" t="inlineStr">
        <is>
          <t>Övriga Aktiebolag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6696-2026</t>
        </is>
      </c>
      <c r="B3064" s="1" t="n">
        <v>46053</v>
      </c>
      <c r="C3064" s="1" t="n">
        <v>46098</v>
      </c>
      <c r="D3064" t="inlineStr">
        <is>
          <t>UPPSALA LÄN</t>
        </is>
      </c>
      <c r="E3064" t="inlineStr">
        <is>
          <t>TIERP</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43713-2022</t>
        </is>
      </c>
      <c r="B3065" s="1" t="n">
        <v>44837.66217592593</v>
      </c>
      <c r="C3065" s="1" t="n">
        <v>46098</v>
      </c>
      <c r="D3065" t="inlineStr">
        <is>
          <t>UPPSALA LÄN</t>
        </is>
      </c>
      <c r="E3065" t="inlineStr">
        <is>
          <t>TIERP</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6031-2026</t>
        </is>
      </c>
      <c r="B3066" s="1" t="n">
        <v>46052.61201388889</v>
      </c>
      <c r="C3066" s="1" t="n">
        <v>46098</v>
      </c>
      <c r="D3066" t="inlineStr">
        <is>
          <t>UPPSALA LÄN</t>
        </is>
      </c>
      <c r="E3066" t="inlineStr">
        <is>
          <t>ENKÖPING</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6043-2026</t>
        </is>
      </c>
      <c r="B3067" s="1" t="n">
        <v>46052.62479166667</v>
      </c>
      <c r="C3067" s="1" t="n">
        <v>46098</v>
      </c>
      <c r="D3067" t="inlineStr">
        <is>
          <t>UPPSALA LÄN</t>
        </is>
      </c>
      <c r="E3067" t="inlineStr">
        <is>
          <t>HEBY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6044-2026</t>
        </is>
      </c>
      <c r="B3068" s="1" t="n">
        <v>46052.62506944445</v>
      </c>
      <c r="C3068" s="1" t="n">
        <v>46098</v>
      </c>
      <c r="D3068" t="inlineStr">
        <is>
          <t>UPPSALA LÄN</t>
        </is>
      </c>
      <c r="E3068" t="inlineStr">
        <is>
          <t>ENKÖPING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59116-2024</t>
        </is>
      </c>
      <c r="B3069" s="1" t="n">
        <v>45637</v>
      </c>
      <c r="C3069" s="1" t="n">
        <v>46098</v>
      </c>
      <c r="D3069" t="inlineStr">
        <is>
          <t>UPPSALA LÄN</t>
        </is>
      </c>
      <c r="E3069" t="inlineStr">
        <is>
          <t>UPPSALA</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6081-2026</t>
        </is>
      </c>
      <c r="B3070" s="1" t="n">
        <v>46052.67892361111</v>
      </c>
      <c r="C3070" s="1" t="n">
        <v>46098</v>
      </c>
      <c r="D3070" t="inlineStr">
        <is>
          <t>UPPSALA LÄN</t>
        </is>
      </c>
      <c r="E3070" t="inlineStr">
        <is>
          <t>TIERP</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43506-2023</t>
        </is>
      </c>
      <c r="B3071" s="1" t="n">
        <v>45181</v>
      </c>
      <c r="C3071" s="1" t="n">
        <v>46098</v>
      </c>
      <c r="D3071" t="inlineStr">
        <is>
          <t>UPPSALA LÄN</t>
        </is>
      </c>
      <c r="E3071" t="inlineStr">
        <is>
          <t>ENKÖPING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61615-2022</t>
        </is>
      </c>
      <c r="B3072" s="1" t="n">
        <v>44916.66769675926</v>
      </c>
      <c r="C3072" s="1" t="n">
        <v>46098</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13607-2026</t>
        </is>
      </c>
      <c r="B3073" s="1" t="n">
        <v>46097.33173611111</v>
      </c>
      <c r="C3073" s="1" t="n">
        <v>46098</v>
      </c>
      <c r="D3073" t="inlineStr">
        <is>
          <t>UPPSALA LÄN</t>
        </is>
      </c>
      <c r="E3073" t="inlineStr">
        <is>
          <t>UPPSALA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11555-2026</t>
        </is>
      </c>
      <c r="B3074" s="1" t="n">
        <v>46084</v>
      </c>
      <c r="C3074" s="1" t="n">
        <v>46098</v>
      </c>
      <c r="D3074" t="inlineStr">
        <is>
          <t>UPPSALA LÄN</t>
        </is>
      </c>
      <c r="E3074" t="inlineStr">
        <is>
          <t>HEBY</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1160-2024</t>
        </is>
      </c>
      <c r="B3075" s="1" t="n">
        <v>45302.52365740741</v>
      </c>
      <c r="C3075" s="1" t="n">
        <v>46098</v>
      </c>
      <c r="D3075" t="inlineStr">
        <is>
          <t>UPPSALA LÄN</t>
        </is>
      </c>
      <c r="E3075" t="inlineStr">
        <is>
          <t>HEBY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5908-2026</t>
        </is>
      </c>
      <c r="B3076" s="1" t="n">
        <v>46052.44399305555</v>
      </c>
      <c r="C3076" s="1" t="n">
        <v>46098</v>
      </c>
      <c r="D3076" t="inlineStr">
        <is>
          <t>UPPSALA LÄN</t>
        </is>
      </c>
      <c r="E3076" t="inlineStr">
        <is>
          <t>KNIVSTA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13799-2024</t>
        </is>
      </c>
      <c r="B3077" s="1" t="n">
        <v>45391.37361111111</v>
      </c>
      <c r="C3077" s="1" t="n">
        <v>46098</v>
      </c>
      <c r="D3077" t="inlineStr">
        <is>
          <t>UPPSALA LÄN</t>
        </is>
      </c>
      <c r="E3077" t="inlineStr">
        <is>
          <t>UPPSALA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13590-2026</t>
        </is>
      </c>
      <c r="B3078" s="1" t="n">
        <v>46096</v>
      </c>
      <c r="C3078" s="1" t="n">
        <v>46098</v>
      </c>
      <c r="D3078" t="inlineStr">
        <is>
          <t>UPPSALA LÄN</t>
        </is>
      </c>
      <c r="E3078" t="inlineStr">
        <is>
          <t>ENKÖPING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60584-2021</t>
        </is>
      </c>
      <c r="B3079" s="1" t="n">
        <v>44496</v>
      </c>
      <c r="C3079" s="1" t="n">
        <v>46098</v>
      </c>
      <c r="D3079" t="inlineStr">
        <is>
          <t>UPPSALA LÄN</t>
        </is>
      </c>
      <c r="E3079" t="inlineStr">
        <is>
          <t>ÖSTHAMMAR</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6497-2024</t>
        </is>
      </c>
      <c r="B3080" s="1" t="n">
        <v>45339.74579861111</v>
      </c>
      <c r="C3080" s="1" t="n">
        <v>46098</v>
      </c>
      <c r="D3080" t="inlineStr">
        <is>
          <t>UPPSALA LÄN</t>
        </is>
      </c>
      <c r="E3080" t="inlineStr">
        <is>
          <t>HEBY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5340-2024</t>
        </is>
      </c>
      <c r="B3081" s="1" t="n">
        <v>45331.44074074074</v>
      </c>
      <c r="C3081" s="1" t="n">
        <v>46098</v>
      </c>
      <c r="D3081" t="inlineStr">
        <is>
          <t>UPPSALA LÄN</t>
        </is>
      </c>
      <c r="E3081" t="inlineStr">
        <is>
          <t>HEBY</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6036-2026</t>
        </is>
      </c>
      <c r="B3082" s="1" t="n">
        <v>46052.61545138889</v>
      </c>
      <c r="C3082" s="1" t="n">
        <v>46098</v>
      </c>
      <c r="D3082" t="inlineStr">
        <is>
          <t>UPPSALA LÄN</t>
        </is>
      </c>
      <c r="E3082" t="inlineStr">
        <is>
          <t>TIERP</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5390-2024</t>
        </is>
      </c>
      <c r="B3083" s="1" t="n">
        <v>45331</v>
      </c>
      <c r="C3083" s="1" t="n">
        <v>46098</v>
      </c>
      <c r="D3083" t="inlineStr">
        <is>
          <t>UPPSALA LÄN</t>
        </is>
      </c>
      <c r="E3083" t="inlineStr">
        <is>
          <t>HEBY</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42772-2022</t>
        </is>
      </c>
      <c r="B3084" s="1" t="n">
        <v>44832.49594907407</v>
      </c>
      <c r="C3084" s="1" t="n">
        <v>46098</v>
      </c>
      <c r="D3084" t="inlineStr">
        <is>
          <t>UPPSALA LÄN</t>
        </is>
      </c>
      <c r="E3084" t="inlineStr">
        <is>
          <t>UPPSALA</t>
        </is>
      </c>
      <c r="G3084" t="n">
        <v>17.7</v>
      </c>
      <c r="H3084" t="n">
        <v>0</v>
      </c>
      <c r="I3084" t="n">
        <v>0</v>
      </c>
      <c r="J3084" t="n">
        <v>0</v>
      </c>
      <c r="K3084" t="n">
        <v>0</v>
      </c>
      <c r="L3084" t="n">
        <v>0</v>
      </c>
      <c r="M3084" t="n">
        <v>0</v>
      </c>
      <c r="N3084" t="n">
        <v>0</v>
      </c>
      <c r="O3084" t="n">
        <v>0</v>
      </c>
      <c r="P3084" t="n">
        <v>0</v>
      </c>
      <c r="Q3084" t="n">
        <v>0</v>
      </c>
      <c r="R3084" s="2" t="inlineStr"/>
    </row>
    <row r="3085" ht="15" customHeight="1">
      <c r="A3085" t="inlineStr">
        <is>
          <t>A 3376-2024</t>
        </is>
      </c>
      <c r="B3085" s="1" t="n">
        <v>45317</v>
      </c>
      <c r="C3085" s="1" t="n">
        <v>46098</v>
      </c>
      <c r="D3085" t="inlineStr">
        <is>
          <t>UPPSALA LÄN</t>
        </is>
      </c>
      <c r="E3085" t="inlineStr">
        <is>
          <t>HEBY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3377-2024</t>
        </is>
      </c>
      <c r="B3086" s="1" t="n">
        <v>45317</v>
      </c>
      <c r="C3086" s="1" t="n">
        <v>46098</v>
      </c>
      <c r="D3086" t="inlineStr">
        <is>
          <t>UPPSALA LÄN</t>
        </is>
      </c>
      <c r="E3086" t="inlineStr">
        <is>
          <t>HEBY</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13433-2026</t>
        </is>
      </c>
      <c r="B3087" s="1" t="n">
        <v>46094.48731481482</v>
      </c>
      <c r="C3087" s="1" t="n">
        <v>46098</v>
      </c>
      <c r="D3087" t="inlineStr">
        <is>
          <t>UPPSALA LÄN</t>
        </is>
      </c>
      <c r="E3087" t="inlineStr">
        <is>
          <t>UPPSALA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5814-2026</t>
        </is>
      </c>
      <c r="B3088" s="1" t="n">
        <v>46051.88001157407</v>
      </c>
      <c r="C3088" s="1" t="n">
        <v>46098</v>
      </c>
      <c r="D3088" t="inlineStr">
        <is>
          <t>UPPSALA LÄN</t>
        </is>
      </c>
      <c r="E3088" t="inlineStr">
        <is>
          <t>UPPSALA</t>
        </is>
      </c>
      <c r="F3088" t="inlineStr">
        <is>
          <t>Kommuner</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46186-2023</t>
        </is>
      </c>
      <c r="B3089" s="1" t="n">
        <v>45196</v>
      </c>
      <c r="C3089" s="1" t="n">
        <v>46098</v>
      </c>
      <c r="D3089" t="inlineStr">
        <is>
          <t>UPPSALA LÄN</t>
        </is>
      </c>
      <c r="E3089" t="inlineStr">
        <is>
          <t>ENKÖPING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13302-2026</t>
        </is>
      </c>
      <c r="B3090" s="1" t="n">
        <v>46094.3197337963</v>
      </c>
      <c r="C3090" s="1" t="n">
        <v>46098</v>
      </c>
      <c r="D3090" t="inlineStr">
        <is>
          <t>UPPSALA LÄN</t>
        </is>
      </c>
      <c r="E3090" t="inlineStr">
        <is>
          <t>HEBY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5953-2026</t>
        </is>
      </c>
      <c r="B3091" s="1" t="n">
        <v>46052.49119212963</v>
      </c>
      <c r="C3091" s="1" t="n">
        <v>46098</v>
      </c>
      <c r="D3091" t="inlineStr">
        <is>
          <t>UPPSALA LÄN</t>
        </is>
      </c>
      <c r="E3091" t="inlineStr">
        <is>
          <t>ENKÖPING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44152-2024</t>
        </is>
      </c>
      <c r="B3092" s="1" t="n">
        <v>45572</v>
      </c>
      <c r="C3092" s="1" t="n">
        <v>46098</v>
      </c>
      <c r="D3092" t="inlineStr">
        <is>
          <t>UPPSALA LÄN</t>
        </is>
      </c>
      <c r="E3092" t="inlineStr">
        <is>
          <t>ÖSTHAMMAR</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54595-2021</t>
        </is>
      </c>
      <c r="B3093" s="1" t="n">
        <v>44473.58824074074</v>
      </c>
      <c r="C3093" s="1" t="n">
        <v>46098</v>
      </c>
      <c r="D3093" t="inlineStr">
        <is>
          <t>UPPSALA LÄN</t>
        </is>
      </c>
      <c r="E3093" t="inlineStr">
        <is>
          <t>ENKÖPING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54588-2024</t>
        </is>
      </c>
      <c r="B3094" s="1" t="n">
        <v>45617</v>
      </c>
      <c r="C3094" s="1" t="n">
        <v>46098</v>
      </c>
      <c r="D3094" t="inlineStr">
        <is>
          <t>UPPSALA LÄN</t>
        </is>
      </c>
      <c r="E3094" t="inlineStr">
        <is>
          <t>ENKÖPING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54594-2024</t>
        </is>
      </c>
      <c r="B3095" s="1" t="n">
        <v>45617</v>
      </c>
      <c r="C3095" s="1" t="n">
        <v>46098</v>
      </c>
      <c r="D3095" t="inlineStr">
        <is>
          <t>UPPSALA LÄN</t>
        </is>
      </c>
      <c r="E3095" t="inlineStr">
        <is>
          <t>HEBY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13703-2026</t>
        </is>
      </c>
      <c r="B3096" s="1" t="n">
        <v>46097.56766203704</v>
      </c>
      <c r="C3096" s="1" t="n">
        <v>46098</v>
      </c>
      <c r="D3096" t="inlineStr">
        <is>
          <t>UPPSALA LÄN</t>
        </is>
      </c>
      <c r="E3096" t="inlineStr">
        <is>
          <t>ÖSTHAMMAR</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3261-2024</t>
        </is>
      </c>
      <c r="B3097" s="1" t="n">
        <v>45317</v>
      </c>
      <c r="C3097" s="1" t="n">
        <v>46098</v>
      </c>
      <c r="D3097" t="inlineStr">
        <is>
          <t>UPPSALA LÄN</t>
        </is>
      </c>
      <c r="E3097" t="inlineStr">
        <is>
          <t>UPPSALA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5910-2026</t>
        </is>
      </c>
      <c r="B3098" s="1" t="n">
        <v>46052.44677083333</v>
      </c>
      <c r="C3098" s="1" t="n">
        <v>46098</v>
      </c>
      <c r="D3098" t="inlineStr">
        <is>
          <t>UPPSALA LÄN</t>
        </is>
      </c>
      <c r="E3098" t="inlineStr">
        <is>
          <t>KNIVSTA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14241-2024</t>
        </is>
      </c>
      <c r="B3099" s="1" t="n">
        <v>45393</v>
      </c>
      <c r="C3099" s="1" t="n">
        <v>46098</v>
      </c>
      <c r="D3099" t="inlineStr">
        <is>
          <t>UPPSALA LÄN</t>
        </is>
      </c>
      <c r="E3099" t="inlineStr">
        <is>
          <t>TIERP</t>
        </is>
      </c>
      <c r="F3099" t="inlineStr">
        <is>
          <t>Bergvik skog öst AB</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6047-2026</t>
        </is>
      </c>
      <c r="B3100" s="1" t="n">
        <v>46052.62738425926</v>
      </c>
      <c r="C3100" s="1" t="n">
        <v>46098</v>
      </c>
      <c r="D3100" t="inlineStr">
        <is>
          <t>UPPSALA LÄN</t>
        </is>
      </c>
      <c r="E3100" t="inlineStr">
        <is>
          <t>ENKÖPING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6139-2026</t>
        </is>
      </c>
      <c r="B3101" s="1" t="n">
        <v>46054.72121527778</v>
      </c>
      <c r="C3101" s="1" t="n">
        <v>46098</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6041-2026</t>
        </is>
      </c>
      <c r="B3102" s="1" t="n">
        <v>46052.62184027778</v>
      </c>
      <c r="C3102" s="1" t="n">
        <v>46098</v>
      </c>
      <c r="D3102" t="inlineStr">
        <is>
          <t>UPPSALA LÄN</t>
        </is>
      </c>
      <c r="E3102" t="inlineStr">
        <is>
          <t>ENKÖPING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48856-2024</t>
        </is>
      </c>
      <c r="B3103" s="1" t="n">
        <v>45593</v>
      </c>
      <c r="C3103" s="1" t="n">
        <v>46098</v>
      </c>
      <c r="D3103" t="inlineStr">
        <is>
          <t>UPPSALA LÄN</t>
        </is>
      </c>
      <c r="E3103" t="inlineStr">
        <is>
          <t>ÖSTHAMMAR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13404-2026</t>
        </is>
      </c>
      <c r="B3104" s="1" t="n">
        <v>46094.45079861111</v>
      </c>
      <c r="C3104" s="1" t="n">
        <v>46098</v>
      </c>
      <c r="D3104" t="inlineStr">
        <is>
          <t>UPPSALA LÄN</t>
        </is>
      </c>
      <c r="E3104" t="inlineStr">
        <is>
          <t>UPPSALA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8856-2022</t>
        </is>
      </c>
      <c r="B3105" s="1" t="n">
        <v>44614.54268518519</v>
      </c>
      <c r="C3105" s="1" t="n">
        <v>46098</v>
      </c>
      <c r="D3105" t="inlineStr">
        <is>
          <t>UPPSALA LÄN</t>
        </is>
      </c>
      <c r="E3105" t="inlineStr">
        <is>
          <t>HEBY</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47390-2023</t>
        </is>
      </c>
      <c r="B3106" s="1" t="n">
        <v>45202</v>
      </c>
      <c r="C3106" s="1" t="n">
        <v>46098</v>
      </c>
      <c r="D3106" t="inlineStr">
        <is>
          <t>UPPSALA LÄN</t>
        </is>
      </c>
      <c r="E3106" t="inlineStr">
        <is>
          <t>ÖSTHAMMAR</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47428-2023</t>
        </is>
      </c>
      <c r="B3107" s="1" t="n">
        <v>45202.66664351852</v>
      </c>
      <c r="C3107" s="1" t="n">
        <v>46098</v>
      </c>
      <c r="D3107" t="inlineStr">
        <is>
          <t>UPPSALA LÄN</t>
        </is>
      </c>
      <c r="E3107" t="inlineStr">
        <is>
          <t>ENKÖPING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5966-2026</t>
        </is>
      </c>
      <c r="B3108" s="1" t="n">
        <v>46052.53197916667</v>
      </c>
      <c r="C3108" s="1" t="n">
        <v>46098</v>
      </c>
      <c r="D3108" t="inlineStr">
        <is>
          <t>UPPSALA LÄN</t>
        </is>
      </c>
      <c r="E3108" t="inlineStr">
        <is>
          <t>HEBY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6707-2026</t>
        </is>
      </c>
      <c r="B3109" s="1" t="n">
        <v>46053</v>
      </c>
      <c r="C3109" s="1" t="n">
        <v>46098</v>
      </c>
      <c r="D3109" t="inlineStr">
        <is>
          <t>UPPSALA LÄN</t>
        </is>
      </c>
      <c r="E3109" t="inlineStr">
        <is>
          <t>TIERP</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6410-2026</t>
        </is>
      </c>
      <c r="B3110" s="1" t="n">
        <v>46055.67453703703</v>
      </c>
      <c r="C3110" s="1" t="n">
        <v>46098</v>
      </c>
      <c r="D3110" t="inlineStr">
        <is>
          <t>UPPSALA LÄN</t>
        </is>
      </c>
      <c r="E3110" t="inlineStr">
        <is>
          <t>TIERP</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6417-2026</t>
        </is>
      </c>
      <c r="B3111" s="1" t="n">
        <v>46055.68753472222</v>
      </c>
      <c r="C3111" s="1" t="n">
        <v>46098</v>
      </c>
      <c r="D3111" t="inlineStr">
        <is>
          <t>UPPSALA LÄN</t>
        </is>
      </c>
      <c r="E3111" t="inlineStr">
        <is>
          <t>TIERP</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59489-2023</t>
        </is>
      </c>
      <c r="B3112" s="1" t="n">
        <v>45254</v>
      </c>
      <c r="C3112" s="1" t="n">
        <v>46098</v>
      </c>
      <c r="D3112" t="inlineStr">
        <is>
          <t>UPPSALA LÄN</t>
        </is>
      </c>
      <c r="E3112" t="inlineStr">
        <is>
          <t>UPPSALA</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18805-2025</t>
        </is>
      </c>
      <c r="B3113" s="1" t="n">
        <v>45763</v>
      </c>
      <c r="C3113" s="1" t="n">
        <v>46098</v>
      </c>
      <c r="D3113" t="inlineStr">
        <is>
          <t>UPPSALA LÄN</t>
        </is>
      </c>
      <c r="E3113" t="inlineStr">
        <is>
          <t>UPPSALA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5877-2023</t>
        </is>
      </c>
      <c r="B3114" s="1" t="n">
        <v>44963.62001157407</v>
      </c>
      <c r="C3114" s="1" t="n">
        <v>46098</v>
      </c>
      <c r="D3114" t="inlineStr">
        <is>
          <t>UPPSALA LÄN</t>
        </is>
      </c>
      <c r="E3114" t="inlineStr">
        <is>
          <t>ÖSTHAMMAR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5892-2023</t>
        </is>
      </c>
      <c r="B3115" s="1" t="n">
        <v>44963.64883101852</v>
      </c>
      <c r="C3115" s="1" t="n">
        <v>46098</v>
      </c>
      <c r="D3115" t="inlineStr">
        <is>
          <t>UPPSALA LÄN</t>
        </is>
      </c>
      <c r="E3115" t="inlineStr">
        <is>
          <t>ENKÖPING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33376-2024</t>
        </is>
      </c>
      <c r="B3116" s="1" t="n">
        <v>45519.44510416667</v>
      </c>
      <c r="C3116" s="1" t="n">
        <v>46098</v>
      </c>
      <c r="D3116" t="inlineStr">
        <is>
          <t>UPPSALA LÄN</t>
        </is>
      </c>
      <c r="E3116" t="inlineStr">
        <is>
          <t>HEBY</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33381-2024</t>
        </is>
      </c>
      <c r="B3117" s="1" t="n">
        <v>45519</v>
      </c>
      <c r="C3117" s="1" t="n">
        <v>46098</v>
      </c>
      <c r="D3117" t="inlineStr">
        <is>
          <t>UPPSALA LÄN</t>
        </is>
      </c>
      <c r="E3117" t="inlineStr">
        <is>
          <t>HEBY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47072-2024</t>
        </is>
      </c>
      <c r="B3118" s="1" t="n">
        <v>45586</v>
      </c>
      <c r="C3118" s="1" t="n">
        <v>46098</v>
      </c>
      <c r="D3118" t="inlineStr">
        <is>
          <t>UPPSALA LÄN</t>
        </is>
      </c>
      <c r="E3118" t="inlineStr">
        <is>
          <t>HEBY</t>
        </is>
      </c>
      <c r="F3118" t="inlineStr">
        <is>
          <t>Kyrkan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21000-2022</t>
        </is>
      </c>
      <c r="B3119" s="1" t="n">
        <v>44701</v>
      </c>
      <c r="C3119" s="1" t="n">
        <v>46098</v>
      </c>
      <c r="D3119" t="inlineStr">
        <is>
          <t>UPPSALA LÄN</t>
        </is>
      </c>
      <c r="E3119" t="inlineStr">
        <is>
          <t>HEBY</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52389-2022</t>
        </is>
      </c>
      <c r="B3120" s="1" t="n">
        <v>44874.38325231482</v>
      </c>
      <c r="C3120" s="1" t="n">
        <v>46098</v>
      </c>
      <c r="D3120" t="inlineStr">
        <is>
          <t>UPPSALA LÄN</t>
        </is>
      </c>
      <c r="E3120" t="inlineStr">
        <is>
          <t>ÖSTHAMMAR</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6364-2023</t>
        </is>
      </c>
      <c r="B3121" s="1" t="n">
        <v>44965.60422453703</v>
      </c>
      <c r="C3121" s="1" t="n">
        <v>46098</v>
      </c>
      <c r="D3121" t="inlineStr">
        <is>
          <t>UPPSALA LÄN</t>
        </is>
      </c>
      <c r="E3121" t="inlineStr">
        <is>
          <t>TIERP</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1032-2023</t>
        </is>
      </c>
      <c r="B3122" s="1" t="n">
        <v>44935</v>
      </c>
      <c r="C3122" s="1" t="n">
        <v>46098</v>
      </c>
      <c r="D3122" t="inlineStr">
        <is>
          <t>UPPSALA LÄN</t>
        </is>
      </c>
      <c r="E3122" t="inlineStr">
        <is>
          <t>UPPSALA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25033-2021</t>
        </is>
      </c>
      <c r="B3123" s="1" t="n">
        <v>44341.590625</v>
      </c>
      <c r="C3123" s="1" t="n">
        <v>46098</v>
      </c>
      <c r="D3123" t="inlineStr">
        <is>
          <t>UPPSALA LÄN</t>
        </is>
      </c>
      <c r="E3123" t="inlineStr">
        <is>
          <t>ÖSTHAMMAR</t>
        </is>
      </c>
      <c r="F3123" t="inlineStr">
        <is>
          <t>Bergvik skog öst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671-2022</t>
        </is>
      </c>
      <c r="B3124" s="1" t="n">
        <v>44568</v>
      </c>
      <c r="C3124" s="1" t="n">
        <v>46098</v>
      </c>
      <c r="D3124" t="inlineStr">
        <is>
          <t>UPPSALA LÄN</t>
        </is>
      </c>
      <c r="E3124" t="inlineStr">
        <is>
          <t>ENKÖPING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51576-2023</t>
        </is>
      </c>
      <c r="B3125" s="1" t="n">
        <v>45222</v>
      </c>
      <c r="C3125" s="1" t="n">
        <v>46098</v>
      </c>
      <c r="D3125" t="inlineStr">
        <is>
          <t>UPPSALA LÄN</t>
        </is>
      </c>
      <c r="E3125" t="inlineStr">
        <is>
          <t>UPPSALA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12809-2025</t>
        </is>
      </c>
      <c r="B3126" s="1" t="n">
        <v>45733.6156712963</v>
      </c>
      <c r="C3126" s="1" t="n">
        <v>46098</v>
      </c>
      <c r="D3126" t="inlineStr">
        <is>
          <t>UPPSALA LÄN</t>
        </is>
      </c>
      <c r="E3126" t="inlineStr">
        <is>
          <t>TIERP</t>
        </is>
      </c>
      <c r="F3126" t="inlineStr">
        <is>
          <t>Bergvik skog väst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14516-2025</t>
        </is>
      </c>
      <c r="B3127" s="1" t="n">
        <v>45741.6415162037</v>
      </c>
      <c r="C3127" s="1" t="n">
        <v>46098</v>
      </c>
      <c r="D3127" t="inlineStr">
        <is>
          <t>UPPSALA LÄN</t>
        </is>
      </c>
      <c r="E3127" t="inlineStr">
        <is>
          <t>TIERP</t>
        </is>
      </c>
      <c r="F3127" t="inlineStr">
        <is>
          <t>Bergvik skog väst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50267-2023</t>
        </is>
      </c>
      <c r="B3128" s="1" t="n">
        <v>45216.39040509259</v>
      </c>
      <c r="C3128" s="1" t="n">
        <v>46098</v>
      </c>
      <c r="D3128" t="inlineStr">
        <is>
          <t>UPPSALA LÄN</t>
        </is>
      </c>
      <c r="E3128" t="inlineStr">
        <is>
          <t>UPPSALA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43488-2023</t>
        </is>
      </c>
      <c r="B3129" s="1" t="n">
        <v>45181</v>
      </c>
      <c r="C3129" s="1" t="n">
        <v>46098</v>
      </c>
      <c r="D3129" t="inlineStr">
        <is>
          <t>UPPSALA LÄN</t>
        </is>
      </c>
      <c r="E3129" t="inlineStr">
        <is>
          <t>ENKÖPING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57453-2022</t>
        </is>
      </c>
      <c r="B3130" s="1" t="n">
        <v>44896.56266203704</v>
      </c>
      <c r="C3130" s="1" t="n">
        <v>46098</v>
      </c>
      <c r="D3130" t="inlineStr">
        <is>
          <t>UPPSALA LÄN</t>
        </is>
      </c>
      <c r="E3130" t="inlineStr">
        <is>
          <t>ÖSTHAMMAR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57462-2022</t>
        </is>
      </c>
      <c r="B3131" s="1" t="n">
        <v>44896.57527777777</v>
      </c>
      <c r="C3131" s="1" t="n">
        <v>46098</v>
      </c>
      <c r="D3131" t="inlineStr">
        <is>
          <t>UPPSALA LÄN</t>
        </is>
      </c>
      <c r="E3131" t="inlineStr">
        <is>
          <t>ÖSTHAMMAR</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46512-2024</t>
        </is>
      </c>
      <c r="B3132" s="1" t="n">
        <v>45582.62050925926</v>
      </c>
      <c r="C3132" s="1" t="n">
        <v>46098</v>
      </c>
      <c r="D3132" t="inlineStr">
        <is>
          <t>UPPSALA LÄN</t>
        </is>
      </c>
      <c r="E3132" t="inlineStr">
        <is>
          <t>TIERP</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6039-2025</t>
        </is>
      </c>
      <c r="B3133" s="1" t="n">
        <v>45695</v>
      </c>
      <c r="C3133" s="1" t="n">
        <v>46098</v>
      </c>
      <c r="D3133" t="inlineStr">
        <is>
          <t>UPPSALA LÄN</t>
        </is>
      </c>
      <c r="E3133" t="inlineStr">
        <is>
          <t>ÖSTHAMMAR</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6058-2025</t>
        </is>
      </c>
      <c r="B3134" s="1" t="n">
        <v>45695.83655092592</v>
      </c>
      <c r="C3134" s="1" t="n">
        <v>46098</v>
      </c>
      <c r="D3134" t="inlineStr">
        <is>
          <t>UPPSALA LÄN</t>
        </is>
      </c>
      <c r="E3134" t="inlineStr">
        <is>
          <t>UPPSALA</t>
        </is>
      </c>
      <c r="F3134" t="inlineStr">
        <is>
          <t>Bergvik skog öst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49946-2022</t>
        </is>
      </c>
      <c r="B3135" s="1" t="n">
        <v>44865</v>
      </c>
      <c r="C3135" s="1" t="n">
        <v>46098</v>
      </c>
      <c r="D3135" t="inlineStr">
        <is>
          <t>UPPSALA LÄN</t>
        </is>
      </c>
      <c r="E3135" t="inlineStr">
        <is>
          <t>TIERP</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21017-2022</t>
        </is>
      </c>
      <c r="B3136" s="1" t="n">
        <v>44704</v>
      </c>
      <c r="C3136" s="1" t="n">
        <v>46098</v>
      </c>
      <c r="D3136" t="inlineStr">
        <is>
          <t>UPPSALA LÄN</t>
        </is>
      </c>
      <c r="E3136" t="inlineStr">
        <is>
          <t>TIERP</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21034-2022</t>
        </is>
      </c>
      <c r="B3137" s="1" t="n">
        <v>44704.40528935185</v>
      </c>
      <c r="C3137" s="1" t="n">
        <v>46098</v>
      </c>
      <c r="D3137" t="inlineStr">
        <is>
          <t>UPPSALA LÄN</t>
        </is>
      </c>
      <c r="E3137" t="inlineStr">
        <is>
          <t>TIERP</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9171-2024</t>
        </is>
      </c>
      <c r="B3138" s="1" t="n">
        <v>45358</v>
      </c>
      <c r="C3138" s="1" t="n">
        <v>46098</v>
      </c>
      <c r="D3138" t="inlineStr">
        <is>
          <t>UPPSALA LÄN</t>
        </is>
      </c>
      <c r="E3138" t="inlineStr">
        <is>
          <t>ENKÖPING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46550-2024</t>
        </is>
      </c>
      <c r="B3139" s="1" t="n">
        <v>45582.66524305556</v>
      </c>
      <c r="C3139" s="1" t="n">
        <v>46098</v>
      </c>
      <c r="D3139" t="inlineStr">
        <is>
          <t>UPPSALA LÄN</t>
        </is>
      </c>
      <c r="E3139" t="inlineStr">
        <is>
          <t>TIERP</t>
        </is>
      </c>
      <c r="F3139" t="inlineStr">
        <is>
          <t>Bergvik skog öst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9675-2023</t>
        </is>
      </c>
      <c r="B3140" s="1" t="n">
        <v>44984.43454861111</v>
      </c>
      <c r="C3140" s="1" t="n">
        <v>46098</v>
      </c>
      <c r="D3140" t="inlineStr">
        <is>
          <t>UPPSALA LÄN</t>
        </is>
      </c>
      <c r="E3140" t="inlineStr">
        <is>
          <t>HEBY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13509-2025</t>
        </is>
      </c>
      <c r="B3141" s="1" t="n">
        <v>45736.46944444445</v>
      </c>
      <c r="C3141" s="1" t="n">
        <v>46098</v>
      </c>
      <c r="D3141" t="inlineStr">
        <is>
          <t>UPPSALA LÄN</t>
        </is>
      </c>
      <c r="E3141" t="inlineStr">
        <is>
          <t>TIERP</t>
        </is>
      </c>
      <c r="F3141" t="inlineStr">
        <is>
          <t>Bergvik skog väst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59358-2024</t>
        </is>
      </c>
      <c r="B3142" s="1" t="n">
        <v>45638</v>
      </c>
      <c r="C3142" s="1" t="n">
        <v>46098</v>
      </c>
      <c r="D3142" t="inlineStr">
        <is>
          <t>UPPSALA LÄN</t>
        </is>
      </c>
      <c r="E3142" t="inlineStr">
        <is>
          <t>UPPSALA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33680-2023</t>
        </is>
      </c>
      <c r="B3143" s="1" t="n">
        <v>45119</v>
      </c>
      <c r="C3143" s="1" t="n">
        <v>46098</v>
      </c>
      <c r="D3143" t="inlineStr">
        <is>
          <t>UPPSALA LÄN</t>
        </is>
      </c>
      <c r="E3143" t="inlineStr">
        <is>
          <t>HEBY</t>
        </is>
      </c>
      <c r="F3143" t="inlineStr">
        <is>
          <t>Bergvik skog väst AB</t>
        </is>
      </c>
      <c r="G3143" t="n">
        <v>66.90000000000001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33703-2023</t>
        </is>
      </c>
      <c r="B3144" s="1" t="n">
        <v>45132.77611111111</v>
      </c>
      <c r="C3144" s="1" t="n">
        <v>46098</v>
      </c>
      <c r="D3144" t="inlineStr">
        <is>
          <t>UPPSALA LÄN</t>
        </is>
      </c>
      <c r="E3144" t="inlineStr">
        <is>
          <t>HEBY</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6882-2024</t>
        </is>
      </c>
      <c r="B3145" s="1" t="n">
        <v>45342.88319444445</v>
      </c>
      <c r="C3145" s="1" t="n">
        <v>46098</v>
      </c>
      <c r="D3145" t="inlineStr">
        <is>
          <t>UPPSALA LÄN</t>
        </is>
      </c>
      <c r="E3145" t="inlineStr">
        <is>
          <t>HEBY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6885-2024</t>
        </is>
      </c>
      <c r="B3146" s="1" t="n">
        <v>45342.88614583333</v>
      </c>
      <c r="C3146" s="1" t="n">
        <v>46098</v>
      </c>
      <c r="D3146" t="inlineStr">
        <is>
          <t>UPPSALA LÄN</t>
        </is>
      </c>
      <c r="E3146" t="inlineStr">
        <is>
          <t>HEBY</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17232-2022</t>
        </is>
      </c>
      <c r="B3147" s="1" t="n">
        <v>44678.3315625</v>
      </c>
      <c r="C3147" s="1" t="n">
        <v>46098</v>
      </c>
      <c r="D3147" t="inlineStr">
        <is>
          <t>UPPSALA LÄN</t>
        </is>
      </c>
      <c r="E3147" t="inlineStr">
        <is>
          <t>UPPSALA</t>
        </is>
      </c>
      <c r="F3147" t="inlineStr">
        <is>
          <t>Övriga Aktiebolag</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61805-2021</t>
        </is>
      </c>
      <c r="B3148" s="1" t="n">
        <v>44501.71344907407</v>
      </c>
      <c r="C3148" s="1" t="n">
        <v>46098</v>
      </c>
      <c r="D3148" t="inlineStr">
        <is>
          <t>UPPSALA LÄN</t>
        </is>
      </c>
      <c r="E3148" t="inlineStr">
        <is>
          <t>UPPSALA</t>
        </is>
      </c>
      <c r="F3148" t="inlineStr">
        <is>
          <t>Bergvik skog öst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51364-2021</t>
        </is>
      </c>
      <c r="B3149" s="1" t="n">
        <v>44461</v>
      </c>
      <c r="C3149" s="1" t="n">
        <v>46098</v>
      </c>
      <c r="D3149" t="inlineStr">
        <is>
          <t>UPPSALA LÄN</t>
        </is>
      </c>
      <c r="E3149" t="inlineStr">
        <is>
          <t>ÖSTHAMMAR</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4312-2022</t>
        </is>
      </c>
      <c r="B3150" s="1" t="n">
        <v>44588</v>
      </c>
      <c r="C3150" s="1" t="n">
        <v>46098</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60814-2023</t>
        </is>
      </c>
      <c r="B3151" s="1" t="n">
        <v>45259</v>
      </c>
      <c r="C3151" s="1" t="n">
        <v>46098</v>
      </c>
      <c r="D3151" t="inlineStr">
        <is>
          <t>UPPSALA LÄN</t>
        </is>
      </c>
      <c r="E3151" t="inlineStr">
        <is>
          <t>UPPSALA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60123-2024</t>
        </is>
      </c>
      <c r="B3152" s="1" t="n">
        <v>45642.58673611111</v>
      </c>
      <c r="C3152" s="1" t="n">
        <v>46098</v>
      </c>
      <c r="D3152" t="inlineStr">
        <is>
          <t>UPPSALA LÄN</t>
        </is>
      </c>
      <c r="E3152" t="inlineStr">
        <is>
          <t>TIERP</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34198-2023</t>
        </is>
      </c>
      <c r="B3153" s="1" t="n">
        <v>45138</v>
      </c>
      <c r="C3153" s="1" t="n">
        <v>46098</v>
      </c>
      <c r="D3153" t="inlineStr">
        <is>
          <t>UPPSALA LÄN</t>
        </is>
      </c>
      <c r="E3153" t="inlineStr">
        <is>
          <t>TIERP</t>
        </is>
      </c>
      <c r="F3153" t="inlineStr">
        <is>
          <t>Bergvik skog öst AB</t>
        </is>
      </c>
      <c r="G3153" t="n">
        <v>11.5</v>
      </c>
      <c r="H3153" t="n">
        <v>0</v>
      </c>
      <c r="I3153" t="n">
        <v>0</v>
      </c>
      <c r="J3153" t="n">
        <v>0</v>
      </c>
      <c r="K3153" t="n">
        <v>0</v>
      </c>
      <c r="L3153" t="n">
        <v>0</v>
      </c>
      <c r="M3153" t="n">
        <v>0</v>
      </c>
      <c r="N3153" t="n">
        <v>0</v>
      </c>
      <c r="O3153" t="n">
        <v>0</v>
      </c>
      <c r="P3153" t="n">
        <v>0</v>
      </c>
      <c r="Q3153" t="n">
        <v>0</v>
      </c>
      <c r="R3153" s="2" t="inlineStr"/>
    </row>
    <row r="3154" ht="15" customHeight="1">
      <c r="A3154" t="inlineStr">
        <is>
          <t>A 43230-2023</t>
        </is>
      </c>
      <c r="B3154" s="1" t="n">
        <v>45183</v>
      </c>
      <c r="C3154" s="1" t="n">
        <v>46098</v>
      </c>
      <c r="D3154" t="inlineStr">
        <is>
          <t>UPPSALA LÄN</t>
        </is>
      </c>
      <c r="E3154" t="inlineStr">
        <is>
          <t>ENKÖPING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53963-2023</t>
        </is>
      </c>
      <c r="B3155" s="1" t="n">
        <v>45231.62840277778</v>
      </c>
      <c r="C3155" s="1" t="n">
        <v>46098</v>
      </c>
      <c r="D3155" t="inlineStr">
        <is>
          <t>UPPSALA LÄN</t>
        </is>
      </c>
      <c r="E3155" t="inlineStr">
        <is>
          <t>UPPSALA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45362-2022</t>
        </is>
      </c>
      <c r="B3156" s="1" t="n">
        <v>44844.62366898148</v>
      </c>
      <c r="C3156" s="1" t="n">
        <v>46098</v>
      </c>
      <c r="D3156" t="inlineStr">
        <is>
          <t>UPPSALA LÄN</t>
        </is>
      </c>
      <c r="E3156" t="inlineStr">
        <is>
          <t>ENKÖPING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30297-2021</t>
        </is>
      </c>
      <c r="B3157" s="1" t="n">
        <v>44364</v>
      </c>
      <c r="C3157" s="1" t="n">
        <v>46098</v>
      </c>
      <c r="D3157" t="inlineStr">
        <is>
          <t>UPPSALA LÄN</t>
        </is>
      </c>
      <c r="E3157" t="inlineStr">
        <is>
          <t>HEBY</t>
        </is>
      </c>
      <c r="F3157" t="inlineStr">
        <is>
          <t>Övriga Aktiebolag</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72840-2021</t>
        </is>
      </c>
      <c r="B3158" s="1" t="n">
        <v>44547</v>
      </c>
      <c r="C3158" s="1" t="n">
        <v>46098</v>
      </c>
      <c r="D3158" t="inlineStr">
        <is>
          <t>UPPSALA LÄN</t>
        </is>
      </c>
      <c r="E3158" t="inlineStr">
        <is>
          <t>ENKÖPING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7501-2025</t>
        </is>
      </c>
      <c r="B3159" s="1" t="n">
        <v>45705</v>
      </c>
      <c r="C3159" s="1" t="n">
        <v>46098</v>
      </c>
      <c r="D3159" t="inlineStr">
        <is>
          <t>UPPSALA LÄN</t>
        </is>
      </c>
      <c r="E3159" t="inlineStr">
        <is>
          <t>UPPSALA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60444-2023</t>
        </is>
      </c>
      <c r="B3160" s="1" t="n">
        <v>45259.52809027778</v>
      </c>
      <c r="C3160" s="1" t="n">
        <v>46098</v>
      </c>
      <c r="D3160" t="inlineStr">
        <is>
          <t>UPPSALA LÄN</t>
        </is>
      </c>
      <c r="E3160" t="inlineStr">
        <is>
          <t>UPPSALA</t>
        </is>
      </c>
      <c r="F3160" t="inlineStr">
        <is>
          <t>Bergvik skog öst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43915-2023</t>
        </is>
      </c>
      <c r="B3161" s="1" t="n">
        <v>45187.71274305556</v>
      </c>
      <c r="C3161" s="1" t="n">
        <v>46098</v>
      </c>
      <c r="D3161" t="inlineStr">
        <is>
          <t>UPPSALA LÄN</t>
        </is>
      </c>
      <c r="E3161" t="inlineStr">
        <is>
          <t>ÖSTHAMMAR</t>
        </is>
      </c>
      <c r="F3161" t="inlineStr">
        <is>
          <t>Bergvik skog öst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32665-2023</t>
        </is>
      </c>
      <c r="B3162" s="1" t="n">
        <v>45121.63271990741</v>
      </c>
      <c r="C3162" s="1" t="n">
        <v>46098</v>
      </c>
      <c r="D3162" t="inlineStr">
        <is>
          <t>UPPSALA LÄN</t>
        </is>
      </c>
      <c r="E3162" t="inlineStr">
        <is>
          <t>TIERP</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19501-2025</t>
        </is>
      </c>
      <c r="B3163" s="1" t="n">
        <v>45770.4015625</v>
      </c>
      <c r="C3163" s="1" t="n">
        <v>46098</v>
      </c>
      <c r="D3163" t="inlineStr">
        <is>
          <t>UPPSALA LÄN</t>
        </is>
      </c>
      <c r="E3163" t="inlineStr">
        <is>
          <t>ÖSTHAMMAR</t>
        </is>
      </c>
      <c r="F3163" t="inlineStr">
        <is>
          <t>Övriga Aktiebolag</t>
        </is>
      </c>
      <c r="G3163" t="n">
        <v>17.3</v>
      </c>
      <c r="H3163" t="n">
        <v>0</v>
      </c>
      <c r="I3163" t="n">
        <v>0</v>
      </c>
      <c r="J3163" t="n">
        <v>0</v>
      </c>
      <c r="K3163" t="n">
        <v>0</v>
      </c>
      <c r="L3163" t="n">
        <v>0</v>
      </c>
      <c r="M3163" t="n">
        <v>0</v>
      </c>
      <c r="N3163" t="n">
        <v>0</v>
      </c>
      <c r="O3163" t="n">
        <v>0</v>
      </c>
      <c r="P3163" t="n">
        <v>0</v>
      </c>
      <c r="Q3163" t="n">
        <v>0</v>
      </c>
      <c r="R3163" s="2" t="inlineStr"/>
    </row>
    <row r="3164" ht="15" customHeight="1">
      <c r="A3164" t="inlineStr">
        <is>
          <t>A 19523-2025</t>
        </is>
      </c>
      <c r="B3164" s="1" t="n">
        <v>45770.45944444444</v>
      </c>
      <c r="C3164" s="1" t="n">
        <v>46098</v>
      </c>
      <c r="D3164" t="inlineStr">
        <is>
          <t>UPPSALA LÄN</t>
        </is>
      </c>
      <c r="E3164" t="inlineStr">
        <is>
          <t>TIERP</t>
        </is>
      </c>
      <c r="F3164" t="inlineStr">
        <is>
          <t>Bergvik skog öst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3119-2025</t>
        </is>
      </c>
      <c r="B3165" s="1" t="n">
        <v>45678</v>
      </c>
      <c r="C3165" s="1" t="n">
        <v>46098</v>
      </c>
      <c r="D3165" t="inlineStr">
        <is>
          <t>UPPSALA LÄN</t>
        </is>
      </c>
      <c r="E3165" t="inlineStr">
        <is>
          <t>ÖSTHAMMAR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55423-2022</t>
        </is>
      </c>
      <c r="B3166" s="1" t="n">
        <v>44887</v>
      </c>
      <c r="C3166" s="1" t="n">
        <v>46098</v>
      </c>
      <c r="D3166" t="inlineStr">
        <is>
          <t>UPPSALA LÄN</t>
        </is>
      </c>
      <c r="E3166" t="inlineStr">
        <is>
          <t>TIERP</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59996-2024</t>
        </is>
      </c>
      <c r="B3167" s="1" t="n">
        <v>45642</v>
      </c>
      <c r="C3167" s="1" t="n">
        <v>46098</v>
      </c>
      <c r="D3167" t="inlineStr">
        <is>
          <t>UPPSALA LÄN</t>
        </is>
      </c>
      <c r="E3167" t="inlineStr">
        <is>
          <t>UPPSALA</t>
        </is>
      </c>
      <c r="F3167" t="inlineStr">
        <is>
          <t>Bergvik skog väst AB</t>
        </is>
      </c>
      <c r="G3167" t="n">
        <v>14.5</v>
      </c>
      <c r="H3167" t="n">
        <v>0</v>
      </c>
      <c r="I3167" t="n">
        <v>0</v>
      </c>
      <c r="J3167" t="n">
        <v>0</v>
      </c>
      <c r="K3167" t="n">
        <v>0</v>
      </c>
      <c r="L3167" t="n">
        <v>0</v>
      </c>
      <c r="M3167" t="n">
        <v>0</v>
      </c>
      <c r="N3167" t="n">
        <v>0</v>
      </c>
      <c r="O3167" t="n">
        <v>0</v>
      </c>
      <c r="P3167" t="n">
        <v>0</v>
      </c>
      <c r="Q3167" t="n">
        <v>0</v>
      </c>
      <c r="R3167" s="2" t="inlineStr"/>
    </row>
    <row r="3168" ht="15" customHeight="1">
      <c r="A3168" t="inlineStr">
        <is>
          <t>A 13644-2024</t>
        </is>
      </c>
      <c r="B3168" s="1" t="n">
        <v>45390</v>
      </c>
      <c r="C3168" s="1" t="n">
        <v>46098</v>
      </c>
      <c r="D3168" t="inlineStr">
        <is>
          <t>UPPSALA LÄN</t>
        </is>
      </c>
      <c r="E3168" t="inlineStr">
        <is>
          <t>UPPSALA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52252-2024</t>
        </is>
      </c>
      <c r="B3169" s="1" t="n">
        <v>45607</v>
      </c>
      <c r="C3169" s="1" t="n">
        <v>46098</v>
      </c>
      <c r="D3169" t="inlineStr">
        <is>
          <t>UPPSALA LÄN</t>
        </is>
      </c>
      <c r="E3169" t="inlineStr">
        <is>
          <t>HEBY</t>
        </is>
      </c>
      <c r="F3169" t="inlineStr">
        <is>
          <t>Bergvik skog väst AB</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44815-2023</t>
        </is>
      </c>
      <c r="B3170" s="1" t="n">
        <v>45190</v>
      </c>
      <c r="C3170" s="1" t="n">
        <v>46098</v>
      </c>
      <c r="D3170" t="inlineStr">
        <is>
          <t>UPPSALA LÄN</t>
        </is>
      </c>
      <c r="E3170" t="inlineStr">
        <is>
          <t>UPPSALA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28421-2023</t>
        </is>
      </c>
      <c r="B3171" s="1" t="n">
        <v>45102</v>
      </c>
      <c r="C3171" s="1" t="n">
        <v>46098</v>
      </c>
      <c r="D3171" t="inlineStr">
        <is>
          <t>UPPSALA LÄN</t>
        </is>
      </c>
      <c r="E3171" t="inlineStr">
        <is>
          <t>ÖSTHAMMAR</t>
        </is>
      </c>
      <c r="F3171" t="inlineStr">
        <is>
          <t>Bergvik skog öst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17931-2025</t>
        </is>
      </c>
      <c r="B3172" s="1" t="n">
        <v>45759.56894675926</v>
      </c>
      <c r="C3172" s="1" t="n">
        <v>46098</v>
      </c>
      <c r="D3172" t="inlineStr">
        <is>
          <t>UPPSALA LÄN</t>
        </is>
      </c>
      <c r="E3172" t="inlineStr">
        <is>
          <t>ÖSTHAMMAR</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17938-2025</t>
        </is>
      </c>
      <c r="B3173" s="1" t="n">
        <v>45760.55626157407</v>
      </c>
      <c r="C3173" s="1" t="n">
        <v>46098</v>
      </c>
      <c r="D3173" t="inlineStr">
        <is>
          <t>UPPSALA LÄN</t>
        </is>
      </c>
      <c r="E3173" t="inlineStr">
        <is>
          <t>ÖSTHAMMAR</t>
        </is>
      </c>
      <c r="F3173" t="inlineStr">
        <is>
          <t>Bergvik skog öst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20102-2023</t>
        </is>
      </c>
      <c r="B3174" s="1" t="n">
        <v>45054.95675925926</v>
      </c>
      <c r="C3174" s="1" t="n">
        <v>46098</v>
      </c>
      <c r="D3174" t="inlineStr">
        <is>
          <t>UPPSALA LÄN</t>
        </is>
      </c>
      <c r="E3174" t="inlineStr">
        <is>
          <t>UPPSALA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34617-2022</t>
        </is>
      </c>
      <c r="B3175" s="1" t="n">
        <v>44795</v>
      </c>
      <c r="C3175" s="1" t="n">
        <v>46098</v>
      </c>
      <c r="D3175" t="inlineStr">
        <is>
          <t>UPPSALA LÄN</t>
        </is>
      </c>
      <c r="E3175" t="inlineStr">
        <is>
          <t>ENKÖPING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1975-2022</t>
        </is>
      </c>
      <c r="B3176" s="1" t="n">
        <v>44575</v>
      </c>
      <c r="C3176" s="1" t="n">
        <v>46098</v>
      </c>
      <c r="D3176" t="inlineStr">
        <is>
          <t>UPPSALA LÄN</t>
        </is>
      </c>
      <c r="E3176" t="inlineStr">
        <is>
          <t>UPPSALA</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1992-2022</t>
        </is>
      </c>
      <c r="B3177" s="1" t="n">
        <v>44575.56153935185</v>
      </c>
      <c r="C3177" s="1" t="n">
        <v>46098</v>
      </c>
      <c r="D3177" t="inlineStr">
        <is>
          <t>UPPSALA LÄN</t>
        </is>
      </c>
      <c r="E3177" t="inlineStr">
        <is>
          <t>ENKÖPING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11568-2023</t>
        </is>
      </c>
      <c r="B3178" s="1" t="n">
        <v>44994</v>
      </c>
      <c r="C3178" s="1" t="n">
        <v>46098</v>
      </c>
      <c r="D3178" t="inlineStr">
        <is>
          <t>UPPSALA LÄN</t>
        </is>
      </c>
      <c r="E3178" t="inlineStr">
        <is>
          <t>UPPSALA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18583-2021</t>
        </is>
      </c>
      <c r="B3179" s="1" t="n">
        <v>44306</v>
      </c>
      <c r="C3179" s="1" t="n">
        <v>46098</v>
      </c>
      <c r="D3179" t="inlineStr">
        <is>
          <t>UPPSALA LÄN</t>
        </is>
      </c>
      <c r="E3179" t="inlineStr">
        <is>
          <t>ENKÖPING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1695-2025</t>
        </is>
      </c>
      <c r="B3180" s="1" t="n">
        <v>45670</v>
      </c>
      <c r="C3180" s="1" t="n">
        <v>46098</v>
      </c>
      <c r="D3180" t="inlineStr">
        <is>
          <t>UPPSALA LÄN</t>
        </is>
      </c>
      <c r="E3180" t="inlineStr">
        <is>
          <t>ENKÖPING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17562-2022</t>
        </is>
      </c>
      <c r="B3181" s="1" t="n">
        <v>44679.68706018518</v>
      </c>
      <c r="C3181" s="1" t="n">
        <v>46098</v>
      </c>
      <c r="D3181" t="inlineStr">
        <is>
          <t>UPPSALA LÄN</t>
        </is>
      </c>
      <c r="E3181" t="inlineStr">
        <is>
          <t>UPPSALA</t>
        </is>
      </c>
      <c r="F3181" t="inlineStr">
        <is>
          <t>Bergvik skog öst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8763-2025</t>
        </is>
      </c>
      <c r="B3182" s="1" t="n">
        <v>45712.57872685185</v>
      </c>
      <c r="C3182" s="1" t="n">
        <v>46098</v>
      </c>
      <c r="D3182" t="inlineStr">
        <is>
          <t>UPPSALA LÄN</t>
        </is>
      </c>
      <c r="E3182" t="inlineStr">
        <is>
          <t>ÖSTHAMMAR</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63649-2023</t>
        </is>
      </c>
      <c r="B3183" s="1" t="n">
        <v>45275.59357638889</v>
      </c>
      <c r="C3183" s="1" t="n">
        <v>46098</v>
      </c>
      <c r="D3183" t="inlineStr">
        <is>
          <t>UPPSALA LÄN</t>
        </is>
      </c>
      <c r="E3183" t="inlineStr">
        <is>
          <t>TIERP</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60445-2024</t>
        </is>
      </c>
      <c r="B3184" s="1" t="n">
        <v>45643</v>
      </c>
      <c r="C3184" s="1" t="n">
        <v>46098</v>
      </c>
      <c r="D3184" t="inlineStr">
        <is>
          <t>UPPSALA LÄN</t>
        </is>
      </c>
      <c r="E3184" t="inlineStr">
        <is>
          <t>UPPSALA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2487-2025</t>
        </is>
      </c>
      <c r="B3185" s="1" t="n">
        <v>45674</v>
      </c>
      <c r="C3185" s="1" t="n">
        <v>46098</v>
      </c>
      <c r="D3185" t="inlineStr">
        <is>
          <t>UPPSALA LÄN</t>
        </is>
      </c>
      <c r="E3185" t="inlineStr">
        <is>
          <t>HEBY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25776-2022</t>
        </is>
      </c>
      <c r="B3186" s="1" t="n">
        <v>44733</v>
      </c>
      <c r="C3186" s="1" t="n">
        <v>46098</v>
      </c>
      <c r="D3186" t="inlineStr">
        <is>
          <t>UPPSALA LÄN</t>
        </is>
      </c>
      <c r="E3186" t="inlineStr">
        <is>
          <t>UPPSALA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54357-2023</t>
        </is>
      </c>
      <c r="B3187" s="1" t="n">
        <v>45225</v>
      </c>
      <c r="C3187" s="1" t="n">
        <v>46098</v>
      </c>
      <c r="D3187" t="inlineStr">
        <is>
          <t>UPPSALA LÄN</t>
        </is>
      </c>
      <c r="E3187" t="inlineStr">
        <is>
          <t>ENKÖPING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54368-2023</t>
        </is>
      </c>
      <c r="B3188" s="1" t="n">
        <v>45233.33221064815</v>
      </c>
      <c r="C3188" s="1" t="n">
        <v>46098</v>
      </c>
      <c r="D3188" t="inlineStr">
        <is>
          <t>UPPSALA LÄN</t>
        </is>
      </c>
      <c r="E3188" t="inlineStr">
        <is>
          <t>ÖSTHAMMAR</t>
        </is>
      </c>
      <c r="F3188" t="inlineStr">
        <is>
          <t>Bergvik skog öst AB</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32815-2024</t>
        </is>
      </c>
      <c r="B3189" s="1" t="n">
        <v>45516.57682870371</v>
      </c>
      <c r="C3189" s="1" t="n">
        <v>46098</v>
      </c>
      <c r="D3189" t="inlineStr">
        <is>
          <t>UPPSALA LÄN</t>
        </is>
      </c>
      <c r="E3189" t="inlineStr">
        <is>
          <t>ÖSTHAMMAR</t>
        </is>
      </c>
      <c r="F3189" t="inlineStr">
        <is>
          <t>Bergvik skog öst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24962-2023</t>
        </is>
      </c>
      <c r="B3190" s="1" t="n">
        <v>45085.60123842592</v>
      </c>
      <c r="C3190" s="1" t="n">
        <v>46098</v>
      </c>
      <c r="D3190" t="inlineStr">
        <is>
          <t>UPPSALA LÄN</t>
        </is>
      </c>
      <c r="E3190" t="inlineStr">
        <is>
          <t>ENKÖPING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13688-2024</t>
        </is>
      </c>
      <c r="B3191" s="1" t="n">
        <v>45390</v>
      </c>
      <c r="C3191" s="1" t="n">
        <v>46098</v>
      </c>
      <c r="D3191" t="inlineStr">
        <is>
          <t>UPPSALA LÄN</t>
        </is>
      </c>
      <c r="E3191" t="inlineStr">
        <is>
          <t>HEBY</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13691-2024</t>
        </is>
      </c>
      <c r="B3192" s="1" t="n">
        <v>45390.58060185185</v>
      </c>
      <c r="C3192" s="1" t="n">
        <v>46098</v>
      </c>
      <c r="D3192" t="inlineStr">
        <is>
          <t>UPPSALA LÄN</t>
        </is>
      </c>
      <c r="E3192" t="inlineStr">
        <is>
          <t>TIERP</t>
        </is>
      </c>
      <c r="F3192" t="inlineStr">
        <is>
          <t>Bergvik skog väst AB</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70158-2021</t>
        </is>
      </c>
      <c r="B3193" s="1" t="n">
        <v>44533</v>
      </c>
      <c r="C3193" s="1" t="n">
        <v>46098</v>
      </c>
      <c r="D3193" t="inlineStr">
        <is>
          <t>UPPSALA LÄN</t>
        </is>
      </c>
      <c r="E3193" t="inlineStr">
        <is>
          <t>HEBY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9982-2025</t>
        </is>
      </c>
      <c r="B3194" s="1" t="n">
        <v>45719.4094212963</v>
      </c>
      <c r="C3194" s="1" t="n">
        <v>46098</v>
      </c>
      <c r="D3194" t="inlineStr">
        <is>
          <t>UPPSALA LÄN</t>
        </is>
      </c>
      <c r="E3194" t="inlineStr">
        <is>
          <t>UPPSALA</t>
        </is>
      </c>
      <c r="F3194" t="inlineStr">
        <is>
          <t>Kyrkan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9995-2025</t>
        </is>
      </c>
      <c r="B3195" s="1" t="n">
        <v>45719.43872685185</v>
      </c>
      <c r="C3195" s="1" t="n">
        <v>46098</v>
      </c>
      <c r="D3195" t="inlineStr">
        <is>
          <t>UPPSALA LÄN</t>
        </is>
      </c>
      <c r="E3195" t="inlineStr">
        <is>
          <t>UPPSALA</t>
        </is>
      </c>
      <c r="F3195" t="inlineStr">
        <is>
          <t>Kyrkan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16253-2022</t>
        </is>
      </c>
      <c r="B3196" s="1" t="n">
        <v>44670</v>
      </c>
      <c r="C3196" s="1" t="n">
        <v>46098</v>
      </c>
      <c r="D3196" t="inlineStr">
        <is>
          <t>UPPSALA LÄN</t>
        </is>
      </c>
      <c r="E3196" t="inlineStr">
        <is>
          <t>TIERP</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27840-2023</t>
        </is>
      </c>
      <c r="B3197" s="1" t="n">
        <v>45098</v>
      </c>
      <c r="C3197" s="1" t="n">
        <v>46098</v>
      </c>
      <c r="D3197" t="inlineStr">
        <is>
          <t>UPPSALA LÄN</t>
        </is>
      </c>
      <c r="E3197" t="inlineStr">
        <is>
          <t>HEBY</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19276-2023</t>
        </is>
      </c>
      <c r="B3198" s="1" t="n">
        <v>45049</v>
      </c>
      <c r="C3198" s="1" t="n">
        <v>46098</v>
      </c>
      <c r="D3198" t="inlineStr">
        <is>
          <t>UPPSALA LÄN</t>
        </is>
      </c>
      <c r="E3198" t="inlineStr">
        <is>
          <t>UPPSALA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47287-2023</t>
        </is>
      </c>
      <c r="B3199" s="1" t="n">
        <v>45202</v>
      </c>
      <c r="C3199" s="1" t="n">
        <v>46098</v>
      </c>
      <c r="D3199" t="inlineStr">
        <is>
          <t>UPPSALA LÄN</t>
        </is>
      </c>
      <c r="E3199" t="inlineStr">
        <is>
          <t>UPPSALA</t>
        </is>
      </c>
      <c r="F3199" t="inlineStr">
        <is>
          <t>Holmen skog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60447-2023</t>
        </is>
      </c>
      <c r="B3200" s="1" t="n">
        <v>45259</v>
      </c>
      <c r="C3200" s="1" t="n">
        <v>46098</v>
      </c>
      <c r="D3200" t="inlineStr">
        <is>
          <t>UPPSALA LÄN</t>
        </is>
      </c>
      <c r="E3200" t="inlineStr">
        <is>
          <t>UPPSALA</t>
        </is>
      </c>
      <c r="F3200" t="inlineStr">
        <is>
          <t>Bergvik skog öst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5429-2023</t>
        </is>
      </c>
      <c r="B3201" s="1" t="n">
        <v>44959.83037037037</v>
      </c>
      <c r="C3201" s="1" t="n">
        <v>46098</v>
      </c>
      <c r="D3201" t="inlineStr">
        <is>
          <t>UPPSALA LÄN</t>
        </is>
      </c>
      <c r="E3201" t="inlineStr">
        <is>
          <t>ÖSTHAMMAR</t>
        </is>
      </c>
      <c r="F3201" t="inlineStr">
        <is>
          <t>Bergvik skog öst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11008-2023</t>
        </is>
      </c>
      <c r="B3202" s="1" t="n">
        <v>44991</v>
      </c>
      <c r="C3202" s="1" t="n">
        <v>46098</v>
      </c>
      <c r="D3202" t="inlineStr">
        <is>
          <t>UPPSALA LÄN</t>
        </is>
      </c>
      <c r="E3202" t="inlineStr">
        <is>
          <t>ÖSTHAMMAR</t>
        </is>
      </c>
      <c r="F3202" t="inlineStr">
        <is>
          <t>Bergvik skog öst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58961-2024</t>
        </is>
      </c>
      <c r="B3203" s="1" t="n">
        <v>45636.585</v>
      </c>
      <c r="C3203" s="1" t="n">
        <v>46098</v>
      </c>
      <c r="D3203" t="inlineStr">
        <is>
          <t>UPPSALA LÄN</t>
        </is>
      </c>
      <c r="E3203" t="inlineStr">
        <is>
          <t>ENKÖPING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46681-2022</t>
        </is>
      </c>
      <c r="B3204" s="1" t="n">
        <v>44843</v>
      </c>
      <c r="C3204" s="1" t="n">
        <v>46098</v>
      </c>
      <c r="D3204" t="inlineStr">
        <is>
          <t>UPPSALA LÄN</t>
        </is>
      </c>
      <c r="E3204" t="inlineStr">
        <is>
          <t>TIERP</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60047-2021</t>
        </is>
      </c>
      <c r="B3205" s="1" t="n">
        <v>44495</v>
      </c>
      <c r="C3205" s="1" t="n">
        <v>46098</v>
      </c>
      <c r="D3205" t="inlineStr">
        <is>
          <t>UPPSALA LÄN</t>
        </is>
      </c>
      <c r="E3205" t="inlineStr">
        <is>
          <t>ÖSTHAMMAR</t>
        </is>
      </c>
      <c r="F3205" t="inlineStr">
        <is>
          <t>Övriga Aktiebolag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8623-2025</t>
        </is>
      </c>
      <c r="B3206" s="1" t="n">
        <v>45711.51902777778</v>
      </c>
      <c r="C3206" s="1" t="n">
        <v>46098</v>
      </c>
      <c r="D3206" t="inlineStr">
        <is>
          <t>UPPSALA LÄN</t>
        </is>
      </c>
      <c r="E3206" t="inlineStr">
        <is>
          <t>ÖSTHAMMAR</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8626-2025</t>
        </is>
      </c>
      <c r="B3207" s="1" t="n">
        <v>45711.53565972222</v>
      </c>
      <c r="C3207" s="1" t="n">
        <v>46098</v>
      </c>
      <c r="D3207" t="inlineStr">
        <is>
          <t>UPPSALA LÄN</t>
        </is>
      </c>
      <c r="E3207" t="inlineStr">
        <is>
          <t>ÖSTHAMMAR</t>
        </is>
      </c>
      <c r="F3207" t="inlineStr">
        <is>
          <t>Bergvik skog väst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29570-2022</t>
        </is>
      </c>
      <c r="B3208" s="1" t="n">
        <v>44754</v>
      </c>
      <c r="C3208" s="1" t="n">
        <v>46098</v>
      </c>
      <c r="D3208" t="inlineStr">
        <is>
          <t>UPPSALA LÄN</t>
        </is>
      </c>
      <c r="E3208" t="inlineStr">
        <is>
          <t>HEBY</t>
        </is>
      </c>
      <c r="F3208" t="inlineStr">
        <is>
          <t>Bergvik skog öst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3514-2023</t>
        </is>
      </c>
      <c r="B3209" s="1" t="n">
        <v>44950</v>
      </c>
      <c r="C3209" s="1" t="n">
        <v>46098</v>
      </c>
      <c r="D3209" t="inlineStr">
        <is>
          <t>UPPSALA LÄN</t>
        </is>
      </c>
      <c r="E3209" t="inlineStr">
        <is>
          <t>ÖSTHAMMAR</t>
        </is>
      </c>
      <c r="F3209" t="inlineStr">
        <is>
          <t>Övriga Aktiebolag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53595-2023</t>
        </is>
      </c>
      <c r="B3210" s="1" t="n">
        <v>45223</v>
      </c>
      <c r="C3210" s="1" t="n">
        <v>46098</v>
      </c>
      <c r="D3210" t="inlineStr">
        <is>
          <t>UPPSALA LÄN</t>
        </is>
      </c>
      <c r="E3210" t="inlineStr">
        <is>
          <t>ENKÖPING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58264-2024</t>
        </is>
      </c>
      <c r="B3211" s="1" t="n">
        <v>45632.5654050926</v>
      </c>
      <c r="C3211" s="1" t="n">
        <v>46098</v>
      </c>
      <c r="D3211" t="inlineStr">
        <is>
          <t>UPPSALA LÄN</t>
        </is>
      </c>
      <c r="E3211" t="inlineStr">
        <is>
          <t>TIERP</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19990-2022</t>
        </is>
      </c>
      <c r="B3212" s="1" t="n">
        <v>44697</v>
      </c>
      <c r="C3212" s="1" t="n">
        <v>46098</v>
      </c>
      <c r="D3212" t="inlineStr">
        <is>
          <t>UPPSALA LÄN</t>
        </is>
      </c>
      <c r="E3212" t="inlineStr">
        <is>
          <t>HEBY</t>
        </is>
      </c>
      <c r="F3212" t="inlineStr">
        <is>
          <t>Bergvik skog väst AB</t>
        </is>
      </c>
      <c r="G3212" t="n">
        <v>14.3</v>
      </c>
      <c r="H3212" t="n">
        <v>0</v>
      </c>
      <c r="I3212" t="n">
        <v>0</v>
      </c>
      <c r="J3212" t="n">
        <v>0</v>
      </c>
      <c r="K3212" t="n">
        <v>0</v>
      </c>
      <c r="L3212" t="n">
        <v>0</v>
      </c>
      <c r="M3212" t="n">
        <v>0</v>
      </c>
      <c r="N3212" t="n">
        <v>0</v>
      </c>
      <c r="O3212" t="n">
        <v>0</v>
      </c>
      <c r="P3212" t="n">
        <v>0</v>
      </c>
      <c r="Q3212" t="n">
        <v>0</v>
      </c>
      <c r="R3212" s="2" t="inlineStr"/>
    </row>
    <row r="3213" ht="15" customHeight="1">
      <c r="A3213" t="inlineStr">
        <is>
          <t>A 15893-2024</t>
        </is>
      </c>
      <c r="B3213" s="1" t="n">
        <v>45405</v>
      </c>
      <c r="C3213" s="1" t="n">
        <v>46098</v>
      </c>
      <c r="D3213" t="inlineStr">
        <is>
          <t>UPPSALA LÄN</t>
        </is>
      </c>
      <c r="E3213" t="inlineStr">
        <is>
          <t>ENKÖPING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24128-2023</t>
        </is>
      </c>
      <c r="B3214" s="1" t="n">
        <v>45079.50289351852</v>
      </c>
      <c r="C3214" s="1" t="n">
        <v>46098</v>
      </c>
      <c r="D3214" t="inlineStr">
        <is>
          <t>UPPSALA LÄN</t>
        </is>
      </c>
      <c r="E3214" t="inlineStr">
        <is>
          <t>ÖSTHAMMAR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18526-2025</t>
        </is>
      </c>
      <c r="B3215" s="1" t="n">
        <v>45763.4009375</v>
      </c>
      <c r="C3215" s="1" t="n">
        <v>46098</v>
      </c>
      <c r="D3215" t="inlineStr">
        <is>
          <t>UPPSALA LÄN</t>
        </is>
      </c>
      <c r="E3215" t="inlineStr">
        <is>
          <t>TIERP</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18028-2023</t>
        </is>
      </c>
      <c r="B3216" s="1" t="n">
        <v>45040</v>
      </c>
      <c r="C3216" s="1" t="n">
        <v>46098</v>
      </c>
      <c r="D3216" t="inlineStr">
        <is>
          <t>UPPSALA LÄN</t>
        </is>
      </c>
      <c r="E3216" t="inlineStr">
        <is>
          <t>ENKÖPING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22996-2021</t>
        </is>
      </c>
      <c r="B3217" s="1" t="n">
        <v>44328</v>
      </c>
      <c r="C3217" s="1" t="n">
        <v>46098</v>
      </c>
      <c r="D3217" t="inlineStr">
        <is>
          <t>UPPSALA LÄN</t>
        </is>
      </c>
      <c r="E3217" t="inlineStr">
        <is>
          <t>UPPSALA</t>
        </is>
      </c>
      <c r="F3217" t="inlineStr">
        <is>
          <t>Bergvik skog öst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23239-2023</t>
        </is>
      </c>
      <c r="B3218" s="1" t="n">
        <v>45075</v>
      </c>
      <c r="C3218" s="1" t="n">
        <v>46098</v>
      </c>
      <c r="D3218" t="inlineStr">
        <is>
          <t>UPPSALA LÄN</t>
        </is>
      </c>
      <c r="E3218" t="inlineStr">
        <is>
          <t>KNIVSTA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33552-2024</t>
        </is>
      </c>
      <c r="B3219" s="1" t="n">
        <v>45519</v>
      </c>
      <c r="C3219" s="1" t="n">
        <v>46098</v>
      </c>
      <c r="D3219" t="inlineStr">
        <is>
          <t>UPPSALA LÄN</t>
        </is>
      </c>
      <c r="E3219" t="inlineStr">
        <is>
          <t>ÖSTHAMMAR</t>
        </is>
      </c>
      <c r="F3219" t="inlineStr">
        <is>
          <t>Bergvik skog öst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33553-2024</t>
        </is>
      </c>
      <c r="B3220" s="1" t="n">
        <v>45519</v>
      </c>
      <c r="C3220" s="1" t="n">
        <v>46098</v>
      </c>
      <c r="D3220" t="inlineStr">
        <is>
          <t>UPPSALA LÄN</t>
        </is>
      </c>
      <c r="E3220" t="inlineStr">
        <is>
          <t>ÖSTHAMMAR</t>
        </is>
      </c>
      <c r="F3220" t="inlineStr">
        <is>
          <t>Bergvik skog öst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17438-2025</t>
        </is>
      </c>
      <c r="B3221" s="1" t="n">
        <v>45757.42503472222</v>
      </c>
      <c r="C3221" s="1" t="n">
        <v>46098</v>
      </c>
      <c r="D3221" t="inlineStr">
        <is>
          <t>UPPSALA LÄN</t>
        </is>
      </c>
      <c r="E3221" t="inlineStr">
        <is>
          <t>TIERP</t>
        </is>
      </c>
      <c r="F3221" t="inlineStr">
        <is>
          <t>Bergvik skog öst AB</t>
        </is>
      </c>
      <c r="G3221" t="n">
        <v>8.5</v>
      </c>
      <c r="H3221" t="n">
        <v>0</v>
      </c>
      <c r="I3221" t="n">
        <v>0</v>
      </c>
      <c r="J3221" t="n">
        <v>0</v>
      </c>
      <c r="K3221" t="n">
        <v>0</v>
      </c>
      <c r="L3221" t="n">
        <v>0</v>
      </c>
      <c r="M3221" t="n">
        <v>0</v>
      </c>
      <c r="N3221" t="n">
        <v>0</v>
      </c>
      <c r="O3221" t="n">
        <v>0</v>
      </c>
      <c r="P3221" t="n">
        <v>0</v>
      </c>
      <c r="Q3221" t="n">
        <v>0</v>
      </c>
      <c r="R3221" s="2" t="inlineStr"/>
    </row>
    <row r="3222" ht="15" customHeight="1">
      <c r="A3222" t="inlineStr">
        <is>
          <t>A 58124-2022</t>
        </is>
      </c>
      <c r="B3222" s="1" t="n">
        <v>44900.66995370371</v>
      </c>
      <c r="C3222" s="1" t="n">
        <v>46098</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20882-2022</t>
        </is>
      </c>
      <c r="B3223" s="1" t="n">
        <v>44701.56520833333</v>
      </c>
      <c r="C3223" s="1" t="n">
        <v>46098</v>
      </c>
      <c r="D3223" t="inlineStr">
        <is>
          <t>UPPSALA LÄN</t>
        </is>
      </c>
      <c r="E3223" t="inlineStr">
        <is>
          <t>HEBY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62287-2023</t>
        </is>
      </c>
      <c r="B3224" s="1" t="n">
        <v>45267</v>
      </c>
      <c r="C3224" s="1" t="n">
        <v>46098</v>
      </c>
      <c r="D3224" t="inlineStr">
        <is>
          <t>UPPSALA LÄN</t>
        </is>
      </c>
      <c r="E3224" t="inlineStr">
        <is>
          <t>UPPSALA</t>
        </is>
      </c>
      <c r="F3224" t="inlineStr">
        <is>
          <t>Allmännings- och besparingsskogar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24181-2022</t>
        </is>
      </c>
      <c r="B3225" s="1" t="n">
        <v>44725</v>
      </c>
      <c r="C3225" s="1" t="n">
        <v>46098</v>
      </c>
      <c r="D3225" t="inlineStr">
        <is>
          <t>UPPSALA LÄN</t>
        </is>
      </c>
      <c r="E3225" t="inlineStr">
        <is>
          <t>ÖSTHAMMAR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24562-2023</t>
        </is>
      </c>
      <c r="B3226" s="1" t="n">
        <v>45083</v>
      </c>
      <c r="C3226" s="1" t="n">
        <v>46098</v>
      </c>
      <c r="D3226" t="inlineStr">
        <is>
          <t>UPPSALA LÄN</t>
        </is>
      </c>
      <c r="E3226" t="inlineStr">
        <is>
          <t>HEBY</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19947-2024</t>
        </is>
      </c>
      <c r="B3227" s="1" t="n">
        <v>45433</v>
      </c>
      <c r="C3227" s="1" t="n">
        <v>46098</v>
      </c>
      <c r="D3227" t="inlineStr">
        <is>
          <t>UPPSALA LÄN</t>
        </is>
      </c>
      <c r="E3227" t="inlineStr">
        <is>
          <t>ÖSTHAMMAR</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13593-2023</t>
        </is>
      </c>
      <c r="B3228" s="1" t="n">
        <v>45006.57304398148</v>
      </c>
      <c r="C3228" s="1" t="n">
        <v>46098</v>
      </c>
      <c r="D3228" t="inlineStr">
        <is>
          <t>UPPSALA LÄN</t>
        </is>
      </c>
      <c r="E3228" t="inlineStr">
        <is>
          <t>HEBY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16240-2025</t>
        </is>
      </c>
      <c r="B3229" s="1" t="n">
        <v>45746</v>
      </c>
      <c r="C3229" s="1" t="n">
        <v>46098</v>
      </c>
      <c r="D3229" t="inlineStr">
        <is>
          <t>UPPSALA LÄN</t>
        </is>
      </c>
      <c r="E3229" t="inlineStr">
        <is>
          <t>ÖSTHAMMAR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16288-2025</t>
        </is>
      </c>
      <c r="B3230" s="1" t="n">
        <v>45751.32001157408</v>
      </c>
      <c r="C3230" s="1" t="n">
        <v>46098</v>
      </c>
      <c r="D3230" t="inlineStr">
        <is>
          <t>UPPSALA LÄN</t>
        </is>
      </c>
      <c r="E3230" t="inlineStr">
        <is>
          <t>UPPSALA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45146-2021</t>
        </is>
      </c>
      <c r="B3231" s="1" t="n">
        <v>44439.46604166667</v>
      </c>
      <c r="C3231" s="1" t="n">
        <v>46098</v>
      </c>
      <c r="D3231" t="inlineStr">
        <is>
          <t>UPPSALA LÄN</t>
        </is>
      </c>
      <c r="E3231" t="inlineStr">
        <is>
          <t>TIERP</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8030-2025</t>
        </is>
      </c>
      <c r="B3232" s="1" t="n">
        <v>45707.59064814815</v>
      </c>
      <c r="C3232" s="1" t="n">
        <v>46098</v>
      </c>
      <c r="D3232" t="inlineStr">
        <is>
          <t>UPPSALA LÄN</t>
        </is>
      </c>
      <c r="E3232" t="inlineStr">
        <is>
          <t>ÄLVKARLEBY</t>
        </is>
      </c>
      <c r="F3232" t="inlineStr">
        <is>
          <t>Bergvik skog väst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20180-2025</t>
        </is>
      </c>
      <c r="B3233" s="1" t="n">
        <v>45772.58797453704</v>
      </c>
      <c r="C3233" s="1" t="n">
        <v>46098</v>
      </c>
      <c r="D3233" t="inlineStr">
        <is>
          <t>UPPSALA LÄN</t>
        </is>
      </c>
      <c r="E3233" t="inlineStr">
        <is>
          <t>TIERP</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17575-2025</t>
        </is>
      </c>
      <c r="B3234" s="1" t="n">
        <v>45757.65234953703</v>
      </c>
      <c r="C3234" s="1" t="n">
        <v>46098</v>
      </c>
      <c r="D3234" t="inlineStr">
        <is>
          <t>UPPSALA LÄN</t>
        </is>
      </c>
      <c r="E3234" t="inlineStr">
        <is>
          <t>TIERP</t>
        </is>
      </c>
      <c r="F3234" t="inlineStr">
        <is>
          <t>Bergvik skog öst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17658-2025</t>
        </is>
      </c>
      <c r="B3235" s="1" t="n">
        <v>45758</v>
      </c>
      <c r="C3235" s="1" t="n">
        <v>46098</v>
      </c>
      <c r="D3235" t="inlineStr">
        <is>
          <t>UPPSALA LÄN</t>
        </is>
      </c>
      <c r="E3235" t="inlineStr">
        <is>
          <t>UPPSALA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59267-2024</t>
        </is>
      </c>
      <c r="B3236" s="1" t="n">
        <v>45637</v>
      </c>
      <c r="C3236" s="1" t="n">
        <v>46098</v>
      </c>
      <c r="D3236" t="inlineStr">
        <is>
          <t>UPPSALA LÄN</t>
        </is>
      </c>
      <c r="E3236" t="inlineStr">
        <is>
          <t>TIERP</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33797-2023</t>
        </is>
      </c>
      <c r="B3237" s="1" t="n">
        <v>45133</v>
      </c>
      <c r="C3237" s="1" t="n">
        <v>46098</v>
      </c>
      <c r="D3237" t="inlineStr">
        <is>
          <t>UPPSALA LÄN</t>
        </is>
      </c>
      <c r="E3237" t="inlineStr">
        <is>
          <t>TIERP</t>
        </is>
      </c>
      <c r="F3237" t="inlineStr">
        <is>
          <t>Bergvik skog öst AB</t>
        </is>
      </c>
      <c r="G3237" t="n">
        <v>0.4</v>
      </c>
      <c r="H3237" t="n">
        <v>0</v>
      </c>
      <c r="I3237" t="n">
        <v>0</v>
      </c>
      <c r="J3237" t="n">
        <v>0</v>
      </c>
      <c r="K3237" t="n">
        <v>0</v>
      </c>
      <c r="L3237" t="n">
        <v>0</v>
      </c>
      <c r="M3237" t="n">
        <v>0</v>
      </c>
      <c r="N3237" t="n">
        <v>0</v>
      </c>
      <c r="O3237" t="n">
        <v>0</v>
      </c>
      <c r="P3237" t="n">
        <v>0</v>
      </c>
      <c r="Q3237" t="n">
        <v>0</v>
      </c>
      <c r="R3237" s="2" t="inlineStr"/>
      <c r="U3237">
        <f>HYPERLINK("https://klasma.github.io/Logging_0360/knärot/A 33797-2023 karta knärot.png", "A 33797-2023")</f>
        <v/>
      </c>
      <c r="V3237">
        <f>HYPERLINK("https://klasma.github.io/Logging_0360/klagomål/A 33797-2023 FSC-klagomål.docx", "A 33797-2023")</f>
        <v/>
      </c>
      <c r="W3237">
        <f>HYPERLINK("https://klasma.github.io/Logging_0360/klagomålsmail/A 33797-2023 FSC-klagomål mail.docx", "A 33797-2023")</f>
        <v/>
      </c>
      <c r="X3237">
        <f>HYPERLINK("https://klasma.github.io/Logging_0360/tillsyn/A 33797-2023 tillsynsbegäran.docx", "A 33797-2023")</f>
        <v/>
      </c>
      <c r="Y3237">
        <f>HYPERLINK("https://klasma.github.io/Logging_0360/tillsynsmail/A 33797-2023 tillsynsbegäran mail.docx", "A 33797-2023")</f>
        <v/>
      </c>
    </row>
    <row r="3238" ht="15" customHeight="1">
      <c r="A3238" t="inlineStr">
        <is>
          <t>A 18781-2025</t>
        </is>
      </c>
      <c r="B3238" s="1" t="n">
        <v>45763</v>
      </c>
      <c r="C3238" s="1" t="n">
        <v>46098</v>
      </c>
      <c r="D3238" t="inlineStr">
        <is>
          <t>UPPSALA LÄN</t>
        </is>
      </c>
      <c r="E3238" t="inlineStr">
        <is>
          <t>UPPSALA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2007-2024</t>
        </is>
      </c>
      <c r="B3239" s="1" t="n">
        <v>45308.65503472222</v>
      </c>
      <c r="C3239" s="1" t="n">
        <v>46098</v>
      </c>
      <c r="D3239" t="inlineStr">
        <is>
          <t>UPPSALA LÄN</t>
        </is>
      </c>
      <c r="E3239" t="inlineStr">
        <is>
          <t>HEBY</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59547-2024</t>
        </is>
      </c>
      <c r="B3240" s="1" t="n">
        <v>45638</v>
      </c>
      <c r="C3240" s="1" t="n">
        <v>46098</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57-2023</t>
        </is>
      </c>
      <c r="B3241" s="1" t="n">
        <v>44928.40917824074</v>
      </c>
      <c r="C3241" s="1" t="n">
        <v>46098</v>
      </c>
      <c r="D3241" t="inlineStr">
        <is>
          <t>UPPSALA LÄN</t>
        </is>
      </c>
      <c r="E3241" t="inlineStr">
        <is>
          <t>ÖSTHAMMAR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59-2023</t>
        </is>
      </c>
      <c r="B3242" s="1" t="n">
        <v>44928.41822916667</v>
      </c>
      <c r="C3242" s="1" t="n">
        <v>46098</v>
      </c>
      <c r="D3242" t="inlineStr">
        <is>
          <t>UPPSALA LÄN</t>
        </is>
      </c>
      <c r="E3242" t="inlineStr">
        <is>
          <t>ÖSTHAMMAR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55079-2024</t>
        </is>
      </c>
      <c r="B3243" s="1" t="n">
        <v>45621.42747685185</v>
      </c>
      <c r="C3243" s="1" t="n">
        <v>46098</v>
      </c>
      <c r="D3243" t="inlineStr">
        <is>
          <t>UPPSALA LÄN</t>
        </is>
      </c>
      <c r="E3243" t="inlineStr">
        <is>
          <t>ÖSTHAMMAR</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61677-2023</t>
        </is>
      </c>
      <c r="B3244" s="1" t="n">
        <v>45265.62744212963</v>
      </c>
      <c r="C3244" s="1" t="n">
        <v>46098</v>
      </c>
      <c r="D3244" t="inlineStr">
        <is>
          <t>UPPSALA LÄN</t>
        </is>
      </c>
      <c r="E3244" t="inlineStr">
        <is>
          <t>TIERP</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48843-2023</t>
        </is>
      </c>
      <c r="B3245" s="1" t="n">
        <v>45209</v>
      </c>
      <c r="C3245" s="1" t="n">
        <v>46098</v>
      </c>
      <c r="D3245" t="inlineStr">
        <is>
          <t>UPPSALA LÄN</t>
        </is>
      </c>
      <c r="E3245" t="inlineStr">
        <is>
          <t>ENKÖPING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33670-2024</t>
        </is>
      </c>
      <c r="B3246" s="1" t="n">
        <v>45520</v>
      </c>
      <c r="C3246" s="1" t="n">
        <v>46098</v>
      </c>
      <c r="D3246" t="inlineStr">
        <is>
          <t>UPPSALA LÄN</t>
        </is>
      </c>
      <c r="E3246" t="inlineStr">
        <is>
          <t>ENKÖPING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33680-2024</t>
        </is>
      </c>
      <c r="B3247" s="1" t="n">
        <v>45520.50712962963</v>
      </c>
      <c r="C3247" s="1" t="n">
        <v>46098</v>
      </c>
      <c r="D3247" t="inlineStr">
        <is>
          <t>UPPSALA LÄN</t>
        </is>
      </c>
      <c r="E3247" t="inlineStr">
        <is>
          <t>ÖSTHAMMAR</t>
        </is>
      </c>
      <c r="F3247" t="inlineStr">
        <is>
          <t>Bergvik skog öst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31161-2023</t>
        </is>
      </c>
      <c r="B3248" s="1" t="n">
        <v>45113.80170138889</v>
      </c>
      <c r="C3248" s="1" t="n">
        <v>46098</v>
      </c>
      <c r="D3248" t="inlineStr">
        <is>
          <t>UPPSALA LÄN</t>
        </is>
      </c>
      <c r="E3248" t="inlineStr">
        <is>
          <t>UPPSALA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42938-2022</t>
        </is>
      </c>
      <c r="B3249" s="1" t="n">
        <v>44833</v>
      </c>
      <c r="C3249" s="1" t="n">
        <v>46098</v>
      </c>
      <c r="D3249" t="inlineStr">
        <is>
          <t>UPPSALA LÄN</t>
        </is>
      </c>
      <c r="E3249" t="inlineStr">
        <is>
          <t>HEBY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7591-2023</t>
        </is>
      </c>
      <c r="B3250" s="1" t="n">
        <v>44972.43747685185</v>
      </c>
      <c r="C3250" s="1" t="n">
        <v>46098</v>
      </c>
      <c r="D3250" t="inlineStr">
        <is>
          <t>UPPSALA LÄN</t>
        </is>
      </c>
      <c r="E3250" t="inlineStr">
        <is>
          <t>TIERP</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33550-2024</t>
        </is>
      </c>
      <c r="B3251" s="1" t="n">
        <v>45519.81043981481</v>
      </c>
      <c r="C3251" s="1" t="n">
        <v>46098</v>
      </c>
      <c r="D3251" t="inlineStr">
        <is>
          <t>UPPSALA LÄN</t>
        </is>
      </c>
      <c r="E3251" t="inlineStr">
        <is>
          <t>ÖSTHAMMAR</t>
        </is>
      </c>
      <c r="F3251" t="inlineStr">
        <is>
          <t>Bergvik skog öst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8790-2023</t>
        </is>
      </c>
      <c r="B3252" s="1" t="n">
        <v>44978.58922453703</v>
      </c>
      <c r="C3252" s="1" t="n">
        <v>46098</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18130-2022</t>
        </is>
      </c>
      <c r="B3253" s="1" t="n">
        <v>44684.56060185185</v>
      </c>
      <c r="C3253" s="1" t="n">
        <v>46098</v>
      </c>
      <c r="D3253" t="inlineStr">
        <is>
          <t>UPPSALA LÄN</t>
        </is>
      </c>
      <c r="E3253" t="inlineStr">
        <is>
          <t>TIERP</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30811-2023</t>
        </is>
      </c>
      <c r="B3254" s="1" t="n">
        <v>45112.86422453704</v>
      </c>
      <c r="C3254" s="1" t="n">
        <v>46098</v>
      </c>
      <c r="D3254" t="inlineStr">
        <is>
          <t>UPPSALA LÄN</t>
        </is>
      </c>
      <c r="E3254" t="inlineStr">
        <is>
          <t>ÖSTHAMMAR</t>
        </is>
      </c>
      <c r="F3254" t="inlineStr">
        <is>
          <t>Bergvik skog öst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6155-2023</t>
        </is>
      </c>
      <c r="B3255" s="1" t="n">
        <v>44964.65261574074</v>
      </c>
      <c r="C3255" s="1" t="n">
        <v>46098</v>
      </c>
      <c r="D3255" t="inlineStr">
        <is>
          <t>UPPSALA LÄN</t>
        </is>
      </c>
      <c r="E3255" t="inlineStr">
        <is>
          <t>UPPSALA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30509-2024</t>
        </is>
      </c>
      <c r="B3256" s="1" t="n">
        <v>45492.45841435185</v>
      </c>
      <c r="C3256" s="1" t="n">
        <v>46098</v>
      </c>
      <c r="D3256" t="inlineStr">
        <is>
          <t>UPPSALA LÄN</t>
        </is>
      </c>
      <c r="E3256" t="inlineStr">
        <is>
          <t>TIERP</t>
        </is>
      </c>
      <c r="F3256" t="inlineStr">
        <is>
          <t>Bergvik skog öst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1588-2025</t>
        </is>
      </c>
      <c r="B3257" s="1" t="n">
        <v>45670</v>
      </c>
      <c r="C3257" s="1" t="n">
        <v>46098</v>
      </c>
      <c r="D3257" t="inlineStr">
        <is>
          <t>UPPSALA LÄN</t>
        </is>
      </c>
      <c r="E3257" t="inlineStr">
        <is>
          <t>UPPSALA</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11572-2025</t>
        </is>
      </c>
      <c r="B3258" s="1" t="n">
        <v>45727.38053240741</v>
      </c>
      <c r="C3258" s="1" t="n">
        <v>46098</v>
      </c>
      <c r="D3258" t="inlineStr">
        <is>
          <t>UPPSALA LÄN</t>
        </is>
      </c>
      <c r="E3258" t="inlineStr">
        <is>
          <t>TIERP</t>
        </is>
      </c>
      <c r="F3258" t="inlineStr">
        <is>
          <t>Bergvik skog öst AB</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40624-2023</t>
        </is>
      </c>
      <c r="B3259" s="1" t="n">
        <v>45170.52974537037</v>
      </c>
      <c r="C3259" s="1" t="n">
        <v>46098</v>
      </c>
      <c r="D3259" t="inlineStr">
        <is>
          <t>UPPSALA LÄN</t>
        </is>
      </c>
      <c r="E3259" t="inlineStr">
        <is>
          <t>TIERP</t>
        </is>
      </c>
      <c r="F3259" t="inlineStr">
        <is>
          <t>Bergvik skog väst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55646-2021</t>
        </is>
      </c>
      <c r="B3260" s="1" t="n">
        <v>44476.3632175926</v>
      </c>
      <c r="C3260" s="1" t="n">
        <v>46098</v>
      </c>
      <c r="D3260" t="inlineStr">
        <is>
          <t>UPPSALA LÄN</t>
        </is>
      </c>
      <c r="E3260" t="inlineStr">
        <is>
          <t>ÖSTHAMMAR</t>
        </is>
      </c>
      <c r="F3260" t="inlineStr">
        <is>
          <t>Bergvik skog öst AB</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19376-2024</t>
        </is>
      </c>
      <c r="B3261" s="1" t="n">
        <v>45429</v>
      </c>
      <c r="C3261" s="1" t="n">
        <v>46098</v>
      </c>
      <c r="D3261" t="inlineStr">
        <is>
          <t>UPPSALA LÄN</t>
        </is>
      </c>
      <c r="E3261" t="inlineStr">
        <is>
          <t>ENKÖPING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59382-2024</t>
        </is>
      </c>
      <c r="B3262" s="1" t="n">
        <v>45638.35512731481</v>
      </c>
      <c r="C3262" s="1" t="n">
        <v>46098</v>
      </c>
      <c r="D3262" t="inlineStr">
        <is>
          <t>UPPSALA LÄN</t>
        </is>
      </c>
      <c r="E3262" t="inlineStr">
        <is>
          <t>HEBY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31157-2023</t>
        </is>
      </c>
      <c r="B3263" s="1" t="n">
        <v>45113</v>
      </c>
      <c r="C3263" s="1" t="n">
        <v>46098</v>
      </c>
      <c r="D3263" t="inlineStr">
        <is>
          <t>UPPSALA LÄN</t>
        </is>
      </c>
      <c r="E3263" t="inlineStr">
        <is>
          <t>UPPSALA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61443-2024</t>
        </is>
      </c>
      <c r="B3264" s="1" t="n">
        <v>45646.47936342593</v>
      </c>
      <c r="C3264" s="1" t="n">
        <v>46098</v>
      </c>
      <c r="D3264" t="inlineStr">
        <is>
          <t>UPPSALA LÄN</t>
        </is>
      </c>
      <c r="E3264" t="inlineStr">
        <is>
          <t>ÖSTHAMMAR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963-2022</t>
        </is>
      </c>
      <c r="B3265" s="1" t="n">
        <v>44568</v>
      </c>
      <c r="C3265" s="1" t="n">
        <v>46098</v>
      </c>
      <c r="D3265" t="inlineStr">
        <is>
          <t>UPPSALA LÄN</t>
        </is>
      </c>
      <c r="E3265" t="inlineStr">
        <is>
          <t>HEBY</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38203-2021</t>
        </is>
      </c>
      <c r="B3266" s="1" t="n">
        <v>44405</v>
      </c>
      <c r="C3266" s="1" t="n">
        <v>46098</v>
      </c>
      <c r="D3266" t="inlineStr">
        <is>
          <t>UPPSALA LÄN</t>
        </is>
      </c>
      <c r="E3266" t="inlineStr">
        <is>
          <t>HEBY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13279-2022</t>
        </is>
      </c>
      <c r="B3267" s="1" t="n">
        <v>44644</v>
      </c>
      <c r="C3267" s="1" t="n">
        <v>46098</v>
      </c>
      <c r="D3267" t="inlineStr">
        <is>
          <t>UPPSALA LÄN</t>
        </is>
      </c>
      <c r="E3267" t="inlineStr">
        <is>
          <t>ÖSTHAMMAR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33332-2022</t>
        </is>
      </c>
      <c r="B3268" s="1" t="n">
        <v>44788</v>
      </c>
      <c r="C3268" s="1" t="n">
        <v>46098</v>
      </c>
      <c r="D3268" t="inlineStr">
        <is>
          <t>UPPSALA LÄN</t>
        </is>
      </c>
      <c r="E3268" t="inlineStr">
        <is>
          <t>UPPSALA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27912-2023</t>
        </is>
      </c>
      <c r="B3269" s="1" t="n">
        <v>45098.63572916666</v>
      </c>
      <c r="C3269" s="1" t="n">
        <v>46098</v>
      </c>
      <c r="D3269" t="inlineStr">
        <is>
          <t>UPPSALA LÄN</t>
        </is>
      </c>
      <c r="E3269" t="inlineStr">
        <is>
          <t>UPPSALA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1592-2025</t>
        </is>
      </c>
      <c r="B3270" s="1" t="n">
        <v>45670</v>
      </c>
      <c r="C3270" s="1" t="n">
        <v>46098</v>
      </c>
      <c r="D3270" t="inlineStr">
        <is>
          <t>UPPSALA LÄN</t>
        </is>
      </c>
      <c r="E3270" t="inlineStr">
        <is>
          <t>UPPSALA</t>
        </is>
      </c>
      <c r="F3270" t="inlineStr">
        <is>
          <t>Bergvik skog väst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30901-2023</t>
        </is>
      </c>
      <c r="B3271" s="1" t="n">
        <v>45113</v>
      </c>
      <c r="C3271" s="1" t="n">
        <v>46098</v>
      </c>
      <c r="D3271" t="inlineStr">
        <is>
          <t>UPPSALA LÄN</t>
        </is>
      </c>
      <c r="E3271" t="inlineStr">
        <is>
          <t>HEBY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37410-2023</t>
        </is>
      </c>
      <c r="B3272" s="1" t="n">
        <v>45155</v>
      </c>
      <c r="C3272" s="1" t="n">
        <v>46098</v>
      </c>
      <c r="D3272" t="inlineStr">
        <is>
          <t>UPPSALA LÄN</t>
        </is>
      </c>
      <c r="E3272" t="inlineStr">
        <is>
          <t>HÅBO</t>
        </is>
      </c>
      <c r="G3272" t="n">
        <v>20.9</v>
      </c>
      <c r="H3272" t="n">
        <v>0</v>
      </c>
      <c r="I3272" t="n">
        <v>0</v>
      </c>
      <c r="J3272" t="n">
        <v>0</v>
      </c>
      <c r="K3272" t="n">
        <v>0</v>
      </c>
      <c r="L3272" t="n">
        <v>0</v>
      </c>
      <c r="M3272" t="n">
        <v>0</v>
      </c>
      <c r="N3272" t="n">
        <v>0</v>
      </c>
      <c r="O3272" t="n">
        <v>0</v>
      </c>
      <c r="P3272" t="n">
        <v>0</v>
      </c>
      <c r="Q3272" t="n">
        <v>0</v>
      </c>
      <c r="R3272" s="2" t="inlineStr"/>
    </row>
    <row r="3273" ht="15" customHeight="1">
      <c r="A3273" t="inlineStr">
        <is>
          <t>A 6046-2025</t>
        </is>
      </c>
      <c r="B3273" s="1" t="n">
        <v>45695</v>
      </c>
      <c r="C3273" s="1" t="n">
        <v>46098</v>
      </c>
      <c r="D3273" t="inlineStr">
        <is>
          <t>UPPSALA LÄN</t>
        </is>
      </c>
      <c r="E3273" t="inlineStr">
        <is>
          <t>ÖSTHAMMAR</t>
        </is>
      </c>
      <c r="G3273" t="n">
        <v>0.8</v>
      </c>
      <c r="H3273" t="n">
        <v>0</v>
      </c>
      <c r="I3273" t="n">
        <v>0</v>
      </c>
      <c r="J3273" t="n">
        <v>0</v>
      </c>
      <c r="K3273" t="n">
        <v>0</v>
      </c>
      <c r="L3273" t="n">
        <v>0</v>
      </c>
      <c r="M3273" t="n">
        <v>0</v>
      </c>
      <c r="N3273" t="n">
        <v>0</v>
      </c>
      <c r="O3273" t="n">
        <v>0</v>
      </c>
      <c r="P3273" t="n">
        <v>0</v>
      </c>
      <c r="Q3273" t="n">
        <v>0</v>
      </c>
      <c r="R3273" s="2" t="inlineStr"/>
      <c r="U3273">
        <f>HYPERLINK("https://klasma.github.io/Logging_0382/knärot/A 6046-2025 karta knärot.png", "A 6046-2025")</f>
        <v/>
      </c>
      <c r="V3273">
        <f>HYPERLINK("https://klasma.github.io/Logging_0382/klagomål/A 6046-2025 FSC-klagomål.docx", "A 6046-2025")</f>
        <v/>
      </c>
      <c r="W3273">
        <f>HYPERLINK("https://klasma.github.io/Logging_0382/klagomålsmail/A 6046-2025 FSC-klagomål mail.docx", "A 6046-2025")</f>
        <v/>
      </c>
      <c r="X3273">
        <f>HYPERLINK("https://klasma.github.io/Logging_0382/tillsyn/A 6046-2025 tillsynsbegäran.docx", "A 6046-2025")</f>
        <v/>
      </c>
      <c r="Y3273">
        <f>HYPERLINK("https://klasma.github.io/Logging_0382/tillsynsmail/A 6046-2025 tillsynsbegäran mail.docx", "A 6046-2025")</f>
        <v/>
      </c>
    </row>
    <row r="3274" ht="15" customHeight="1">
      <c r="A3274" t="inlineStr">
        <is>
          <t>A 45102-2024</t>
        </is>
      </c>
      <c r="B3274" s="1" t="n">
        <v>45575.58836805556</v>
      </c>
      <c r="C3274" s="1" t="n">
        <v>46098</v>
      </c>
      <c r="D3274" t="inlineStr">
        <is>
          <t>UPPSALA LÄN</t>
        </is>
      </c>
      <c r="E3274" t="inlineStr">
        <is>
          <t>ÖSTHAMMAR</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18731-2022</t>
        </is>
      </c>
      <c r="B3275" s="1" t="n">
        <v>44687.78673611111</v>
      </c>
      <c r="C3275" s="1" t="n">
        <v>46098</v>
      </c>
      <c r="D3275" t="inlineStr">
        <is>
          <t>UPPSALA LÄN</t>
        </is>
      </c>
      <c r="E3275" t="inlineStr">
        <is>
          <t>ÖSTHAMMAR</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2039-2023</t>
        </is>
      </c>
      <c r="B3276" s="1" t="n">
        <v>44939</v>
      </c>
      <c r="C3276" s="1" t="n">
        <v>46098</v>
      </c>
      <c r="D3276" t="inlineStr">
        <is>
          <t>UPPSALA LÄN</t>
        </is>
      </c>
      <c r="E3276" t="inlineStr">
        <is>
          <t>HEBY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11385-2024</t>
        </is>
      </c>
      <c r="B3277" s="1" t="n">
        <v>45372</v>
      </c>
      <c r="C3277" s="1" t="n">
        <v>46098</v>
      </c>
      <c r="D3277" t="inlineStr">
        <is>
          <t>UPPSALA LÄN</t>
        </is>
      </c>
      <c r="E3277" t="inlineStr">
        <is>
          <t>ÖSTHAMMAR</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9611-2024</t>
        </is>
      </c>
      <c r="B3278" s="1" t="n">
        <v>45361.57299768519</v>
      </c>
      <c r="C3278" s="1" t="n">
        <v>46098</v>
      </c>
      <c r="D3278" t="inlineStr">
        <is>
          <t>UPPSALA LÄN</t>
        </is>
      </c>
      <c r="E3278" t="inlineStr">
        <is>
          <t>UPPSALA</t>
        </is>
      </c>
      <c r="F3278" t="inlineStr">
        <is>
          <t>Bergvik skog öst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9642-2024</t>
        </is>
      </c>
      <c r="B3279" s="1" t="n">
        <v>45362.36296296296</v>
      </c>
      <c r="C3279" s="1" t="n">
        <v>46098</v>
      </c>
      <c r="D3279" t="inlineStr">
        <is>
          <t>UPPSALA LÄN</t>
        </is>
      </c>
      <c r="E3279" t="inlineStr">
        <is>
          <t>ÖSTHAMMAR</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24091-2024</t>
        </is>
      </c>
      <c r="B3280" s="1" t="n">
        <v>45456.58491898148</v>
      </c>
      <c r="C3280" s="1" t="n">
        <v>46098</v>
      </c>
      <c r="D3280" t="inlineStr">
        <is>
          <t>UPPSALA LÄN</t>
        </is>
      </c>
      <c r="E3280" t="inlineStr">
        <is>
          <t>UPPSALA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6071-2023</t>
        </is>
      </c>
      <c r="B3281" s="1" t="n">
        <v>44964.51579861111</v>
      </c>
      <c r="C3281" s="1" t="n">
        <v>46098</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3779-2024</t>
        </is>
      </c>
      <c r="B3282" s="1" t="n">
        <v>45321.5900462963</v>
      </c>
      <c r="C3282" s="1" t="n">
        <v>46098</v>
      </c>
      <c r="D3282" t="inlineStr">
        <is>
          <t>UPPSALA LÄN</t>
        </is>
      </c>
      <c r="E3282" t="inlineStr">
        <is>
          <t>HEBY</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18378-2025</t>
        </is>
      </c>
      <c r="B3283" s="1" t="n">
        <v>45762.57510416667</v>
      </c>
      <c r="C3283" s="1" t="n">
        <v>46098</v>
      </c>
      <c r="D3283" t="inlineStr">
        <is>
          <t>UPPSALA LÄN</t>
        </is>
      </c>
      <c r="E3283" t="inlineStr">
        <is>
          <t>TIERP</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18401-2025</t>
        </is>
      </c>
      <c r="B3284" s="1" t="n">
        <v>45762.5966087963</v>
      </c>
      <c r="C3284" s="1" t="n">
        <v>46098</v>
      </c>
      <c r="D3284" t="inlineStr">
        <is>
          <t>UPPSALA LÄN</t>
        </is>
      </c>
      <c r="E3284" t="inlineStr">
        <is>
          <t>ÖSTHAMMAR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12020-2024</t>
        </is>
      </c>
      <c r="B3285" s="1" t="n">
        <v>45377</v>
      </c>
      <c r="C3285" s="1" t="n">
        <v>46098</v>
      </c>
      <c r="D3285" t="inlineStr">
        <is>
          <t>UPPSALA LÄN</t>
        </is>
      </c>
      <c r="E3285" t="inlineStr">
        <is>
          <t>ENKÖPING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14590-2023</t>
        </is>
      </c>
      <c r="B3286" s="1" t="n">
        <v>45013.54621527778</v>
      </c>
      <c r="C3286" s="1" t="n">
        <v>46098</v>
      </c>
      <c r="D3286" t="inlineStr">
        <is>
          <t>UPPSALA LÄN</t>
        </is>
      </c>
      <c r="E3286" t="inlineStr">
        <is>
          <t>ÄLVKARLEBY</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26085-2022</t>
        </is>
      </c>
      <c r="B3287" s="1" t="n">
        <v>44734.72414351852</v>
      </c>
      <c r="C3287" s="1" t="n">
        <v>46098</v>
      </c>
      <c r="D3287" t="inlineStr">
        <is>
          <t>UPPSALA LÄN</t>
        </is>
      </c>
      <c r="E3287" t="inlineStr">
        <is>
          <t>HEBY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60781-2023</t>
        </is>
      </c>
      <c r="B3288" s="1" t="n">
        <v>45259</v>
      </c>
      <c r="C3288" s="1" t="n">
        <v>46098</v>
      </c>
      <c r="D3288" t="inlineStr">
        <is>
          <t>UPPSALA LÄN</t>
        </is>
      </c>
      <c r="E3288" t="inlineStr">
        <is>
          <t>UPPSALA</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24787-2024</t>
        </is>
      </c>
      <c r="B3289" s="1" t="n">
        <v>45460</v>
      </c>
      <c r="C3289" s="1" t="n">
        <v>46098</v>
      </c>
      <c r="D3289" t="inlineStr">
        <is>
          <t>UPPSALA LÄN</t>
        </is>
      </c>
      <c r="E3289" t="inlineStr">
        <is>
          <t>UPPSALA</t>
        </is>
      </c>
      <c r="F3289" t="inlineStr">
        <is>
          <t>Övriga Aktiebolag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60167-2024</t>
        </is>
      </c>
      <c r="B3290" s="1" t="n">
        <v>45642.63524305556</v>
      </c>
      <c r="C3290" s="1" t="n">
        <v>46098</v>
      </c>
      <c r="D3290" t="inlineStr">
        <is>
          <t>UPPSALA LÄN</t>
        </is>
      </c>
      <c r="E3290" t="inlineStr">
        <is>
          <t>UPPSALA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18717-2025</t>
        </is>
      </c>
      <c r="B3291" s="1" t="n">
        <v>45763.6503125</v>
      </c>
      <c r="C3291" s="1" t="n">
        <v>46098</v>
      </c>
      <c r="D3291" t="inlineStr">
        <is>
          <t>UPPSALA LÄN</t>
        </is>
      </c>
      <c r="E3291" t="inlineStr">
        <is>
          <t>UPPSALA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10465-2022</t>
        </is>
      </c>
      <c r="B3292" s="1" t="n">
        <v>44623</v>
      </c>
      <c r="C3292" s="1" t="n">
        <v>46098</v>
      </c>
      <c r="D3292" t="inlineStr">
        <is>
          <t>UPPSALA LÄN</t>
        </is>
      </c>
      <c r="E3292" t="inlineStr">
        <is>
          <t>ENKÖPING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14332-2024</t>
        </is>
      </c>
      <c r="B3293" s="1" t="n">
        <v>45393</v>
      </c>
      <c r="C3293" s="1" t="n">
        <v>46098</v>
      </c>
      <c r="D3293" t="inlineStr">
        <is>
          <t>UPPSALA LÄN</t>
        </is>
      </c>
      <c r="E3293" t="inlineStr">
        <is>
          <t>ENKÖPING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15587-2021</t>
        </is>
      </c>
      <c r="B3294" s="1" t="n">
        <v>44285.6565162037</v>
      </c>
      <c r="C3294" s="1" t="n">
        <v>46098</v>
      </c>
      <c r="D3294" t="inlineStr">
        <is>
          <t>UPPSALA LÄN</t>
        </is>
      </c>
      <c r="E3294" t="inlineStr">
        <is>
          <t>TIERP</t>
        </is>
      </c>
      <c r="F3294" t="inlineStr">
        <is>
          <t>Bergvik skog väst AB</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61207-2023</t>
        </is>
      </c>
      <c r="B3295" s="1" t="n">
        <v>45264.39444444444</v>
      </c>
      <c r="C3295" s="1" t="n">
        <v>46098</v>
      </c>
      <c r="D3295" t="inlineStr">
        <is>
          <t>UPPSALA LÄN</t>
        </is>
      </c>
      <c r="E3295" t="inlineStr">
        <is>
          <t>ENKÖPING</t>
        </is>
      </c>
      <c r="G3295" t="n">
        <v>10.8</v>
      </c>
      <c r="H3295" t="n">
        <v>0</v>
      </c>
      <c r="I3295" t="n">
        <v>0</v>
      </c>
      <c r="J3295" t="n">
        <v>0</v>
      </c>
      <c r="K3295" t="n">
        <v>0</v>
      </c>
      <c r="L3295" t="n">
        <v>0</v>
      </c>
      <c r="M3295" t="n">
        <v>0</v>
      </c>
      <c r="N3295" t="n">
        <v>0</v>
      </c>
      <c r="O3295" t="n">
        <v>0</v>
      </c>
      <c r="P3295" t="n">
        <v>0</v>
      </c>
      <c r="Q3295" t="n">
        <v>0</v>
      </c>
      <c r="R3295" s="2" t="inlineStr"/>
    </row>
    <row r="3296" ht="15" customHeight="1">
      <c r="A3296" t="inlineStr">
        <is>
          <t>A 28429-2023</t>
        </is>
      </c>
      <c r="B3296" s="1" t="n">
        <v>45102.58728009259</v>
      </c>
      <c r="C3296" s="1" t="n">
        <v>46098</v>
      </c>
      <c r="D3296" t="inlineStr">
        <is>
          <t>UPPSALA LÄN</t>
        </is>
      </c>
      <c r="E3296" t="inlineStr">
        <is>
          <t>ÖSTHAMMAR</t>
        </is>
      </c>
      <c r="F3296" t="inlineStr">
        <is>
          <t>Bergvik skog öst AB</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66284-2021</t>
        </is>
      </c>
      <c r="B3297" s="1" t="n">
        <v>44518</v>
      </c>
      <c r="C3297" s="1" t="n">
        <v>46098</v>
      </c>
      <c r="D3297" t="inlineStr">
        <is>
          <t>UPPSALA LÄN</t>
        </is>
      </c>
      <c r="E3297" t="inlineStr">
        <is>
          <t>KNIVSTA</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9664-2023</t>
        </is>
      </c>
      <c r="B3298" s="1" t="n">
        <v>44984</v>
      </c>
      <c r="C3298" s="1" t="n">
        <v>46098</v>
      </c>
      <c r="D3298" t="inlineStr">
        <is>
          <t>UPPSALA LÄN</t>
        </is>
      </c>
      <c r="E3298" t="inlineStr">
        <is>
          <t>TIERP</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58878-2022</t>
        </is>
      </c>
      <c r="B3299" s="1" t="n">
        <v>44903</v>
      </c>
      <c r="C3299" s="1" t="n">
        <v>46098</v>
      </c>
      <c r="D3299" t="inlineStr">
        <is>
          <t>UPPSALA LÄN</t>
        </is>
      </c>
      <c r="E3299" t="inlineStr">
        <is>
          <t>ÖSTHAMMAR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30755-2024</t>
        </is>
      </c>
      <c r="B3300" s="1" t="n">
        <v>45496</v>
      </c>
      <c r="C3300" s="1" t="n">
        <v>46098</v>
      </c>
      <c r="D3300" t="inlineStr">
        <is>
          <t>UPPSALA LÄN</t>
        </is>
      </c>
      <c r="E3300" t="inlineStr">
        <is>
          <t>ÖSTHAMMAR</t>
        </is>
      </c>
      <c r="F3300" t="inlineStr">
        <is>
          <t>Bergvik skog öst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10072-2024</t>
        </is>
      </c>
      <c r="B3301" s="1" t="n">
        <v>45364</v>
      </c>
      <c r="C3301" s="1" t="n">
        <v>46098</v>
      </c>
      <c r="D3301" t="inlineStr">
        <is>
          <t>UPPSALA LÄN</t>
        </is>
      </c>
      <c r="E3301" t="inlineStr">
        <is>
          <t>HEBY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38865-2022</t>
        </is>
      </c>
      <c r="B3302" s="1" t="n">
        <v>44816</v>
      </c>
      <c r="C3302" s="1" t="n">
        <v>46098</v>
      </c>
      <c r="D3302" t="inlineStr">
        <is>
          <t>UPPSALA LÄN</t>
        </is>
      </c>
      <c r="E3302" t="inlineStr">
        <is>
          <t>UPPSALA</t>
        </is>
      </c>
      <c r="G3302" t="n">
        <v>14.6</v>
      </c>
      <c r="H3302" t="n">
        <v>0</v>
      </c>
      <c r="I3302" t="n">
        <v>0</v>
      </c>
      <c r="J3302" t="n">
        <v>0</v>
      </c>
      <c r="K3302" t="n">
        <v>0</v>
      </c>
      <c r="L3302" t="n">
        <v>0</v>
      </c>
      <c r="M3302" t="n">
        <v>0</v>
      </c>
      <c r="N3302" t="n">
        <v>0</v>
      </c>
      <c r="O3302" t="n">
        <v>0</v>
      </c>
      <c r="P3302" t="n">
        <v>0</v>
      </c>
      <c r="Q3302" t="n">
        <v>0</v>
      </c>
      <c r="R3302" s="2" t="inlineStr"/>
    </row>
    <row r="3303" ht="15" customHeight="1">
      <c r="A3303" t="inlineStr">
        <is>
          <t>A 1994-2024</t>
        </is>
      </c>
      <c r="B3303" s="1" t="n">
        <v>45308.63298611111</v>
      </c>
      <c r="C3303" s="1" t="n">
        <v>46098</v>
      </c>
      <c r="D3303" t="inlineStr">
        <is>
          <t>UPPSALA LÄN</t>
        </is>
      </c>
      <c r="E3303" t="inlineStr">
        <is>
          <t>UPPSALA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4562-2022</t>
        </is>
      </c>
      <c r="B3304" s="1" t="n">
        <v>44591</v>
      </c>
      <c r="C3304" s="1" t="n">
        <v>46098</v>
      </c>
      <c r="D3304" t="inlineStr">
        <is>
          <t>UPPSALA LÄN</t>
        </is>
      </c>
      <c r="E3304" t="inlineStr">
        <is>
          <t>ÖSTHAMMAR</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29927-2023</t>
        </is>
      </c>
      <c r="B3305" s="1" t="n">
        <v>45107</v>
      </c>
      <c r="C3305" s="1" t="n">
        <v>46098</v>
      </c>
      <c r="D3305" t="inlineStr">
        <is>
          <t>UPPSALA LÄN</t>
        </is>
      </c>
      <c r="E3305" t="inlineStr">
        <is>
          <t>UPPSALA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70228-2021</t>
        </is>
      </c>
      <c r="B3306" s="1" t="n">
        <v>44535</v>
      </c>
      <c r="C3306" s="1" t="n">
        <v>46098</v>
      </c>
      <c r="D3306" t="inlineStr">
        <is>
          <t>UPPSALA LÄN</t>
        </is>
      </c>
      <c r="E3306" t="inlineStr">
        <is>
          <t>UPPSALA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20496-2023</t>
        </is>
      </c>
      <c r="B3307" s="1" t="n">
        <v>45057.42894675926</v>
      </c>
      <c r="C3307" s="1" t="n">
        <v>46098</v>
      </c>
      <c r="D3307" t="inlineStr">
        <is>
          <t>UPPSALA LÄN</t>
        </is>
      </c>
      <c r="E3307" t="inlineStr">
        <is>
          <t>TIERP</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40812-2022</t>
        </is>
      </c>
      <c r="B3308" s="1" t="n">
        <v>44824.68791666667</v>
      </c>
      <c r="C3308" s="1" t="n">
        <v>46098</v>
      </c>
      <c r="D3308" t="inlineStr">
        <is>
          <t>UPPSALA LÄN</t>
        </is>
      </c>
      <c r="E3308" t="inlineStr">
        <is>
          <t>ENKÖPING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53733-2023</t>
        </is>
      </c>
      <c r="B3309" s="1" t="n">
        <v>45230.76862268519</v>
      </c>
      <c r="C3309" s="1" t="n">
        <v>46098</v>
      </c>
      <c r="D3309" t="inlineStr">
        <is>
          <t>UPPSALA LÄN</t>
        </is>
      </c>
      <c r="E3309" t="inlineStr">
        <is>
          <t>ÖSTHAMMAR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11224-2022</t>
        </is>
      </c>
      <c r="B3310" s="1" t="n">
        <v>44629.57741898148</v>
      </c>
      <c r="C3310" s="1" t="n">
        <v>46098</v>
      </c>
      <c r="D3310" t="inlineStr">
        <is>
          <t>UPPSALA LÄN</t>
        </is>
      </c>
      <c r="E3310" t="inlineStr">
        <is>
          <t>UPPSALA</t>
        </is>
      </c>
      <c r="F3310" t="inlineStr">
        <is>
          <t>Bergvik skog öst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7899-2022</t>
        </is>
      </c>
      <c r="B3311" s="1" t="n">
        <v>44608</v>
      </c>
      <c r="C3311" s="1" t="n">
        <v>46098</v>
      </c>
      <c r="D3311" t="inlineStr">
        <is>
          <t>UPPSALA LÄN</t>
        </is>
      </c>
      <c r="E3311" t="inlineStr">
        <is>
          <t>UPPSALA</t>
        </is>
      </c>
      <c r="F3311" t="inlineStr">
        <is>
          <t>Övriga Aktiebolag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25971-2023</t>
        </is>
      </c>
      <c r="B3312" s="1" t="n">
        <v>45090.80862268519</v>
      </c>
      <c r="C3312" s="1" t="n">
        <v>46098</v>
      </c>
      <c r="D3312" t="inlineStr">
        <is>
          <t>UPPSALA LÄN</t>
        </is>
      </c>
      <c r="E3312" t="inlineStr">
        <is>
          <t>HEBY</t>
        </is>
      </c>
      <c r="F3312" t="inlineStr">
        <is>
          <t>Övriga Aktiebolag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41308-2023</t>
        </is>
      </c>
      <c r="B3313" s="1" t="n">
        <v>45174.62788194444</v>
      </c>
      <c r="C3313" s="1" t="n">
        <v>46098</v>
      </c>
      <c r="D3313" t="inlineStr">
        <is>
          <t>UPPSALA LÄN</t>
        </is>
      </c>
      <c r="E3313" t="inlineStr">
        <is>
          <t>ÖSTHAMMAR</t>
        </is>
      </c>
      <c r="F3313" t="inlineStr">
        <is>
          <t>Övriga Aktiebolag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58772-2024</t>
        </is>
      </c>
      <c r="B3314" s="1" t="n">
        <v>45635</v>
      </c>
      <c r="C3314" s="1" t="n">
        <v>46098</v>
      </c>
      <c r="D3314" t="inlineStr">
        <is>
          <t>UPPSALA LÄN</t>
        </is>
      </c>
      <c r="E3314" t="inlineStr">
        <is>
          <t>TIERP</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8164-2025</t>
        </is>
      </c>
      <c r="B3315" s="1" t="n">
        <v>45707</v>
      </c>
      <c r="C3315" s="1" t="n">
        <v>46098</v>
      </c>
      <c r="D3315" t="inlineStr">
        <is>
          <t>UPPSALA LÄN</t>
        </is>
      </c>
      <c r="E3315" t="inlineStr">
        <is>
          <t>UPPSALA</t>
        </is>
      </c>
      <c r="F3315" t="inlineStr">
        <is>
          <t>Övriga Aktiebolag</t>
        </is>
      </c>
      <c r="G3315" t="n">
        <v>12.2</v>
      </c>
      <c r="H3315" t="n">
        <v>0</v>
      </c>
      <c r="I3315" t="n">
        <v>0</v>
      </c>
      <c r="J3315" t="n">
        <v>0</v>
      </c>
      <c r="K3315" t="n">
        <v>0</v>
      </c>
      <c r="L3315" t="n">
        <v>0</v>
      </c>
      <c r="M3315" t="n">
        <v>0</v>
      </c>
      <c r="N3315" t="n">
        <v>0</v>
      </c>
      <c r="O3315" t="n">
        <v>0</v>
      </c>
      <c r="P3315" t="n">
        <v>0</v>
      </c>
      <c r="Q3315" t="n">
        <v>0</v>
      </c>
      <c r="R3315" s="2" t="inlineStr"/>
    </row>
    <row r="3316" ht="15" customHeight="1">
      <c r="A3316" t="inlineStr">
        <is>
          <t>A 3371-2024</t>
        </is>
      </c>
      <c r="B3316" s="1" t="n">
        <v>45317</v>
      </c>
      <c r="C3316" s="1" t="n">
        <v>46098</v>
      </c>
      <c r="D3316" t="inlineStr">
        <is>
          <t>UPPSALA LÄN</t>
        </is>
      </c>
      <c r="E3316" t="inlineStr">
        <is>
          <t>HEBY</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3374-2024</t>
        </is>
      </c>
      <c r="B3317" s="1" t="n">
        <v>45317</v>
      </c>
      <c r="C3317" s="1" t="n">
        <v>46098</v>
      </c>
      <c r="D3317" t="inlineStr">
        <is>
          <t>UPPSALA LÄN</t>
        </is>
      </c>
      <c r="E3317" t="inlineStr">
        <is>
          <t>HEBY</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17969-2023</t>
        </is>
      </c>
      <c r="B3318" s="1" t="n">
        <v>45040.47081018519</v>
      </c>
      <c r="C3318" s="1" t="n">
        <v>46098</v>
      </c>
      <c r="D3318" t="inlineStr">
        <is>
          <t>UPPSALA LÄN</t>
        </is>
      </c>
      <c r="E3318" t="inlineStr">
        <is>
          <t>ÖSTHAMMAR</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43691-2024</t>
        </is>
      </c>
      <c r="B3319" s="1" t="n">
        <v>45569</v>
      </c>
      <c r="C3319" s="1" t="n">
        <v>46098</v>
      </c>
      <c r="D3319" t="inlineStr">
        <is>
          <t>UPPSALA LÄN</t>
        </is>
      </c>
      <c r="E3319" t="inlineStr">
        <is>
          <t>ENKÖPING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7286-2023</t>
        </is>
      </c>
      <c r="B3320" s="1" t="n">
        <v>44970</v>
      </c>
      <c r="C3320" s="1" t="n">
        <v>46098</v>
      </c>
      <c r="D3320" t="inlineStr">
        <is>
          <t>UPPSALA LÄN</t>
        </is>
      </c>
      <c r="E3320" t="inlineStr">
        <is>
          <t>ÄLVKARLEBY</t>
        </is>
      </c>
      <c r="F3320" t="inlineStr">
        <is>
          <t>Bergvik skog väst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25969-2023</t>
        </is>
      </c>
      <c r="B3321" s="1" t="n">
        <v>45090</v>
      </c>
      <c r="C3321" s="1" t="n">
        <v>46098</v>
      </c>
      <c r="D3321" t="inlineStr">
        <is>
          <t>UPPSALA LÄN</t>
        </is>
      </c>
      <c r="E3321" t="inlineStr">
        <is>
          <t>ÖSTHAMMAR</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60729-2024</t>
        </is>
      </c>
      <c r="B3322" s="1" t="n">
        <v>45644</v>
      </c>
      <c r="C3322" s="1" t="n">
        <v>46098</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56352-2021</t>
        </is>
      </c>
      <c r="B3323" s="1" t="n">
        <v>44480</v>
      </c>
      <c r="C3323" s="1" t="n">
        <v>46098</v>
      </c>
      <c r="D3323" t="inlineStr">
        <is>
          <t>UPPSALA LÄN</t>
        </is>
      </c>
      <c r="E3323" t="inlineStr">
        <is>
          <t>HEBY</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60925-2021</t>
        </is>
      </c>
      <c r="B3324" s="1" t="n">
        <v>44497.4666087963</v>
      </c>
      <c r="C3324" s="1" t="n">
        <v>46098</v>
      </c>
      <c r="D3324" t="inlineStr">
        <is>
          <t>UPPSALA LÄN</t>
        </is>
      </c>
      <c r="E3324" t="inlineStr">
        <is>
          <t>UPPSALA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3086-2023</t>
        </is>
      </c>
      <c r="B3325" s="1" t="n">
        <v>44946.43564814814</v>
      </c>
      <c r="C3325" s="1" t="n">
        <v>46098</v>
      </c>
      <c r="D3325" t="inlineStr">
        <is>
          <t>UPPSALA LÄN</t>
        </is>
      </c>
      <c r="E3325" t="inlineStr">
        <is>
          <t>UPPSALA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6422-2023</t>
        </is>
      </c>
      <c r="B3326" s="1" t="n">
        <v>44965</v>
      </c>
      <c r="C3326" s="1" t="n">
        <v>46098</v>
      </c>
      <c r="D3326" t="inlineStr">
        <is>
          <t>UPPSALA LÄN</t>
        </is>
      </c>
      <c r="E3326" t="inlineStr">
        <is>
          <t>UPPSALA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6423-2023</t>
        </is>
      </c>
      <c r="B3327" s="1" t="n">
        <v>44965</v>
      </c>
      <c r="C3327" s="1" t="n">
        <v>46098</v>
      </c>
      <c r="D3327" t="inlineStr">
        <is>
          <t>UPPSALA LÄN</t>
        </is>
      </c>
      <c r="E3327" t="inlineStr">
        <is>
          <t>UPPSALA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50998-2023</t>
        </is>
      </c>
      <c r="B3328" s="1" t="n">
        <v>45218.5586574074</v>
      </c>
      <c r="C3328" s="1" t="n">
        <v>46098</v>
      </c>
      <c r="D3328" t="inlineStr">
        <is>
          <t>UPPSALA LÄN</t>
        </is>
      </c>
      <c r="E3328" t="inlineStr">
        <is>
          <t>ÖSTHAMMAR</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55837-2023</t>
        </is>
      </c>
      <c r="B3329" s="1" t="n">
        <v>45239</v>
      </c>
      <c r="C3329" s="1" t="n">
        <v>46098</v>
      </c>
      <c r="D3329" t="inlineStr">
        <is>
          <t>UPPSALA LÄN</t>
        </is>
      </c>
      <c r="E3329" t="inlineStr">
        <is>
          <t>ÖSTHAMMAR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18838-2023</t>
        </is>
      </c>
      <c r="B3330" s="1" t="n">
        <v>45044</v>
      </c>
      <c r="C3330" s="1" t="n">
        <v>46098</v>
      </c>
      <c r="D3330" t="inlineStr">
        <is>
          <t>UPPSALA LÄN</t>
        </is>
      </c>
      <c r="E3330" t="inlineStr">
        <is>
          <t>ÖSTHAMMAR</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21302-2023</t>
        </is>
      </c>
      <c r="B3331" s="1" t="n">
        <v>45058</v>
      </c>
      <c r="C3331" s="1" t="n">
        <v>46098</v>
      </c>
      <c r="D3331" t="inlineStr">
        <is>
          <t>UPPSALA LÄN</t>
        </is>
      </c>
      <c r="E3331" t="inlineStr">
        <is>
          <t>HEBY</t>
        </is>
      </c>
      <c r="F3331" t="inlineStr">
        <is>
          <t>Bergvik skog väst AB</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17448-2022</t>
        </is>
      </c>
      <c r="B3332" s="1" t="n">
        <v>44679</v>
      </c>
      <c r="C3332" s="1" t="n">
        <v>46098</v>
      </c>
      <c r="D3332" t="inlineStr">
        <is>
          <t>UPPSALA LÄN</t>
        </is>
      </c>
      <c r="E3332" t="inlineStr">
        <is>
          <t>UPPSALA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59382-2022</t>
        </is>
      </c>
      <c r="B3333" s="1" t="n">
        <v>44905.50363425926</v>
      </c>
      <c r="C3333" s="1" t="n">
        <v>46098</v>
      </c>
      <c r="D3333" t="inlineStr">
        <is>
          <t>UPPSALA LÄN</t>
        </is>
      </c>
      <c r="E3333" t="inlineStr">
        <is>
          <t>ÖSTHAMMAR</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5974-2024</t>
        </is>
      </c>
      <c r="B3334" s="1" t="n">
        <v>45336.53908564815</v>
      </c>
      <c r="C3334" s="1" t="n">
        <v>46098</v>
      </c>
      <c r="D3334" t="inlineStr">
        <is>
          <t>UPPSALA LÄN</t>
        </is>
      </c>
      <c r="E3334" t="inlineStr">
        <is>
          <t>UPPSALA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2838-2025</t>
        </is>
      </c>
      <c r="B3335" s="1" t="n">
        <v>45677.64354166666</v>
      </c>
      <c r="C3335" s="1" t="n">
        <v>46098</v>
      </c>
      <c r="D3335" t="inlineStr">
        <is>
          <t>UPPSALA LÄN</t>
        </is>
      </c>
      <c r="E3335" t="inlineStr">
        <is>
          <t>TIERP</t>
        </is>
      </c>
      <c r="F3335" t="inlineStr">
        <is>
          <t>Bergvik skog väst AB</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2454-2024</t>
        </is>
      </c>
      <c r="B3336" s="1" t="n">
        <v>45312</v>
      </c>
      <c r="C3336" s="1" t="n">
        <v>46098</v>
      </c>
      <c r="D3336" t="inlineStr">
        <is>
          <t>UPPSALA LÄN</t>
        </is>
      </c>
      <c r="E3336" t="inlineStr">
        <is>
          <t>TIERP</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25333-2023</t>
        </is>
      </c>
      <c r="B3337" s="1" t="n">
        <v>45083</v>
      </c>
      <c r="C3337" s="1" t="n">
        <v>46098</v>
      </c>
      <c r="D3337" t="inlineStr">
        <is>
          <t>UPPSALA LÄN</t>
        </is>
      </c>
      <c r="E3337" t="inlineStr">
        <is>
          <t>ENKÖPING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5975-2024</t>
        </is>
      </c>
      <c r="B3338" s="1" t="n">
        <v>45336.54270833333</v>
      </c>
      <c r="C3338" s="1" t="n">
        <v>46098</v>
      </c>
      <c r="D3338" t="inlineStr">
        <is>
          <t>UPPSALA LÄN</t>
        </is>
      </c>
      <c r="E3338" t="inlineStr">
        <is>
          <t>UPPSALA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13679-2024</t>
        </is>
      </c>
      <c r="B3339" s="1" t="n">
        <v>45390.55424768518</v>
      </c>
      <c r="C3339" s="1" t="n">
        <v>46098</v>
      </c>
      <c r="D3339" t="inlineStr">
        <is>
          <t>UPPSALA LÄN</t>
        </is>
      </c>
      <c r="E3339" t="inlineStr">
        <is>
          <t>HEBY</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32975-2021</t>
        </is>
      </c>
      <c r="B3340" s="1" t="n">
        <v>44376</v>
      </c>
      <c r="C3340" s="1" t="n">
        <v>46098</v>
      </c>
      <c r="D3340" t="inlineStr">
        <is>
          <t>UPPSALA LÄN</t>
        </is>
      </c>
      <c r="E3340" t="inlineStr">
        <is>
          <t>KNIVSTA</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3300-2025</t>
        </is>
      </c>
      <c r="B3341" s="1" t="n">
        <v>45679</v>
      </c>
      <c r="C3341" s="1" t="n">
        <v>46098</v>
      </c>
      <c r="D3341" t="inlineStr">
        <is>
          <t>UPPSALA LÄN</t>
        </is>
      </c>
      <c r="E3341" t="inlineStr">
        <is>
          <t>ENKÖPING</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13463-2025</t>
        </is>
      </c>
      <c r="B3342" s="1" t="n">
        <v>45736.3927662037</v>
      </c>
      <c r="C3342" s="1" t="n">
        <v>46098</v>
      </c>
      <c r="D3342" t="inlineStr">
        <is>
          <t>UPPSALA LÄN</t>
        </is>
      </c>
      <c r="E3342" t="inlineStr">
        <is>
          <t>HEBY</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42725-2023</t>
        </is>
      </c>
      <c r="B3343" s="1" t="n">
        <v>45181.63969907408</v>
      </c>
      <c r="C3343" s="1" t="n">
        <v>46098</v>
      </c>
      <c r="D3343" t="inlineStr">
        <is>
          <t>UPPSALA LÄN</t>
        </is>
      </c>
      <c r="E3343" t="inlineStr">
        <is>
          <t>HEBY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17085-2025</t>
        </is>
      </c>
      <c r="B3344" s="1" t="n">
        <v>45755.64612268518</v>
      </c>
      <c r="C3344" s="1" t="n">
        <v>46098</v>
      </c>
      <c r="D3344" t="inlineStr">
        <is>
          <t>UPPSALA LÄN</t>
        </is>
      </c>
      <c r="E3344" t="inlineStr">
        <is>
          <t>ÖSTHAMMAR</t>
        </is>
      </c>
      <c r="F3344" t="inlineStr">
        <is>
          <t>Bergvik skog öst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57402-2024</t>
        </is>
      </c>
      <c r="B3345" s="1" t="n">
        <v>45629</v>
      </c>
      <c r="C3345" s="1" t="n">
        <v>46098</v>
      </c>
      <c r="D3345" t="inlineStr">
        <is>
          <t>UPPSALA LÄN</t>
        </is>
      </c>
      <c r="E3345" t="inlineStr">
        <is>
          <t>TIERP</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29231-2024</t>
        </is>
      </c>
      <c r="B3346" s="1" t="n">
        <v>45482</v>
      </c>
      <c r="C3346" s="1" t="n">
        <v>46098</v>
      </c>
      <c r="D3346" t="inlineStr">
        <is>
          <t>UPPSALA LÄN</t>
        </is>
      </c>
      <c r="E3346" t="inlineStr">
        <is>
          <t>ÖSTHAMMAR</t>
        </is>
      </c>
      <c r="F3346" t="inlineStr">
        <is>
          <t>Bergvik skog öst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12754-2025</t>
        </is>
      </c>
      <c r="B3347" s="1" t="n">
        <v>45733.56331018519</v>
      </c>
      <c r="C3347" s="1" t="n">
        <v>46098</v>
      </c>
      <c r="D3347" t="inlineStr">
        <is>
          <t>UPPSALA LÄN</t>
        </is>
      </c>
      <c r="E3347" t="inlineStr">
        <is>
          <t>ENKÖPING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60989-2023</t>
        </is>
      </c>
      <c r="B3348" s="1" t="n">
        <v>45259</v>
      </c>
      <c r="C3348" s="1" t="n">
        <v>46098</v>
      </c>
      <c r="D3348" t="inlineStr">
        <is>
          <t>UPPSALA LÄN</t>
        </is>
      </c>
      <c r="E3348" t="inlineStr">
        <is>
          <t>TIERP</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5126-2024</t>
        </is>
      </c>
      <c r="B3349" s="1" t="n">
        <v>45330.44269675926</v>
      </c>
      <c r="C3349" s="1" t="n">
        <v>46098</v>
      </c>
      <c r="D3349" t="inlineStr">
        <is>
          <t>UPPSALA LÄN</t>
        </is>
      </c>
      <c r="E3349" t="inlineStr">
        <is>
          <t>TIERP</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3503-2024</t>
        </is>
      </c>
      <c r="B3350" s="1" t="n">
        <v>45320</v>
      </c>
      <c r="C3350" s="1" t="n">
        <v>46098</v>
      </c>
      <c r="D3350" t="inlineStr">
        <is>
          <t>UPPSALA LÄN</t>
        </is>
      </c>
      <c r="E3350" t="inlineStr">
        <is>
          <t>TIERP</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44184-2024</t>
        </is>
      </c>
      <c r="B3351" s="1" t="n">
        <v>45572</v>
      </c>
      <c r="C3351" s="1" t="n">
        <v>46098</v>
      </c>
      <c r="D3351" t="inlineStr">
        <is>
          <t>UPPSALA LÄN</t>
        </is>
      </c>
      <c r="E3351" t="inlineStr">
        <is>
          <t>ÖSTHAMMAR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60954-2024</t>
        </is>
      </c>
      <c r="B3352" s="1" t="n">
        <v>45645</v>
      </c>
      <c r="C3352" s="1" t="n">
        <v>46098</v>
      </c>
      <c r="D3352" t="inlineStr">
        <is>
          <t>UPPSALA LÄN</t>
        </is>
      </c>
      <c r="E3352" t="inlineStr">
        <is>
          <t>UPPSALA</t>
        </is>
      </c>
      <c r="F3352" t="inlineStr">
        <is>
          <t>Kommuner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8933-2022</t>
        </is>
      </c>
      <c r="B3353" s="1" t="n">
        <v>44614.69730324074</v>
      </c>
      <c r="C3353" s="1" t="n">
        <v>46098</v>
      </c>
      <c r="D3353" t="inlineStr">
        <is>
          <t>UPPSALA LÄN</t>
        </is>
      </c>
      <c r="E3353" t="inlineStr">
        <is>
          <t>UPPSALA</t>
        </is>
      </c>
      <c r="F3353" t="inlineStr">
        <is>
          <t>Holmen skog AB</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60714-2023</t>
        </is>
      </c>
      <c r="B3354" s="1" t="n">
        <v>45259</v>
      </c>
      <c r="C3354" s="1" t="n">
        <v>46098</v>
      </c>
      <c r="D3354" t="inlineStr">
        <is>
          <t>UPPSALA LÄN</t>
        </is>
      </c>
      <c r="E3354" t="inlineStr">
        <is>
          <t>UPPSALA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8056-2024</t>
        </is>
      </c>
      <c r="B3355" s="1" t="n">
        <v>45351</v>
      </c>
      <c r="C3355" s="1" t="n">
        <v>46098</v>
      </c>
      <c r="D3355" t="inlineStr">
        <is>
          <t>UPPSALA LÄN</t>
        </is>
      </c>
      <c r="E3355" t="inlineStr">
        <is>
          <t>HEBY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16176-2025</t>
        </is>
      </c>
      <c r="B3356" s="1" t="n">
        <v>45750</v>
      </c>
      <c r="C3356" s="1" t="n">
        <v>46098</v>
      </c>
      <c r="D3356" t="inlineStr">
        <is>
          <t>UPPSALA LÄN</t>
        </is>
      </c>
      <c r="E3356" t="inlineStr">
        <is>
          <t>ENKÖPING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48153-2024</t>
        </is>
      </c>
      <c r="B3357" s="1" t="n">
        <v>45589</v>
      </c>
      <c r="C3357" s="1" t="n">
        <v>46098</v>
      </c>
      <c r="D3357" t="inlineStr">
        <is>
          <t>UPPSALA LÄN</t>
        </is>
      </c>
      <c r="E3357" t="inlineStr">
        <is>
          <t>UPPSALA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48154-2024</t>
        </is>
      </c>
      <c r="B3358" s="1" t="n">
        <v>45589</v>
      </c>
      <c r="C3358" s="1" t="n">
        <v>46098</v>
      </c>
      <c r="D3358" t="inlineStr">
        <is>
          <t>UPPSALA LÄN</t>
        </is>
      </c>
      <c r="E3358" t="inlineStr">
        <is>
          <t>UPPSALA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56713-2024</t>
        </is>
      </c>
      <c r="B3359" s="1" t="n">
        <v>45628</v>
      </c>
      <c r="C3359" s="1" t="n">
        <v>46098</v>
      </c>
      <c r="D3359" t="inlineStr">
        <is>
          <t>UPPSALA LÄN</t>
        </is>
      </c>
      <c r="E3359" t="inlineStr">
        <is>
          <t>ENKÖPING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6060-2025</t>
        </is>
      </c>
      <c r="B3360" s="1" t="n">
        <v>45695.84078703704</v>
      </c>
      <c r="C3360" s="1" t="n">
        <v>46098</v>
      </c>
      <c r="D3360" t="inlineStr">
        <is>
          <t>UPPSALA LÄN</t>
        </is>
      </c>
      <c r="E3360" t="inlineStr">
        <is>
          <t>UPPSALA</t>
        </is>
      </c>
      <c r="F3360" t="inlineStr">
        <is>
          <t>Bergvik skog öst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9264-2024</t>
        </is>
      </c>
      <c r="B3361" s="1" t="n">
        <v>45358</v>
      </c>
      <c r="C3361" s="1" t="n">
        <v>46098</v>
      </c>
      <c r="D3361" t="inlineStr">
        <is>
          <t>UPPSALA LÄN</t>
        </is>
      </c>
      <c r="E3361" t="inlineStr">
        <is>
          <t>ÖSTHAMMAR</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31407-2023</t>
        </is>
      </c>
      <c r="B3362" s="1" t="n">
        <v>45114</v>
      </c>
      <c r="C3362" s="1" t="n">
        <v>46098</v>
      </c>
      <c r="D3362" t="inlineStr">
        <is>
          <t>UPPSALA LÄN</t>
        </is>
      </c>
      <c r="E3362" t="inlineStr">
        <is>
          <t>HEBY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33784-2024</t>
        </is>
      </c>
      <c r="B3363" s="1" t="n">
        <v>45520</v>
      </c>
      <c r="C3363" s="1" t="n">
        <v>46098</v>
      </c>
      <c r="D3363" t="inlineStr">
        <is>
          <t>UPPSALA LÄN</t>
        </is>
      </c>
      <c r="E3363" t="inlineStr">
        <is>
          <t>ÖSTHAMMAR</t>
        </is>
      </c>
      <c r="F3363" t="inlineStr">
        <is>
          <t>Naturvårdsverket</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11643-2022</t>
        </is>
      </c>
      <c r="B3364" s="1" t="n">
        <v>44631.92662037037</v>
      </c>
      <c r="C3364" s="1" t="n">
        <v>46098</v>
      </c>
      <c r="D3364" t="inlineStr">
        <is>
          <t>UPPSALA LÄN</t>
        </is>
      </c>
      <c r="E3364" t="inlineStr">
        <is>
          <t>ÖSTHAMMAR</t>
        </is>
      </c>
      <c r="F3364" t="inlineStr">
        <is>
          <t>Bergvik skog öst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37865-2023</t>
        </is>
      </c>
      <c r="B3365" s="1" t="n">
        <v>45160</v>
      </c>
      <c r="C3365" s="1" t="n">
        <v>46098</v>
      </c>
      <c r="D3365" t="inlineStr">
        <is>
          <t>UPPSALA LÄN</t>
        </is>
      </c>
      <c r="E3365" t="inlineStr">
        <is>
          <t>ÖSTHAMMAR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37870-2023</t>
        </is>
      </c>
      <c r="B3366" s="1" t="n">
        <v>45160.41996527778</v>
      </c>
      <c r="C3366" s="1" t="n">
        <v>46098</v>
      </c>
      <c r="D3366" t="inlineStr">
        <is>
          <t>UPPSALA LÄN</t>
        </is>
      </c>
      <c r="E3366" t="inlineStr">
        <is>
          <t>ENKÖPING</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6006-2025</t>
        </is>
      </c>
      <c r="B3367" s="1" t="n">
        <v>45695.59197916667</v>
      </c>
      <c r="C3367" s="1" t="n">
        <v>46098</v>
      </c>
      <c r="D3367" t="inlineStr">
        <is>
          <t>UPPSALA LÄN</t>
        </is>
      </c>
      <c r="E3367" t="inlineStr">
        <is>
          <t>UPPSALA</t>
        </is>
      </c>
      <c r="F3367" t="inlineStr">
        <is>
          <t>Övriga Aktiebolag</t>
        </is>
      </c>
      <c r="G3367" t="n">
        <v>13.8</v>
      </c>
      <c r="H3367" t="n">
        <v>0</v>
      </c>
      <c r="I3367" t="n">
        <v>0</v>
      </c>
      <c r="J3367" t="n">
        <v>0</v>
      </c>
      <c r="K3367" t="n">
        <v>0</v>
      </c>
      <c r="L3367" t="n">
        <v>0</v>
      </c>
      <c r="M3367" t="n">
        <v>0</v>
      </c>
      <c r="N3367" t="n">
        <v>0</v>
      </c>
      <c r="O3367" t="n">
        <v>0</v>
      </c>
      <c r="P3367" t="n">
        <v>0</v>
      </c>
      <c r="Q3367" t="n">
        <v>0</v>
      </c>
      <c r="R3367" s="2" t="inlineStr"/>
    </row>
    <row r="3368" ht="15" customHeight="1">
      <c r="A3368" t="inlineStr">
        <is>
          <t>A 34607-2023</t>
        </is>
      </c>
      <c r="B3368" s="1" t="n">
        <v>45138</v>
      </c>
      <c r="C3368" s="1" t="n">
        <v>46098</v>
      </c>
      <c r="D3368" t="inlineStr">
        <is>
          <t>UPPSALA LÄN</t>
        </is>
      </c>
      <c r="E3368" t="inlineStr">
        <is>
          <t>ÖSTHAMMAR</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18544-2025</t>
        </is>
      </c>
      <c r="B3369" s="1" t="n">
        <v>45763.42081018518</v>
      </c>
      <c r="C3369" s="1" t="n">
        <v>46098</v>
      </c>
      <c r="D3369" t="inlineStr">
        <is>
          <t>UPPSALA LÄN</t>
        </is>
      </c>
      <c r="E3369" t="inlineStr">
        <is>
          <t>TIERP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28825-2024</t>
        </is>
      </c>
      <c r="B3370" s="1" t="n">
        <v>45478</v>
      </c>
      <c r="C3370" s="1" t="n">
        <v>46098</v>
      </c>
      <c r="D3370" t="inlineStr">
        <is>
          <t>UPPSALA LÄN</t>
        </is>
      </c>
      <c r="E3370" t="inlineStr">
        <is>
          <t>UPPSALA</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45592-2023</t>
        </is>
      </c>
      <c r="B3371" s="1" t="n">
        <v>45194.63479166666</v>
      </c>
      <c r="C3371" s="1" t="n">
        <v>46098</v>
      </c>
      <c r="D3371" t="inlineStr">
        <is>
          <t>UPPSALA LÄN</t>
        </is>
      </c>
      <c r="E3371" t="inlineStr">
        <is>
          <t>UPPSALA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45575-2023</t>
        </is>
      </c>
      <c r="B3372" s="1" t="n">
        <v>45194.60876157408</v>
      </c>
      <c r="C3372" s="1" t="n">
        <v>46098</v>
      </c>
      <c r="D3372" t="inlineStr">
        <is>
          <t>UPPSALA LÄN</t>
        </is>
      </c>
      <c r="E3372" t="inlineStr">
        <is>
          <t>UPPSALA</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22094-2023</t>
        </is>
      </c>
      <c r="B3373" s="1" t="n">
        <v>45069</v>
      </c>
      <c r="C3373" s="1" t="n">
        <v>46098</v>
      </c>
      <c r="D3373" t="inlineStr">
        <is>
          <t>UPPSALA LÄN</t>
        </is>
      </c>
      <c r="E3373" t="inlineStr">
        <is>
          <t>ENKÖPING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5215-2025</t>
        </is>
      </c>
      <c r="B3374" s="1" t="n">
        <v>45691</v>
      </c>
      <c r="C3374" s="1" t="n">
        <v>46098</v>
      </c>
      <c r="D3374" t="inlineStr">
        <is>
          <t>UPPSALA LÄN</t>
        </is>
      </c>
      <c r="E3374" t="inlineStr">
        <is>
          <t>ÖSTHAMMAR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50037-2024</t>
        </is>
      </c>
      <c r="B3375" s="1" t="n">
        <v>45599</v>
      </c>
      <c r="C3375" s="1" t="n">
        <v>46098</v>
      </c>
      <c r="D3375" t="inlineStr">
        <is>
          <t>UPPSALA LÄN</t>
        </is>
      </c>
      <c r="E3375" t="inlineStr">
        <is>
          <t>UPPSALA</t>
        </is>
      </c>
      <c r="G3375" t="n">
        <v>13.7</v>
      </c>
      <c r="H3375" t="n">
        <v>0</v>
      </c>
      <c r="I3375" t="n">
        <v>0</v>
      </c>
      <c r="J3375" t="n">
        <v>0</v>
      </c>
      <c r="K3375" t="n">
        <v>0</v>
      </c>
      <c r="L3375" t="n">
        <v>0</v>
      </c>
      <c r="M3375" t="n">
        <v>0</v>
      </c>
      <c r="N3375" t="n">
        <v>0</v>
      </c>
      <c r="O3375" t="n">
        <v>0</v>
      </c>
      <c r="P3375" t="n">
        <v>0</v>
      </c>
      <c r="Q3375" t="n">
        <v>0</v>
      </c>
      <c r="R3375" s="2" t="inlineStr"/>
    </row>
    <row r="3376" ht="15" customHeight="1">
      <c r="A3376" t="inlineStr">
        <is>
          <t>A 2733-2023</t>
        </is>
      </c>
      <c r="B3376" s="1" t="n">
        <v>44943</v>
      </c>
      <c r="C3376" s="1" t="n">
        <v>46098</v>
      </c>
      <c r="D3376" t="inlineStr">
        <is>
          <t>UPPSALA LÄN</t>
        </is>
      </c>
      <c r="E3376" t="inlineStr">
        <is>
          <t>ÖSTHAMMAR</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12156-2023</t>
        </is>
      </c>
      <c r="B3377" s="1" t="n">
        <v>44998.49157407408</v>
      </c>
      <c r="C3377" s="1" t="n">
        <v>46098</v>
      </c>
      <c r="D3377" t="inlineStr">
        <is>
          <t>UPPSALA LÄN</t>
        </is>
      </c>
      <c r="E3377" t="inlineStr">
        <is>
          <t>HÅBO</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408-2024</t>
        </is>
      </c>
      <c r="B3378" s="1" t="n">
        <v>45296</v>
      </c>
      <c r="C3378" s="1" t="n">
        <v>46098</v>
      </c>
      <c r="D3378" t="inlineStr">
        <is>
          <t>UPPSALA LÄN</t>
        </is>
      </c>
      <c r="E3378" t="inlineStr">
        <is>
          <t>TIERP</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8769-2025</t>
        </is>
      </c>
      <c r="B3379" s="1" t="n">
        <v>45712.59412037037</v>
      </c>
      <c r="C3379" s="1" t="n">
        <v>46098</v>
      </c>
      <c r="D3379" t="inlineStr">
        <is>
          <t>UPPSALA LÄN</t>
        </is>
      </c>
      <c r="E3379" t="inlineStr">
        <is>
          <t>ÖSTHAMMAR</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50535-2024</t>
        </is>
      </c>
      <c r="B3380" s="1" t="n">
        <v>45600</v>
      </c>
      <c r="C3380" s="1" t="n">
        <v>46098</v>
      </c>
      <c r="D3380" t="inlineStr">
        <is>
          <t>UPPSALA LÄN</t>
        </is>
      </c>
      <c r="E3380" t="inlineStr">
        <is>
          <t>UPPSALA</t>
        </is>
      </c>
      <c r="F3380" t="inlineStr">
        <is>
          <t>Övriga statliga verk och myndigheter</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15405-2025</t>
        </is>
      </c>
      <c r="B3381" s="1" t="n">
        <v>45747.44670138889</v>
      </c>
      <c r="C3381" s="1" t="n">
        <v>46098</v>
      </c>
      <c r="D3381" t="inlineStr">
        <is>
          <t>UPPSALA LÄN</t>
        </is>
      </c>
      <c r="E3381" t="inlineStr">
        <is>
          <t>ENKÖPING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34971-2022</t>
        </is>
      </c>
      <c r="B3382" s="1" t="n">
        <v>44796.66613425926</v>
      </c>
      <c r="C3382" s="1" t="n">
        <v>46098</v>
      </c>
      <c r="D3382" t="inlineStr">
        <is>
          <t>UPPSALA LÄN</t>
        </is>
      </c>
      <c r="E3382" t="inlineStr">
        <is>
          <t>ÖSTHAMMAR</t>
        </is>
      </c>
      <c r="F3382" t="inlineStr">
        <is>
          <t>Bergvik skog öst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3725-2022</t>
        </is>
      </c>
      <c r="B3383" s="1" t="n">
        <v>44586</v>
      </c>
      <c r="C3383" s="1" t="n">
        <v>46098</v>
      </c>
      <c r="D3383" t="inlineStr">
        <is>
          <t>UPPSALA LÄN</t>
        </is>
      </c>
      <c r="E3383" t="inlineStr">
        <is>
          <t>ÖSTHAMMAR</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12812-2024</t>
        </is>
      </c>
      <c r="B3384" s="1" t="n">
        <v>45384.65465277778</v>
      </c>
      <c r="C3384" s="1" t="n">
        <v>46098</v>
      </c>
      <c r="D3384" t="inlineStr">
        <is>
          <t>UPPSALA LÄN</t>
        </is>
      </c>
      <c r="E3384" t="inlineStr">
        <is>
          <t>ÖSTHAMMAR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35079-2024</t>
        </is>
      </c>
      <c r="B3385" s="1" t="n">
        <v>45527.66770833333</v>
      </c>
      <c r="C3385" s="1" t="n">
        <v>46098</v>
      </c>
      <c r="D3385" t="inlineStr">
        <is>
          <t>UPPSALA LÄN</t>
        </is>
      </c>
      <c r="E3385" t="inlineStr">
        <is>
          <t>ENKÖPING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16126-2022</t>
        </is>
      </c>
      <c r="B3386" s="1" t="n">
        <v>44665</v>
      </c>
      <c r="C3386" s="1" t="n">
        <v>46098</v>
      </c>
      <c r="D3386" t="inlineStr">
        <is>
          <t>UPPSALA LÄN</t>
        </is>
      </c>
      <c r="E3386" t="inlineStr">
        <is>
          <t>UPPSALA</t>
        </is>
      </c>
      <c r="F3386" t="inlineStr">
        <is>
          <t>Bergvik skog öst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29115-2023</t>
        </is>
      </c>
      <c r="B3387" s="1" t="n">
        <v>45105.39783564815</v>
      </c>
      <c r="C3387" s="1" t="n">
        <v>46098</v>
      </c>
      <c r="D3387" t="inlineStr">
        <is>
          <t>UPPSALA LÄN</t>
        </is>
      </c>
      <c r="E3387" t="inlineStr">
        <is>
          <t>TIERP</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7388-2024</t>
        </is>
      </c>
      <c r="B3388" s="1" t="n">
        <v>45345.56</v>
      </c>
      <c r="C3388" s="1" t="n">
        <v>46098</v>
      </c>
      <c r="D3388" t="inlineStr">
        <is>
          <t>UPPSALA LÄN</t>
        </is>
      </c>
      <c r="E3388" t="inlineStr">
        <is>
          <t>UPPSALA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28170-2023</t>
        </is>
      </c>
      <c r="B3389" s="1" t="n">
        <v>45093</v>
      </c>
      <c r="C3389" s="1" t="n">
        <v>46098</v>
      </c>
      <c r="D3389" t="inlineStr">
        <is>
          <t>UPPSALA LÄN</t>
        </is>
      </c>
      <c r="E3389" t="inlineStr">
        <is>
          <t>ÖSTHAMMAR</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19721-2022</t>
        </is>
      </c>
      <c r="B3390" s="1" t="n">
        <v>44694</v>
      </c>
      <c r="C3390" s="1" t="n">
        <v>46098</v>
      </c>
      <c r="D3390" t="inlineStr">
        <is>
          <t>UPPSALA LÄN</t>
        </is>
      </c>
      <c r="E3390" t="inlineStr">
        <is>
          <t>HEBY</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7876-2023</t>
        </is>
      </c>
      <c r="B3391" s="1" t="n">
        <v>44973.57263888889</v>
      </c>
      <c r="C3391" s="1" t="n">
        <v>46098</v>
      </c>
      <c r="D3391" t="inlineStr">
        <is>
          <t>UPPSALA LÄN</t>
        </is>
      </c>
      <c r="E3391" t="inlineStr">
        <is>
          <t>ÖSTHAMMAR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33581-2023</t>
        </is>
      </c>
      <c r="B3392" s="1" t="n">
        <v>45131</v>
      </c>
      <c r="C3392" s="1" t="n">
        <v>46098</v>
      </c>
      <c r="D3392" t="inlineStr">
        <is>
          <t>UPPSALA LÄN</t>
        </is>
      </c>
      <c r="E3392" t="inlineStr">
        <is>
          <t>ENKÖPING</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48956-2023</t>
        </is>
      </c>
      <c r="B3393" s="1" t="n">
        <v>45209.58532407408</v>
      </c>
      <c r="C3393" s="1" t="n">
        <v>46098</v>
      </c>
      <c r="D3393" t="inlineStr">
        <is>
          <t>UPPSALA LÄN</t>
        </is>
      </c>
      <c r="E3393" t="inlineStr">
        <is>
          <t>HEBY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11306-2025</t>
        </is>
      </c>
      <c r="B3394" s="1" t="n">
        <v>45726.44540509259</v>
      </c>
      <c r="C3394" s="1" t="n">
        <v>46098</v>
      </c>
      <c r="D3394" t="inlineStr">
        <is>
          <t>UPPSALA LÄN</t>
        </is>
      </c>
      <c r="E3394" t="inlineStr">
        <is>
          <t>TIERP</t>
        </is>
      </c>
      <c r="F3394" t="inlineStr">
        <is>
          <t>Bergvik skog öst AB</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56163-2021</t>
        </is>
      </c>
      <c r="B3395" s="1" t="n">
        <v>44477</v>
      </c>
      <c r="C3395" s="1" t="n">
        <v>46098</v>
      </c>
      <c r="D3395" t="inlineStr">
        <is>
          <t>UPPSALA LÄN</t>
        </is>
      </c>
      <c r="E3395" t="inlineStr">
        <is>
          <t>ENKÖPING</t>
        </is>
      </c>
      <c r="F3395" t="inlineStr">
        <is>
          <t>Allmännings- och besparingsskogar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47909-2024</t>
        </is>
      </c>
      <c r="B3396" s="1" t="n">
        <v>45589.31866898148</v>
      </c>
      <c r="C3396" s="1" t="n">
        <v>46098</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51756-2023</t>
        </is>
      </c>
      <c r="B3397" s="1" t="n">
        <v>45222.6916550926</v>
      </c>
      <c r="C3397" s="1" t="n">
        <v>46098</v>
      </c>
      <c r="D3397" t="inlineStr">
        <is>
          <t>UPPSALA LÄN</t>
        </is>
      </c>
      <c r="E3397" t="inlineStr">
        <is>
          <t>TIERP</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46430-2023</t>
        </is>
      </c>
      <c r="B3398" s="1" t="n">
        <v>45197.5709375</v>
      </c>
      <c r="C3398" s="1" t="n">
        <v>46098</v>
      </c>
      <c r="D3398" t="inlineStr">
        <is>
          <t>UPPSALA LÄN</t>
        </is>
      </c>
      <c r="E3398" t="inlineStr">
        <is>
          <t>HEBY</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14400-2025</t>
        </is>
      </c>
      <c r="B3399" s="1" t="n">
        <v>45741.45114583334</v>
      </c>
      <c r="C3399" s="1" t="n">
        <v>46098</v>
      </c>
      <c r="D3399" t="inlineStr">
        <is>
          <t>UPPSALA LÄN</t>
        </is>
      </c>
      <c r="E3399" t="inlineStr">
        <is>
          <t>UPPSALA</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36781-2023</t>
        </is>
      </c>
      <c r="B3400" s="1" t="n">
        <v>45154.34931712963</v>
      </c>
      <c r="C3400" s="1" t="n">
        <v>46098</v>
      </c>
      <c r="D3400" t="inlineStr">
        <is>
          <t>UPPSALA LÄN</t>
        </is>
      </c>
      <c r="E3400" t="inlineStr">
        <is>
          <t>UPPSALA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51932-2022</t>
        </is>
      </c>
      <c r="B3401" s="1" t="n">
        <v>44872</v>
      </c>
      <c r="C3401" s="1" t="n">
        <v>46098</v>
      </c>
      <c r="D3401" t="inlineStr">
        <is>
          <t>UPPSALA LÄN</t>
        </is>
      </c>
      <c r="E3401" t="inlineStr">
        <is>
          <t>ENKÖPING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14433-2024</t>
        </is>
      </c>
      <c r="B3402" s="1" t="n">
        <v>45394.46115740741</v>
      </c>
      <c r="C3402" s="1" t="n">
        <v>46098</v>
      </c>
      <c r="D3402" t="inlineStr">
        <is>
          <t>UPPSALA LÄN</t>
        </is>
      </c>
      <c r="E3402" t="inlineStr">
        <is>
          <t>ÖSTHAMMAR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41599-2023</t>
        </is>
      </c>
      <c r="B3403" s="1" t="n">
        <v>45175.6459375</v>
      </c>
      <c r="C3403" s="1" t="n">
        <v>46098</v>
      </c>
      <c r="D3403" t="inlineStr">
        <is>
          <t>UPPSALA LÄN</t>
        </is>
      </c>
      <c r="E3403" t="inlineStr">
        <is>
          <t>HEBY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15655-2025</t>
        </is>
      </c>
      <c r="B3404" s="1" t="n">
        <v>45748</v>
      </c>
      <c r="C3404" s="1" t="n">
        <v>46098</v>
      </c>
      <c r="D3404" t="inlineStr">
        <is>
          <t>UPPSALA LÄN</t>
        </is>
      </c>
      <c r="E3404" t="inlineStr">
        <is>
          <t>TIERP</t>
        </is>
      </c>
      <c r="F3404" t="inlineStr">
        <is>
          <t>Kyrkan</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21859-2024</t>
        </is>
      </c>
      <c r="B3405" s="1" t="n">
        <v>45443</v>
      </c>
      <c r="C3405" s="1" t="n">
        <v>46098</v>
      </c>
      <c r="D3405" t="inlineStr">
        <is>
          <t>UPPSALA LÄN</t>
        </is>
      </c>
      <c r="E3405" t="inlineStr">
        <is>
          <t>UPPSALA</t>
        </is>
      </c>
      <c r="F3405" t="inlineStr">
        <is>
          <t>Kyrkan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6009-2022</t>
        </is>
      </c>
      <c r="B3406" s="1" t="n">
        <v>44599.44832175926</v>
      </c>
      <c r="C3406" s="1" t="n">
        <v>46098</v>
      </c>
      <c r="D3406" t="inlineStr">
        <is>
          <t>UPPSALA LÄN</t>
        </is>
      </c>
      <c r="E3406" t="inlineStr">
        <is>
          <t>UPPSALA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20038-2023</t>
        </is>
      </c>
      <c r="B3407" s="1" t="n">
        <v>45054.65834490741</v>
      </c>
      <c r="C3407" s="1" t="n">
        <v>46098</v>
      </c>
      <c r="D3407" t="inlineStr">
        <is>
          <t>UPPSALA LÄN</t>
        </is>
      </c>
      <c r="E3407" t="inlineStr">
        <is>
          <t>ÖSTHAMMAR</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2357-2024</t>
        </is>
      </c>
      <c r="B3408" s="1" t="n">
        <v>45310</v>
      </c>
      <c r="C3408" s="1" t="n">
        <v>46098</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4503-2024</t>
        </is>
      </c>
      <c r="B3409" s="1" t="n">
        <v>45327.61831018519</v>
      </c>
      <c r="C3409" s="1" t="n">
        <v>46098</v>
      </c>
      <c r="D3409" t="inlineStr">
        <is>
          <t>UPPSALA LÄN</t>
        </is>
      </c>
      <c r="E3409" t="inlineStr">
        <is>
          <t>UPPSALA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15031-2025</t>
        </is>
      </c>
      <c r="B3410" s="1" t="n">
        <v>45743.67333333333</v>
      </c>
      <c r="C3410" s="1" t="n">
        <v>46098</v>
      </c>
      <c r="D3410" t="inlineStr">
        <is>
          <t>UPPSALA LÄN</t>
        </is>
      </c>
      <c r="E3410" t="inlineStr">
        <is>
          <t>ÖSTHAMMAR</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13738-2023</t>
        </is>
      </c>
      <c r="B3411" s="1" t="n">
        <v>45007.37081018519</v>
      </c>
      <c r="C3411" s="1" t="n">
        <v>46098</v>
      </c>
      <c r="D3411" t="inlineStr">
        <is>
          <t>UPPSALA LÄN</t>
        </is>
      </c>
      <c r="E3411" t="inlineStr">
        <is>
          <t>ÖSTHAMMAR</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7732-2025</t>
        </is>
      </c>
      <c r="B3412" s="1" t="n">
        <v>45706</v>
      </c>
      <c r="C3412" s="1" t="n">
        <v>46098</v>
      </c>
      <c r="D3412" t="inlineStr">
        <is>
          <t>UPPSALA LÄN</t>
        </is>
      </c>
      <c r="E3412" t="inlineStr">
        <is>
          <t>TIERP</t>
        </is>
      </c>
      <c r="F3412" t="inlineStr">
        <is>
          <t>Bergvik skog öst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44315-2021</t>
        </is>
      </c>
      <c r="B3413" s="1" t="n">
        <v>44435.38657407407</v>
      </c>
      <c r="C3413" s="1" t="n">
        <v>46098</v>
      </c>
      <c r="D3413" t="inlineStr">
        <is>
          <t>UPPSALA LÄN</t>
        </is>
      </c>
      <c r="E3413" t="inlineStr">
        <is>
          <t>UPPSALA</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13900-2025</t>
        </is>
      </c>
      <c r="B3414" s="1" t="n">
        <v>45737.63353009259</v>
      </c>
      <c r="C3414" s="1" t="n">
        <v>46098</v>
      </c>
      <c r="D3414" t="inlineStr">
        <is>
          <t>UPPSALA LÄN</t>
        </is>
      </c>
      <c r="E3414" t="inlineStr">
        <is>
          <t>HEBY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14262-2025</t>
        </is>
      </c>
      <c r="B3415" s="1" t="n">
        <v>45740.63020833334</v>
      </c>
      <c r="C3415" s="1" t="n">
        <v>46098</v>
      </c>
      <c r="D3415" t="inlineStr">
        <is>
          <t>UPPSALA LÄN</t>
        </is>
      </c>
      <c r="E3415" t="inlineStr">
        <is>
          <t>HEBY</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43439-2024</t>
        </is>
      </c>
      <c r="B3416" s="1" t="n">
        <v>45568</v>
      </c>
      <c r="C3416" s="1" t="n">
        <v>46098</v>
      </c>
      <c r="D3416" t="inlineStr">
        <is>
          <t>UPPSALA LÄN</t>
        </is>
      </c>
      <c r="E3416" t="inlineStr">
        <is>
          <t>ÖSTHAMMAR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4461-2024</t>
        </is>
      </c>
      <c r="B3417" s="1" t="n">
        <v>45327</v>
      </c>
      <c r="C3417" s="1" t="n">
        <v>46098</v>
      </c>
      <c r="D3417" t="inlineStr">
        <is>
          <t>UPPSALA LÄN</t>
        </is>
      </c>
      <c r="E3417" t="inlineStr">
        <is>
          <t>UPPSALA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36216-2022</t>
        </is>
      </c>
      <c r="B3418" s="1" t="n">
        <v>44803</v>
      </c>
      <c r="C3418" s="1" t="n">
        <v>46098</v>
      </c>
      <c r="D3418" t="inlineStr">
        <is>
          <t>UPPSALA LÄN</t>
        </is>
      </c>
      <c r="E3418" t="inlineStr">
        <is>
          <t>ÄLVKARLEBY</t>
        </is>
      </c>
      <c r="F3418" t="inlineStr">
        <is>
          <t>Bergvik skog väst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48430-2024</t>
        </is>
      </c>
      <c r="B3419" s="1" t="n">
        <v>45590</v>
      </c>
      <c r="C3419" s="1" t="n">
        <v>46098</v>
      </c>
      <c r="D3419" t="inlineStr">
        <is>
          <t>UPPSALA LÄN</t>
        </is>
      </c>
      <c r="E3419" t="inlineStr">
        <is>
          <t>HEBY</t>
        </is>
      </c>
      <c r="F3419" t="inlineStr">
        <is>
          <t>Bergvik skog väst AB</t>
        </is>
      </c>
      <c r="G3419" t="n">
        <v>12.1</v>
      </c>
      <c r="H3419" t="n">
        <v>0</v>
      </c>
      <c r="I3419" t="n">
        <v>0</v>
      </c>
      <c r="J3419" t="n">
        <v>0</v>
      </c>
      <c r="K3419" t="n">
        <v>0</v>
      </c>
      <c r="L3419" t="n">
        <v>0</v>
      </c>
      <c r="M3419" t="n">
        <v>0</v>
      </c>
      <c r="N3419" t="n">
        <v>0</v>
      </c>
      <c r="O3419" t="n">
        <v>0</v>
      </c>
      <c r="P3419" t="n">
        <v>0</v>
      </c>
      <c r="Q3419" t="n">
        <v>0</v>
      </c>
      <c r="R3419" s="2" t="inlineStr"/>
    </row>
    <row r="3420" ht="15" customHeight="1">
      <c r="A3420" t="inlineStr">
        <is>
          <t>A 17697-2024</t>
        </is>
      </c>
      <c r="B3420" s="1" t="n">
        <v>45418</v>
      </c>
      <c r="C3420" s="1" t="n">
        <v>46098</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12209-2025</t>
        </is>
      </c>
      <c r="B3421" s="1" t="n">
        <v>45729</v>
      </c>
      <c r="C3421" s="1" t="n">
        <v>46098</v>
      </c>
      <c r="D3421" t="inlineStr">
        <is>
          <t>UPPSALA LÄN</t>
        </is>
      </c>
      <c r="E3421" t="inlineStr">
        <is>
          <t>UPPSALA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4531-2023</t>
        </is>
      </c>
      <c r="B3422" s="1" t="n">
        <v>44956.62740740741</v>
      </c>
      <c r="C3422" s="1" t="n">
        <v>46098</v>
      </c>
      <c r="D3422" t="inlineStr">
        <is>
          <t>UPPSALA LÄN</t>
        </is>
      </c>
      <c r="E3422" t="inlineStr">
        <is>
          <t>TIERP</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6254-2022</t>
        </is>
      </c>
      <c r="B3423" s="1" t="n">
        <v>44600.44900462963</v>
      </c>
      <c r="C3423" s="1" t="n">
        <v>46098</v>
      </c>
      <c r="D3423" t="inlineStr">
        <is>
          <t>UPPSALA LÄN</t>
        </is>
      </c>
      <c r="E3423" t="inlineStr">
        <is>
          <t>TIERP</t>
        </is>
      </c>
      <c r="F3423" t="inlineStr">
        <is>
          <t>Bergvik skog öst AB</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11075-2025</t>
        </is>
      </c>
      <c r="B3424" s="1" t="n">
        <v>45723.55233796296</v>
      </c>
      <c r="C3424" s="1" t="n">
        <v>46098</v>
      </c>
      <c r="D3424" t="inlineStr">
        <is>
          <t>UPPSALA LÄN</t>
        </is>
      </c>
      <c r="E3424" t="inlineStr">
        <is>
          <t>HEBY</t>
        </is>
      </c>
      <c r="F3424" t="inlineStr">
        <is>
          <t>Kyrkan</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59497-2022</t>
        </is>
      </c>
      <c r="B3425" s="1" t="n">
        <v>44907.48258101852</v>
      </c>
      <c r="C3425" s="1" t="n">
        <v>46098</v>
      </c>
      <c r="D3425" t="inlineStr">
        <is>
          <t>UPPSALA LÄN</t>
        </is>
      </c>
      <c r="E3425" t="inlineStr">
        <is>
          <t>ENKÖPING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9041-2023</t>
        </is>
      </c>
      <c r="B3426" s="1" t="n">
        <v>44979</v>
      </c>
      <c r="C3426" s="1" t="n">
        <v>46098</v>
      </c>
      <c r="D3426" t="inlineStr">
        <is>
          <t>UPPSALA LÄN</t>
        </is>
      </c>
      <c r="E3426" t="inlineStr">
        <is>
          <t>ENKÖPING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10290-2025</t>
        </is>
      </c>
      <c r="B3427" s="1" t="n">
        <v>45720.41847222222</v>
      </c>
      <c r="C3427" s="1" t="n">
        <v>46098</v>
      </c>
      <c r="D3427" t="inlineStr">
        <is>
          <t>UPPSALA LÄN</t>
        </is>
      </c>
      <c r="E3427" t="inlineStr">
        <is>
          <t>ÖSTHAMMAR</t>
        </is>
      </c>
      <c r="G3427" t="n">
        <v>8.6</v>
      </c>
      <c r="H3427" t="n">
        <v>0</v>
      </c>
      <c r="I3427" t="n">
        <v>0</v>
      </c>
      <c r="J3427" t="n">
        <v>0</v>
      </c>
      <c r="K3427" t="n">
        <v>0</v>
      </c>
      <c r="L3427" t="n">
        <v>0</v>
      </c>
      <c r="M3427" t="n">
        <v>0</v>
      </c>
      <c r="N3427" t="n">
        <v>0</v>
      </c>
      <c r="O3427" t="n">
        <v>0</v>
      </c>
      <c r="P3427" t="n">
        <v>0</v>
      </c>
      <c r="Q3427" t="n">
        <v>0</v>
      </c>
      <c r="R3427" s="2" t="inlineStr"/>
    </row>
    <row r="3428" ht="15" customHeight="1">
      <c r="A3428" t="inlineStr">
        <is>
          <t>A 3813-2024</t>
        </is>
      </c>
      <c r="B3428" s="1" t="n">
        <v>45321</v>
      </c>
      <c r="C3428" s="1" t="n">
        <v>46098</v>
      </c>
      <c r="D3428" t="inlineStr">
        <is>
          <t>UPPSALA LÄN</t>
        </is>
      </c>
      <c r="E3428" t="inlineStr">
        <is>
          <t>UPPSALA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18781-2022</t>
        </is>
      </c>
      <c r="B3429" s="1" t="n">
        <v>44689</v>
      </c>
      <c r="C3429" s="1" t="n">
        <v>46098</v>
      </c>
      <c r="D3429" t="inlineStr">
        <is>
          <t>UPPSALA LÄN</t>
        </is>
      </c>
      <c r="E3429" t="inlineStr">
        <is>
          <t>TIERP</t>
        </is>
      </c>
      <c r="F3429" t="inlineStr">
        <is>
          <t>Kyrkan</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17022-2021</t>
        </is>
      </c>
      <c r="B3430" s="1" t="n">
        <v>44295.65875</v>
      </c>
      <c r="C3430" s="1" t="n">
        <v>46098</v>
      </c>
      <c r="D3430" t="inlineStr">
        <is>
          <t>UPPSALA LÄN</t>
        </is>
      </c>
      <c r="E3430" t="inlineStr">
        <is>
          <t>ÖSTHAMMAR</t>
        </is>
      </c>
      <c r="F3430" t="inlineStr">
        <is>
          <t>Bergvik skog öst AB</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51082-2023</t>
        </is>
      </c>
      <c r="B3431" s="1" t="n">
        <v>45218</v>
      </c>
      <c r="C3431" s="1" t="n">
        <v>46098</v>
      </c>
      <c r="D3431" t="inlineStr">
        <is>
          <t>UPPSALA LÄN</t>
        </is>
      </c>
      <c r="E3431" t="inlineStr">
        <is>
          <t>HEBY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11469-2023</t>
        </is>
      </c>
      <c r="B3432" s="1" t="n">
        <v>44993.60099537037</v>
      </c>
      <c r="C3432" s="1" t="n">
        <v>46098</v>
      </c>
      <c r="D3432" t="inlineStr">
        <is>
          <t>UPPSALA LÄN</t>
        </is>
      </c>
      <c r="E3432" t="inlineStr">
        <is>
          <t>ÖSTHAMMAR</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19751-2023</t>
        </is>
      </c>
      <c r="B3433" s="1" t="n">
        <v>45050</v>
      </c>
      <c r="C3433" s="1" t="n">
        <v>46098</v>
      </c>
      <c r="D3433" t="inlineStr">
        <is>
          <t>UPPSALA LÄN</t>
        </is>
      </c>
      <c r="E3433" t="inlineStr">
        <is>
          <t>HEBY</t>
        </is>
      </c>
      <c r="F3433" t="inlineStr">
        <is>
          <t>Bergvik skog väst AB</t>
        </is>
      </c>
      <c r="G3433" t="n">
        <v>2.3</v>
      </c>
      <c r="H3433" t="n">
        <v>0</v>
      </c>
      <c r="I3433" t="n">
        <v>0</v>
      </c>
      <c r="J3433" t="n">
        <v>0</v>
      </c>
      <c r="K3433" t="n">
        <v>0</v>
      </c>
      <c r="L3433" t="n">
        <v>0</v>
      </c>
      <c r="M3433" t="n">
        <v>0</v>
      </c>
      <c r="N3433" t="n">
        <v>0</v>
      </c>
      <c r="O3433" t="n">
        <v>0</v>
      </c>
      <c r="P3433" t="n">
        <v>0</v>
      </c>
      <c r="Q3433" t="n">
        <v>0</v>
      </c>
      <c r="R3433" s="2" t="inlineStr"/>
      <c r="U3433">
        <f>HYPERLINK("https://klasma.github.io/Logging_0331/knärot/A 19751-2023 karta knärot.png", "A 19751-2023")</f>
        <v/>
      </c>
      <c r="V3433">
        <f>HYPERLINK("https://klasma.github.io/Logging_0331/klagomål/A 19751-2023 FSC-klagomål.docx", "A 19751-2023")</f>
        <v/>
      </c>
      <c r="W3433">
        <f>HYPERLINK("https://klasma.github.io/Logging_0331/klagomålsmail/A 19751-2023 FSC-klagomål mail.docx", "A 19751-2023")</f>
        <v/>
      </c>
      <c r="X3433">
        <f>HYPERLINK("https://klasma.github.io/Logging_0331/tillsyn/A 19751-2023 tillsynsbegäran.docx", "A 19751-2023")</f>
        <v/>
      </c>
      <c r="Y3433">
        <f>HYPERLINK("https://klasma.github.io/Logging_0331/tillsynsmail/A 19751-2023 tillsynsbegäran mail.docx", "A 19751-2023")</f>
        <v/>
      </c>
    </row>
    <row r="3434" ht="15" customHeight="1">
      <c r="A3434" t="inlineStr">
        <is>
          <t>A 58332-2023</t>
        </is>
      </c>
      <c r="B3434" s="1" t="n">
        <v>45250</v>
      </c>
      <c r="C3434" s="1" t="n">
        <v>46098</v>
      </c>
      <c r="D3434" t="inlineStr">
        <is>
          <t>UPPSALA LÄN</t>
        </is>
      </c>
      <c r="E3434" t="inlineStr">
        <is>
          <t>HEBY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40748-2024</t>
        </is>
      </c>
      <c r="B3435" s="1" t="n">
        <v>45558.45347222222</v>
      </c>
      <c r="C3435" s="1" t="n">
        <v>46098</v>
      </c>
      <c r="D3435" t="inlineStr">
        <is>
          <t>UPPSALA LÄN</t>
        </is>
      </c>
      <c r="E3435" t="inlineStr">
        <is>
          <t>TIERP</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12755-2025</t>
        </is>
      </c>
      <c r="B3436" s="1" t="n">
        <v>45733.56541666666</v>
      </c>
      <c r="C3436" s="1" t="n">
        <v>46098</v>
      </c>
      <c r="D3436" t="inlineStr">
        <is>
          <t>UPPSALA LÄN</t>
        </is>
      </c>
      <c r="E3436" t="inlineStr">
        <is>
          <t>ENKÖPING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59027-2024</t>
        </is>
      </c>
      <c r="B3437" s="1" t="n">
        <v>45636.68755787037</v>
      </c>
      <c r="C3437" s="1" t="n">
        <v>46098</v>
      </c>
      <c r="D3437" t="inlineStr">
        <is>
          <t>UPPSALA LÄN</t>
        </is>
      </c>
      <c r="E3437" t="inlineStr">
        <is>
          <t>ENKÖPING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60985-2024</t>
        </is>
      </c>
      <c r="B3438" s="1" t="n">
        <v>45645.41540509259</v>
      </c>
      <c r="C3438" s="1" t="n">
        <v>46098</v>
      </c>
      <c r="D3438" t="inlineStr">
        <is>
          <t>UPPSALA LÄN</t>
        </is>
      </c>
      <c r="E3438" t="inlineStr">
        <is>
          <t>TIERP</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37820-2021</t>
        </is>
      </c>
      <c r="B3439" s="1" t="n">
        <v>44403.3119212963</v>
      </c>
      <c r="C3439" s="1" t="n">
        <v>46098</v>
      </c>
      <c r="D3439" t="inlineStr">
        <is>
          <t>UPPSALA LÄN</t>
        </is>
      </c>
      <c r="E3439" t="inlineStr">
        <is>
          <t>UPPSALA</t>
        </is>
      </c>
      <c r="F3439" t="inlineStr">
        <is>
          <t>Bergvik skog öst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11847-2023</t>
        </is>
      </c>
      <c r="B3440" s="1" t="n">
        <v>44995.33957175926</v>
      </c>
      <c r="C3440" s="1" t="n">
        <v>46098</v>
      </c>
      <c r="D3440" t="inlineStr">
        <is>
          <t>UPPSALA LÄN</t>
        </is>
      </c>
      <c r="E3440" t="inlineStr">
        <is>
          <t>KNIVSTA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25418-2022</t>
        </is>
      </c>
      <c r="B3441" s="1" t="n">
        <v>44732.464375</v>
      </c>
      <c r="C3441" s="1" t="n">
        <v>46098</v>
      </c>
      <c r="D3441" t="inlineStr">
        <is>
          <t>UPPSALA LÄN</t>
        </is>
      </c>
      <c r="E3441" t="inlineStr">
        <is>
          <t>ÖSTHAMMAR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69377-2021</t>
        </is>
      </c>
      <c r="B3442" s="1" t="n">
        <v>44531</v>
      </c>
      <c r="C3442" s="1" t="n">
        <v>46098</v>
      </c>
      <c r="D3442" t="inlineStr">
        <is>
          <t>UPPSALA LÄN</t>
        </is>
      </c>
      <c r="E3442" t="inlineStr">
        <is>
          <t>HEBY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40507-2021</t>
        </is>
      </c>
      <c r="B3443" s="1" t="n">
        <v>44420</v>
      </c>
      <c r="C3443" s="1" t="n">
        <v>46098</v>
      </c>
      <c r="D3443" t="inlineStr">
        <is>
          <t>UPPSALA LÄN</t>
        </is>
      </c>
      <c r="E3443" t="inlineStr">
        <is>
          <t>UPPSALA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53587-2024</t>
        </is>
      </c>
      <c r="B3444" s="1" t="n">
        <v>45614.66953703704</v>
      </c>
      <c r="C3444" s="1" t="n">
        <v>46098</v>
      </c>
      <c r="D3444" t="inlineStr">
        <is>
          <t>UPPSALA LÄN</t>
        </is>
      </c>
      <c r="E3444" t="inlineStr">
        <is>
          <t>ENKÖPING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40111-2024</t>
        </is>
      </c>
      <c r="B3445" s="1" t="n">
        <v>45554</v>
      </c>
      <c r="C3445" s="1" t="n">
        <v>46098</v>
      </c>
      <c r="D3445" t="inlineStr">
        <is>
          <t>UPPSALA LÄN</t>
        </is>
      </c>
      <c r="E3445" t="inlineStr">
        <is>
          <t>UPPSALA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64364-2021</t>
        </is>
      </c>
      <c r="B3446" s="1" t="n">
        <v>44511</v>
      </c>
      <c r="C3446" s="1" t="n">
        <v>46098</v>
      </c>
      <c r="D3446" t="inlineStr">
        <is>
          <t>UPPSALA LÄN</t>
        </is>
      </c>
      <c r="E3446" t="inlineStr">
        <is>
          <t>HEBY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49111-2024</t>
        </is>
      </c>
      <c r="B3447" s="1" t="n">
        <v>45594.65586805555</v>
      </c>
      <c r="C3447" s="1" t="n">
        <v>46098</v>
      </c>
      <c r="D3447" t="inlineStr">
        <is>
          <t>UPPSALA LÄN</t>
        </is>
      </c>
      <c r="E3447" t="inlineStr">
        <is>
          <t>TIERP</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14859-2025</t>
        </is>
      </c>
      <c r="B3448" s="1" t="n">
        <v>45743.42427083333</v>
      </c>
      <c r="C3448" s="1" t="n">
        <v>46098</v>
      </c>
      <c r="D3448" t="inlineStr">
        <is>
          <t>UPPSALA LÄN</t>
        </is>
      </c>
      <c r="E3448" t="inlineStr">
        <is>
          <t>ÖSTHAMMAR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39536-2024</t>
        </is>
      </c>
      <c r="B3449" s="1" t="n">
        <v>45551.87931712963</v>
      </c>
      <c r="C3449" s="1" t="n">
        <v>46098</v>
      </c>
      <c r="D3449" t="inlineStr">
        <is>
          <t>UPPSALA LÄN</t>
        </is>
      </c>
      <c r="E3449" t="inlineStr">
        <is>
          <t>HEBY</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11503-2024</t>
        </is>
      </c>
      <c r="B3450" s="1" t="n">
        <v>45372.68020833333</v>
      </c>
      <c r="C3450" s="1" t="n">
        <v>46098</v>
      </c>
      <c r="D3450" t="inlineStr">
        <is>
          <t>UPPSALA LÄN</t>
        </is>
      </c>
      <c r="E3450" t="inlineStr">
        <is>
          <t>ENKÖPING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55818-2023</t>
        </is>
      </c>
      <c r="B3451" s="1" t="n">
        <v>45239.58409722222</v>
      </c>
      <c r="C3451" s="1" t="n">
        <v>46098</v>
      </c>
      <c r="D3451" t="inlineStr">
        <is>
          <t>UPPSALA LÄN</t>
        </is>
      </c>
      <c r="E3451" t="inlineStr">
        <is>
          <t>TIERP</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14671-2022</t>
        </is>
      </c>
      <c r="B3452" s="1" t="n">
        <v>44655.80475694445</v>
      </c>
      <c r="C3452" s="1" t="n">
        <v>46098</v>
      </c>
      <c r="D3452" t="inlineStr">
        <is>
          <t>UPPSALA LÄN</t>
        </is>
      </c>
      <c r="E3452" t="inlineStr">
        <is>
          <t>ÖSTHAMMAR</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39115-2024</t>
        </is>
      </c>
      <c r="B3453" s="1" t="n">
        <v>45548</v>
      </c>
      <c r="C3453" s="1" t="n">
        <v>46098</v>
      </c>
      <c r="D3453" t="inlineStr">
        <is>
          <t>UPPSALA LÄN</t>
        </is>
      </c>
      <c r="E3453" t="inlineStr">
        <is>
          <t>ENKÖPING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25334-2023</t>
        </is>
      </c>
      <c r="B3454" s="1" t="n">
        <v>45083</v>
      </c>
      <c r="C3454" s="1" t="n">
        <v>46098</v>
      </c>
      <c r="D3454" t="inlineStr">
        <is>
          <t>UPPSALA LÄN</t>
        </is>
      </c>
      <c r="E3454" t="inlineStr">
        <is>
          <t>ENKÖPING</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2790-2025</t>
        </is>
      </c>
      <c r="B3455" s="1" t="n">
        <v>45677</v>
      </c>
      <c r="C3455" s="1" t="n">
        <v>46098</v>
      </c>
      <c r="D3455" t="inlineStr">
        <is>
          <t>UPPSALA LÄN</t>
        </is>
      </c>
      <c r="E3455" t="inlineStr">
        <is>
          <t>UPPSALA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12414-2025</t>
        </is>
      </c>
      <c r="B3456" s="1" t="n">
        <v>45730.43966435185</v>
      </c>
      <c r="C3456" s="1" t="n">
        <v>46098</v>
      </c>
      <c r="D3456" t="inlineStr">
        <is>
          <t>UPPSALA LÄN</t>
        </is>
      </c>
      <c r="E3456" t="inlineStr">
        <is>
          <t>UPPSALA</t>
        </is>
      </c>
      <c r="F3456" t="inlineStr">
        <is>
          <t>Övriga statliga verk och myndigheter</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56837-2024</t>
        </is>
      </c>
      <c r="B3457" s="1" t="n">
        <v>45628</v>
      </c>
      <c r="C3457" s="1" t="n">
        <v>46098</v>
      </c>
      <c r="D3457" t="inlineStr">
        <is>
          <t>UPPSALA LÄN</t>
        </is>
      </c>
      <c r="E3457" t="inlineStr">
        <is>
          <t>ENKÖPING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4929-2022</t>
        </is>
      </c>
      <c r="B3458" s="1" t="n">
        <v>44593</v>
      </c>
      <c r="C3458" s="1" t="n">
        <v>46098</v>
      </c>
      <c r="D3458" t="inlineStr">
        <is>
          <t>UPPSALA LÄN</t>
        </is>
      </c>
      <c r="E3458" t="inlineStr">
        <is>
          <t>UPPSALA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59244-2024</t>
        </is>
      </c>
      <c r="B3459" s="1" t="n">
        <v>45637</v>
      </c>
      <c r="C3459" s="1" t="n">
        <v>46098</v>
      </c>
      <c r="D3459" t="inlineStr">
        <is>
          <t>UPPSALA LÄN</t>
        </is>
      </c>
      <c r="E3459" t="inlineStr">
        <is>
          <t>TIERP</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33622-2024</t>
        </is>
      </c>
      <c r="B3460" s="1" t="n">
        <v>45520</v>
      </c>
      <c r="C3460" s="1" t="n">
        <v>46098</v>
      </c>
      <c r="D3460" t="inlineStr">
        <is>
          <t>UPPSALA LÄN</t>
        </is>
      </c>
      <c r="E3460" t="inlineStr">
        <is>
          <t>UPPSALA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41545-2023</t>
        </is>
      </c>
      <c r="B3461" s="1" t="n">
        <v>45175.57060185185</v>
      </c>
      <c r="C3461" s="1" t="n">
        <v>46098</v>
      </c>
      <c r="D3461" t="inlineStr">
        <is>
          <t>UPPSALA LÄN</t>
        </is>
      </c>
      <c r="E3461" t="inlineStr">
        <is>
          <t>UPPSALA</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16404-2023</t>
        </is>
      </c>
      <c r="B3462" s="1" t="n">
        <v>45029</v>
      </c>
      <c r="C3462" s="1" t="n">
        <v>46098</v>
      </c>
      <c r="D3462" t="inlineStr">
        <is>
          <t>UPPSALA LÄN</t>
        </is>
      </c>
      <c r="E3462" t="inlineStr">
        <is>
          <t>HEBY</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60047-2022</t>
        </is>
      </c>
      <c r="B3463" s="1" t="n">
        <v>44909.51885416666</v>
      </c>
      <c r="C3463" s="1" t="n">
        <v>46098</v>
      </c>
      <c r="D3463" t="inlineStr">
        <is>
          <t>UPPSALA LÄN</t>
        </is>
      </c>
      <c r="E3463" t="inlineStr">
        <is>
          <t>UPPSALA</t>
        </is>
      </c>
      <c r="F3463" t="inlineStr">
        <is>
          <t>Kyrkan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12284-2025</t>
        </is>
      </c>
      <c r="B3464" s="1" t="n">
        <v>45729</v>
      </c>
      <c r="C3464" s="1" t="n">
        <v>46098</v>
      </c>
      <c r="D3464" t="inlineStr">
        <is>
          <t>UPPSALA LÄN</t>
        </is>
      </c>
      <c r="E3464" t="inlineStr">
        <is>
          <t>UPPSALA</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12287-2025</t>
        </is>
      </c>
      <c r="B3465" s="1" t="n">
        <v>45729</v>
      </c>
      <c r="C3465" s="1" t="n">
        <v>46098</v>
      </c>
      <c r="D3465" t="inlineStr">
        <is>
          <t>UPPSALA LÄN</t>
        </is>
      </c>
      <c r="E3465" t="inlineStr">
        <is>
          <t>UPPSALA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46399-2023</t>
        </is>
      </c>
      <c r="B3466" s="1" t="n">
        <v>45197.49262731482</v>
      </c>
      <c r="C3466" s="1" t="n">
        <v>46098</v>
      </c>
      <c r="D3466" t="inlineStr">
        <is>
          <t>UPPSALA LÄN</t>
        </is>
      </c>
      <c r="E3466" t="inlineStr">
        <is>
          <t>ÖSTHAMMAR</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42543-2023</t>
        </is>
      </c>
      <c r="B3467" s="1" t="n">
        <v>45181.36815972222</v>
      </c>
      <c r="C3467" s="1" t="n">
        <v>46098</v>
      </c>
      <c r="D3467" t="inlineStr">
        <is>
          <t>UPPSALA LÄN</t>
        </is>
      </c>
      <c r="E3467" t="inlineStr">
        <is>
          <t>UPPSALA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8931-2025</t>
        </is>
      </c>
      <c r="B3468" s="1" t="n">
        <v>45713.44519675926</v>
      </c>
      <c r="C3468" s="1" t="n">
        <v>46098</v>
      </c>
      <c r="D3468" t="inlineStr">
        <is>
          <t>UPPSALA LÄN</t>
        </is>
      </c>
      <c r="E3468" t="inlineStr">
        <is>
          <t>UPPSALA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20230-2021</t>
        </is>
      </c>
      <c r="B3469" s="1" t="n">
        <v>44314</v>
      </c>
      <c r="C3469" s="1" t="n">
        <v>46098</v>
      </c>
      <c r="D3469" t="inlineStr">
        <is>
          <t>UPPSALA LÄN</t>
        </is>
      </c>
      <c r="E3469" t="inlineStr">
        <is>
          <t>HEBY</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74023-2021</t>
        </is>
      </c>
      <c r="B3470" s="1" t="n">
        <v>44553</v>
      </c>
      <c r="C3470" s="1" t="n">
        <v>46098</v>
      </c>
      <c r="D3470" t="inlineStr">
        <is>
          <t>UPPSALA LÄN</t>
        </is>
      </c>
      <c r="E3470" t="inlineStr">
        <is>
          <t>UPPSALA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16167-2024</t>
        </is>
      </c>
      <c r="B3471" s="1" t="n">
        <v>45406.61835648148</v>
      </c>
      <c r="C3471" s="1" t="n">
        <v>46098</v>
      </c>
      <c r="D3471" t="inlineStr">
        <is>
          <t>UPPSALA LÄN</t>
        </is>
      </c>
      <c r="E3471" t="inlineStr">
        <is>
          <t>HEBY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50172-2024</t>
        </is>
      </c>
      <c r="B3472" s="1" t="n">
        <v>45599</v>
      </c>
      <c r="C3472" s="1" t="n">
        <v>46098</v>
      </c>
      <c r="D3472" t="inlineStr">
        <is>
          <t>UPPSALA LÄN</t>
        </is>
      </c>
      <c r="E3472" t="inlineStr">
        <is>
          <t>HEBY</t>
        </is>
      </c>
      <c r="F3472" t="inlineStr">
        <is>
          <t>Bergvik skog väst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45550-2023</t>
        </is>
      </c>
      <c r="B3473" s="1" t="n">
        <v>45194.57125</v>
      </c>
      <c r="C3473" s="1" t="n">
        <v>46098</v>
      </c>
      <c r="D3473" t="inlineStr">
        <is>
          <t>UPPSALA LÄN</t>
        </is>
      </c>
      <c r="E3473" t="inlineStr">
        <is>
          <t>ÖSTHAMMAR</t>
        </is>
      </c>
      <c r="F3473" t="inlineStr">
        <is>
          <t>Bergvik skog öst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15445-2022</t>
        </is>
      </c>
      <c r="B3474" s="1" t="n">
        <v>44660.4987962963</v>
      </c>
      <c r="C3474" s="1" t="n">
        <v>46098</v>
      </c>
      <c r="D3474" t="inlineStr">
        <is>
          <t>UPPSALA LÄN</t>
        </is>
      </c>
      <c r="E3474" t="inlineStr">
        <is>
          <t>ÖSTHAMMAR</t>
        </is>
      </c>
      <c r="F3474" t="inlineStr">
        <is>
          <t>Bergvik skog öst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65836-2021</t>
        </is>
      </c>
      <c r="B3475" s="1" t="n">
        <v>44517</v>
      </c>
      <c r="C3475" s="1" t="n">
        <v>46098</v>
      </c>
      <c r="D3475" t="inlineStr">
        <is>
          <t>UPPSALA LÄN</t>
        </is>
      </c>
      <c r="E3475" t="inlineStr">
        <is>
          <t>HÅBO</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44830-2023</t>
        </is>
      </c>
      <c r="B3476" s="1" t="n">
        <v>45190</v>
      </c>
      <c r="C3476" s="1" t="n">
        <v>46098</v>
      </c>
      <c r="D3476" t="inlineStr">
        <is>
          <t>UPPSALA LÄN</t>
        </is>
      </c>
      <c r="E3476" t="inlineStr">
        <is>
          <t>UPPSALA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73044-2021</t>
        </is>
      </c>
      <c r="B3477" s="1" t="n">
        <v>44550.37994212963</v>
      </c>
      <c r="C3477" s="1" t="n">
        <v>46098</v>
      </c>
      <c r="D3477" t="inlineStr">
        <is>
          <t>UPPSALA LÄN</t>
        </is>
      </c>
      <c r="E3477" t="inlineStr">
        <is>
          <t>UPPSALA</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19138-2025</t>
        </is>
      </c>
      <c r="B3478" s="1" t="n">
        <v>45769.3231712963</v>
      </c>
      <c r="C3478" s="1" t="n">
        <v>46098</v>
      </c>
      <c r="D3478" t="inlineStr">
        <is>
          <t>UPPSALA LÄN</t>
        </is>
      </c>
      <c r="E3478" t="inlineStr">
        <is>
          <t>TIERP</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18821-2023</t>
        </is>
      </c>
      <c r="B3479" s="1" t="n">
        <v>45044.3782175926</v>
      </c>
      <c r="C3479" s="1" t="n">
        <v>46098</v>
      </c>
      <c r="D3479" t="inlineStr">
        <is>
          <t>UPPSALA LÄN</t>
        </is>
      </c>
      <c r="E3479" t="inlineStr">
        <is>
          <t>ENKÖPING</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19139-2023</t>
        </is>
      </c>
      <c r="B3480" s="1" t="n">
        <v>45048.55349537037</v>
      </c>
      <c r="C3480" s="1" t="n">
        <v>46098</v>
      </c>
      <c r="D3480" t="inlineStr">
        <is>
          <t>UPPSALA LÄN</t>
        </is>
      </c>
      <c r="E3480" t="inlineStr">
        <is>
          <t>UPPSALA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14086-2023</t>
        </is>
      </c>
      <c r="B3481" s="1" t="n">
        <v>45009.33243055556</v>
      </c>
      <c r="C3481" s="1" t="n">
        <v>46098</v>
      </c>
      <c r="D3481" t="inlineStr">
        <is>
          <t>UPPSALA LÄN</t>
        </is>
      </c>
      <c r="E3481" t="inlineStr">
        <is>
          <t>TIERP</t>
        </is>
      </c>
      <c r="F3481" t="inlineStr">
        <is>
          <t>Bergvik skog väst AB</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20634-2024</t>
        </is>
      </c>
      <c r="B3482" s="1" t="n">
        <v>45436</v>
      </c>
      <c r="C3482" s="1" t="n">
        <v>46098</v>
      </c>
      <c r="D3482" t="inlineStr">
        <is>
          <t>UPPSALA LÄN</t>
        </is>
      </c>
      <c r="E3482" t="inlineStr">
        <is>
          <t>ÖSTHAMMAR</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18088-2025</t>
        </is>
      </c>
      <c r="B3483" s="1" t="n">
        <v>45761.53104166667</v>
      </c>
      <c r="C3483" s="1" t="n">
        <v>46098</v>
      </c>
      <c r="D3483" t="inlineStr">
        <is>
          <t>UPPSALA LÄN</t>
        </is>
      </c>
      <c r="E3483" t="inlineStr">
        <is>
          <t>ÖSTHAMMAR</t>
        </is>
      </c>
      <c r="F3483" t="inlineStr">
        <is>
          <t>Bergvik skog öst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18095-2025</t>
        </is>
      </c>
      <c r="B3484" s="1" t="n">
        <v>45761.54925925926</v>
      </c>
      <c r="C3484" s="1" t="n">
        <v>46098</v>
      </c>
      <c r="D3484" t="inlineStr">
        <is>
          <t>UPPSALA LÄN</t>
        </is>
      </c>
      <c r="E3484" t="inlineStr">
        <is>
          <t>ÖSTHAMMAR</t>
        </is>
      </c>
      <c r="F3484" t="inlineStr">
        <is>
          <t>Bergvik skog öst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48483-2022</t>
        </is>
      </c>
      <c r="B3485" s="1" t="n">
        <v>44858</v>
      </c>
      <c r="C3485" s="1" t="n">
        <v>46098</v>
      </c>
      <c r="D3485" t="inlineStr">
        <is>
          <t>UPPSALA LÄN</t>
        </is>
      </c>
      <c r="E3485" t="inlineStr">
        <is>
          <t>TIERP</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29799-2023</t>
        </is>
      </c>
      <c r="B3486" s="1" t="n">
        <v>45107.53688657407</v>
      </c>
      <c r="C3486" s="1" t="n">
        <v>46098</v>
      </c>
      <c r="D3486" t="inlineStr">
        <is>
          <t>UPPSALA LÄN</t>
        </is>
      </c>
      <c r="E3486" t="inlineStr">
        <is>
          <t>UPPSALA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179-2023</t>
        </is>
      </c>
      <c r="B3487" s="1" t="n">
        <v>44928</v>
      </c>
      <c r="C3487" s="1" t="n">
        <v>46098</v>
      </c>
      <c r="D3487" t="inlineStr">
        <is>
          <t>UPPSALA LÄN</t>
        </is>
      </c>
      <c r="E3487" t="inlineStr">
        <is>
          <t>UPPSALA</t>
        </is>
      </c>
      <c r="F3487" t="inlineStr">
        <is>
          <t>Kommuner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21052-2023</t>
        </is>
      </c>
      <c r="B3488" s="1" t="n">
        <v>45061</v>
      </c>
      <c r="C3488" s="1" t="n">
        <v>46098</v>
      </c>
      <c r="D3488" t="inlineStr">
        <is>
          <t>UPPSALA LÄN</t>
        </is>
      </c>
      <c r="E3488" t="inlineStr">
        <is>
          <t>UPPSALA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61257-2022</t>
        </is>
      </c>
      <c r="B3489" s="1" t="n">
        <v>44915.59418981482</v>
      </c>
      <c r="C3489" s="1" t="n">
        <v>46098</v>
      </c>
      <c r="D3489" t="inlineStr">
        <is>
          <t>UPPSALA LÄN</t>
        </is>
      </c>
      <c r="E3489" t="inlineStr">
        <is>
          <t>ÖSTHAMMAR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57335-2024</t>
        </is>
      </c>
      <c r="B3490" s="1" t="n">
        <v>45629.63302083333</v>
      </c>
      <c r="C3490" s="1" t="n">
        <v>46098</v>
      </c>
      <c r="D3490" t="inlineStr">
        <is>
          <t>UPPSALA LÄN</t>
        </is>
      </c>
      <c r="E3490" t="inlineStr">
        <is>
          <t>ENKÖPING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62054-2024</t>
        </is>
      </c>
      <c r="B3491" s="1" t="n">
        <v>45656</v>
      </c>
      <c r="C3491" s="1" t="n">
        <v>46098</v>
      </c>
      <c r="D3491" t="inlineStr">
        <is>
          <t>UPPSALA LÄN</t>
        </is>
      </c>
      <c r="E3491" t="inlineStr">
        <is>
          <t>UPPSALA</t>
        </is>
      </c>
      <c r="F3491" t="inlineStr">
        <is>
          <t>Övriga statliga verk och myndigheter</t>
        </is>
      </c>
      <c r="G3491" t="n">
        <v>29.3</v>
      </c>
      <c r="H3491" t="n">
        <v>0</v>
      </c>
      <c r="I3491" t="n">
        <v>0</v>
      </c>
      <c r="J3491" t="n">
        <v>0</v>
      </c>
      <c r="K3491" t="n">
        <v>0</v>
      </c>
      <c r="L3491" t="n">
        <v>0</v>
      </c>
      <c r="M3491" t="n">
        <v>0</v>
      </c>
      <c r="N3491" t="n">
        <v>0</v>
      </c>
      <c r="O3491" t="n">
        <v>0</v>
      </c>
      <c r="P3491" t="n">
        <v>0</v>
      </c>
      <c r="Q3491" t="n">
        <v>0</v>
      </c>
      <c r="R3491" s="2" t="inlineStr"/>
    </row>
    <row r="3492" ht="15" customHeight="1">
      <c r="A3492" t="inlineStr">
        <is>
          <t>A 9398-2023</t>
        </is>
      </c>
      <c r="B3492" s="1" t="n">
        <v>44977</v>
      </c>
      <c r="C3492" s="1" t="n">
        <v>46098</v>
      </c>
      <c r="D3492" t="inlineStr">
        <is>
          <t>UPPSALA LÄN</t>
        </is>
      </c>
      <c r="E3492" t="inlineStr">
        <is>
          <t>UPPSALA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39548-2023</t>
        </is>
      </c>
      <c r="B3493" s="1" t="n">
        <v>45167.3721412037</v>
      </c>
      <c r="C3493" s="1" t="n">
        <v>46098</v>
      </c>
      <c r="D3493" t="inlineStr">
        <is>
          <t>UPPSALA LÄN</t>
        </is>
      </c>
      <c r="E3493" t="inlineStr">
        <is>
          <t>UPPSALA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26099-2024</t>
        </is>
      </c>
      <c r="B3494" s="1" t="n">
        <v>45468</v>
      </c>
      <c r="C3494" s="1" t="n">
        <v>46098</v>
      </c>
      <c r="D3494" t="inlineStr">
        <is>
          <t>UPPSALA LÄN</t>
        </is>
      </c>
      <c r="E3494" t="inlineStr">
        <is>
          <t>UPPSALA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17558-2022</t>
        </is>
      </c>
      <c r="B3495" s="1" t="n">
        <v>44679.66694444444</v>
      </c>
      <c r="C3495" s="1" t="n">
        <v>46098</v>
      </c>
      <c r="D3495" t="inlineStr">
        <is>
          <t>UPPSALA LÄN</t>
        </is>
      </c>
      <c r="E3495" t="inlineStr">
        <is>
          <t>UPPSALA</t>
        </is>
      </c>
      <c r="F3495" t="inlineStr">
        <is>
          <t>Bergvik skog öst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57835-2024</t>
        </is>
      </c>
      <c r="B3496" s="1" t="n">
        <v>45631.39947916667</v>
      </c>
      <c r="C3496" s="1" t="n">
        <v>46098</v>
      </c>
      <c r="D3496" t="inlineStr">
        <is>
          <t>UPPSALA LÄN</t>
        </is>
      </c>
      <c r="E3496" t="inlineStr">
        <is>
          <t>ENKÖPING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53208-2023</t>
        </is>
      </c>
      <c r="B3497" s="1" t="n">
        <v>45226</v>
      </c>
      <c r="C3497" s="1" t="n">
        <v>46098</v>
      </c>
      <c r="D3497" t="inlineStr">
        <is>
          <t>UPPSALA LÄN</t>
        </is>
      </c>
      <c r="E3497" t="inlineStr">
        <is>
          <t>ENKÖPING</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20860-2024</t>
        </is>
      </c>
      <c r="B3498" s="1" t="n">
        <v>45439</v>
      </c>
      <c r="C3498" s="1" t="n">
        <v>46098</v>
      </c>
      <c r="D3498" t="inlineStr">
        <is>
          <t>UPPSALA LÄN</t>
        </is>
      </c>
      <c r="E3498" t="inlineStr">
        <is>
          <t>TIERP</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33689-2023</t>
        </is>
      </c>
      <c r="B3499" s="1" t="n">
        <v>45119</v>
      </c>
      <c r="C3499" s="1" t="n">
        <v>46098</v>
      </c>
      <c r="D3499" t="inlineStr">
        <is>
          <t>UPPSALA LÄN</t>
        </is>
      </c>
      <c r="E3499" t="inlineStr">
        <is>
          <t>UPPSALA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18626-2025</t>
        </is>
      </c>
      <c r="B3500" s="1" t="n">
        <v>45763.52995370371</v>
      </c>
      <c r="C3500" s="1" t="n">
        <v>46098</v>
      </c>
      <c r="D3500" t="inlineStr">
        <is>
          <t>UPPSALA LÄN</t>
        </is>
      </c>
      <c r="E3500" t="inlineStr">
        <is>
          <t>UPPSALA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3183-2024</t>
        </is>
      </c>
      <c r="B3501" s="1" t="n">
        <v>45316</v>
      </c>
      <c r="C3501" s="1" t="n">
        <v>46098</v>
      </c>
      <c r="D3501" t="inlineStr">
        <is>
          <t>UPPSALA LÄN</t>
        </is>
      </c>
      <c r="E3501" t="inlineStr">
        <is>
          <t>UPPSALA</t>
        </is>
      </c>
      <c r="F3501" t="inlineStr">
        <is>
          <t>Bergvik skog öst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53569-2024</t>
        </is>
      </c>
      <c r="B3502" s="1" t="n">
        <v>45614.65928240741</v>
      </c>
      <c r="C3502" s="1" t="n">
        <v>46098</v>
      </c>
      <c r="D3502" t="inlineStr">
        <is>
          <t>UPPSALA LÄN</t>
        </is>
      </c>
      <c r="E3502" t="inlineStr">
        <is>
          <t>UPPSALA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69436-2021</t>
        </is>
      </c>
      <c r="B3503" s="1" t="n">
        <v>44531</v>
      </c>
      <c r="C3503" s="1" t="n">
        <v>46098</v>
      </c>
      <c r="D3503" t="inlineStr">
        <is>
          <t>UPPSALA LÄN</t>
        </is>
      </c>
      <c r="E3503" t="inlineStr">
        <is>
          <t>UPPSALA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19013-2025</t>
        </is>
      </c>
      <c r="B3504" s="1" t="n">
        <v>45764.59533564815</v>
      </c>
      <c r="C3504" s="1" t="n">
        <v>46098</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19026-2025</t>
        </is>
      </c>
      <c r="B3505" s="1" t="n">
        <v>45764.63778935185</v>
      </c>
      <c r="C3505" s="1" t="n">
        <v>46098</v>
      </c>
      <c r="D3505" t="inlineStr">
        <is>
          <t>UPPSALA LÄN</t>
        </is>
      </c>
      <c r="E3505" t="inlineStr">
        <is>
          <t>TIERP</t>
        </is>
      </c>
      <c r="F3505" t="inlineStr">
        <is>
          <t>Bergvik skog öst AB</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29777-2021</t>
        </is>
      </c>
      <c r="B3506" s="1" t="n">
        <v>44362</v>
      </c>
      <c r="C3506" s="1" t="n">
        <v>46098</v>
      </c>
      <c r="D3506" t="inlineStr">
        <is>
          <t>UPPSALA LÄN</t>
        </is>
      </c>
      <c r="E3506" t="inlineStr">
        <is>
          <t>HEBY</t>
        </is>
      </c>
      <c r="F3506" t="inlineStr">
        <is>
          <t>Bergvik skog väst AB</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7253-2024</t>
        </is>
      </c>
      <c r="B3507" s="1" t="n">
        <v>45344.69567129629</v>
      </c>
      <c r="C3507" s="1" t="n">
        <v>46098</v>
      </c>
      <c r="D3507" t="inlineStr">
        <is>
          <t>UPPSALA LÄN</t>
        </is>
      </c>
      <c r="E3507" t="inlineStr">
        <is>
          <t>UPPSALA</t>
        </is>
      </c>
      <c r="F3507" t="inlineStr">
        <is>
          <t>Kyrkan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58252-2024</t>
        </is>
      </c>
      <c r="B3508" s="1" t="n">
        <v>45632.55709490741</v>
      </c>
      <c r="C3508" s="1" t="n">
        <v>46098</v>
      </c>
      <c r="D3508" t="inlineStr">
        <is>
          <t>UPPSALA LÄN</t>
        </is>
      </c>
      <c r="E3508" t="inlineStr">
        <is>
          <t>TIERP</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5967-2023</t>
        </is>
      </c>
      <c r="B3509" s="1" t="n">
        <v>44964</v>
      </c>
      <c r="C3509" s="1" t="n">
        <v>46098</v>
      </c>
      <c r="D3509" t="inlineStr">
        <is>
          <t>UPPSALA LÄN</t>
        </is>
      </c>
      <c r="E3509" t="inlineStr">
        <is>
          <t>TIERP</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5764-2025</t>
        </is>
      </c>
      <c r="B3510" s="1" t="n">
        <v>45694</v>
      </c>
      <c r="C3510" s="1" t="n">
        <v>46098</v>
      </c>
      <c r="D3510" t="inlineStr">
        <is>
          <t>UPPSALA LÄN</t>
        </is>
      </c>
      <c r="E3510" t="inlineStr">
        <is>
          <t>UPPSALA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59961-2023</t>
        </is>
      </c>
      <c r="B3511" s="1" t="n">
        <v>45257</v>
      </c>
      <c r="C3511" s="1" t="n">
        <v>46098</v>
      </c>
      <c r="D3511" t="inlineStr">
        <is>
          <t>UPPSALA LÄN</t>
        </is>
      </c>
      <c r="E3511" t="inlineStr">
        <is>
          <t>TIERP</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55711-2023</t>
        </is>
      </c>
      <c r="B3512" s="1" t="n">
        <v>45239.37905092593</v>
      </c>
      <c r="C3512" s="1" t="n">
        <v>46098</v>
      </c>
      <c r="D3512" t="inlineStr">
        <is>
          <t>UPPSALA LÄN</t>
        </is>
      </c>
      <c r="E3512" t="inlineStr">
        <is>
          <t>TIERP</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33385-2023</t>
        </is>
      </c>
      <c r="B3513" s="1" t="n">
        <v>45128.58974537037</v>
      </c>
      <c r="C3513" s="1" t="n">
        <v>46098</v>
      </c>
      <c r="D3513" t="inlineStr">
        <is>
          <t>UPPSALA LÄN</t>
        </is>
      </c>
      <c r="E3513" t="inlineStr">
        <is>
          <t>HEBY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26404-2024</t>
        </is>
      </c>
      <c r="B3514" s="1" t="n">
        <v>45469</v>
      </c>
      <c r="C3514" s="1" t="n">
        <v>46098</v>
      </c>
      <c r="D3514" t="inlineStr">
        <is>
          <t>UPPSALA LÄN</t>
        </is>
      </c>
      <c r="E3514" t="inlineStr">
        <is>
          <t>TIERP</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13243-2022</t>
        </is>
      </c>
      <c r="B3515" s="1" t="n">
        <v>44644.64444444444</v>
      </c>
      <c r="C3515" s="1" t="n">
        <v>46098</v>
      </c>
      <c r="D3515" t="inlineStr">
        <is>
          <t>UPPSALA LÄN</t>
        </is>
      </c>
      <c r="E3515" t="inlineStr">
        <is>
          <t>HEBY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32778-2023</t>
        </is>
      </c>
      <c r="B3516" s="1" t="n">
        <v>45123.88789351852</v>
      </c>
      <c r="C3516" s="1" t="n">
        <v>46098</v>
      </c>
      <c r="D3516" t="inlineStr">
        <is>
          <t>UPPSALA LÄN</t>
        </is>
      </c>
      <c r="E3516" t="inlineStr">
        <is>
          <t>ÖSTHAMMAR</t>
        </is>
      </c>
      <c r="F3516" t="inlineStr">
        <is>
          <t>Bergvik skog öst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2164-2023</t>
        </is>
      </c>
      <c r="B3517" s="1" t="n">
        <v>44941</v>
      </c>
      <c r="C3517" s="1" t="n">
        <v>46098</v>
      </c>
      <c r="D3517" t="inlineStr">
        <is>
          <t>UPPSALA LÄN</t>
        </is>
      </c>
      <c r="E3517" t="inlineStr">
        <is>
          <t>ENKÖPING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2227-2023</t>
        </is>
      </c>
      <c r="B3518" s="1" t="n">
        <v>44942.44016203703</v>
      </c>
      <c r="C3518" s="1" t="n">
        <v>46098</v>
      </c>
      <c r="D3518" t="inlineStr">
        <is>
          <t>UPPSALA LÄN</t>
        </is>
      </c>
      <c r="E3518" t="inlineStr">
        <is>
          <t>HEBY</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23836-2024</t>
        </is>
      </c>
      <c r="B3519" s="1" t="n">
        <v>45455</v>
      </c>
      <c r="C3519" s="1" t="n">
        <v>46098</v>
      </c>
      <c r="D3519" t="inlineStr">
        <is>
          <t>UPPSALA LÄN</t>
        </is>
      </c>
      <c r="E3519" t="inlineStr">
        <is>
          <t>HEBY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33307-2023</t>
        </is>
      </c>
      <c r="B3520" s="1" t="n">
        <v>45127</v>
      </c>
      <c r="C3520" s="1" t="n">
        <v>46098</v>
      </c>
      <c r="D3520" t="inlineStr">
        <is>
          <t>UPPSALA LÄN</t>
        </is>
      </c>
      <c r="E3520" t="inlineStr">
        <is>
          <t>TIERP</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61952-2021</t>
        </is>
      </c>
      <c r="B3521" s="1" t="n">
        <v>44502</v>
      </c>
      <c r="C3521" s="1" t="n">
        <v>46098</v>
      </c>
      <c r="D3521" t="inlineStr">
        <is>
          <t>UPPSALA LÄN</t>
        </is>
      </c>
      <c r="E3521" t="inlineStr">
        <is>
          <t>ENKÖPING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63307-2021</t>
        </is>
      </c>
      <c r="B3522" s="1" t="n">
        <v>44508.44033564815</v>
      </c>
      <c r="C3522" s="1" t="n">
        <v>46098</v>
      </c>
      <c r="D3522" t="inlineStr">
        <is>
          <t>UPPSALA LÄN</t>
        </is>
      </c>
      <c r="E3522" t="inlineStr">
        <is>
          <t>UPPSALA</t>
        </is>
      </c>
      <c r="F3522" t="inlineStr">
        <is>
          <t>Bergvik skog öst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14585-2023</t>
        </is>
      </c>
      <c r="B3523" s="1" t="n">
        <v>45013</v>
      </c>
      <c r="C3523" s="1" t="n">
        <v>46098</v>
      </c>
      <c r="D3523" t="inlineStr">
        <is>
          <t>UPPSALA LÄN</t>
        </is>
      </c>
      <c r="E3523" t="inlineStr">
        <is>
          <t>HEBY</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13128-2022</t>
        </is>
      </c>
      <c r="B3524" s="1" t="n">
        <v>44644.37548611111</v>
      </c>
      <c r="C3524" s="1" t="n">
        <v>46098</v>
      </c>
      <c r="D3524" t="inlineStr">
        <is>
          <t>UPPSALA LÄN</t>
        </is>
      </c>
      <c r="E3524" t="inlineStr">
        <is>
          <t>UPPSALA</t>
        </is>
      </c>
      <c r="F3524" t="inlineStr">
        <is>
          <t>Övriga Aktiebolag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1436-2025</t>
        </is>
      </c>
      <c r="B3525" s="1" t="n">
        <v>45669.67625</v>
      </c>
      <c r="C3525" s="1" t="n">
        <v>46098</v>
      </c>
      <c r="D3525" t="inlineStr">
        <is>
          <t>UPPSALA LÄN</t>
        </is>
      </c>
      <c r="E3525" t="inlineStr">
        <is>
          <t>ÖSTHAMMAR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18808-2024</t>
        </is>
      </c>
      <c r="B3526" s="1" t="n">
        <v>45426.61569444444</v>
      </c>
      <c r="C3526" s="1" t="n">
        <v>46098</v>
      </c>
      <c r="D3526" t="inlineStr">
        <is>
          <t>UPPSALA LÄN</t>
        </is>
      </c>
      <c r="E3526" t="inlineStr">
        <is>
          <t>UPPSALA</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1525-2025</t>
        </is>
      </c>
      <c r="B3527" s="1" t="n">
        <v>45670.47300925926</v>
      </c>
      <c r="C3527" s="1" t="n">
        <v>46098</v>
      </c>
      <c r="D3527" t="inlineStr">
        <is>
          <t>UPPSALA LÄN</t>
        </is>
      </c>
      <c r="E3527" t="inlineStr">
        <is>
          <t>ÖSTHAMMAR</t>
        </is>
      </c>
      <c r="F3527" t="inlineStr">
        <is>
          <t>Bergvik skog öst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5987-2023</t>
        </is>
      </c>
      <c r="B3528" s="1" t="n">
        <v>44964</v>
      </c>
      <c r="C3528" s="1" t="n">
        <v>46098</v>
      </c>
      <c r="D3528" t="inlineStr">
        <is>
          <t>UPPSALA LÄN</t>
        </is>
      </c>
      <c r="E3528" t="inlineStr">
        <is>
          <t>TIERP</t>
        </is>
      </c>
      <c r="F3528" t="inlineStr">
        <is>
          <t>Bergvik skog öst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62083-2023</t>
        </is>
      </c>
      <c r="B3529" s="1" t="n">
        <v>45266.80237268518</v>
      </c>
      <c r="C3529" s="1" t="n">
        <v>46098</v>
      </c>
      <c r="D3529" t="inlineStr">
        <is>
          <t>UPPSALA LÄN</t>
        </is>
      </c>
      <c r="E3529" t="inlineStr">
        <is>
          <t>HEBY</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14083-2025</t>
        </is>
      </c>
      <c r="B3530" s="1" t="n">
        <v>45740</v>
      </c>
      <c r="C3530" s="1" t="n">
        <v>46098</v>
      </c>
      <c r="D3530" t="inlineStr">
        <is>
          <t>UPPSALA LÄN</t>
        </is>
      </c>
      <c r="E3530" t="inlineStr">
        <is>
          <t>ENKÖPING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15662-2025</t>
        </is>
      </c>
      <c r="B3531" s="1" t="n">
        <v>45748.4287962963</v>
      </c>
      <c r="C3531" s="1" t="n">
        <v>46098</v>
      </c>
      <c r="D3531" t="inlineStr">
        <is>
          <t>UPPSALA LÄN</t>
        </is>
      </c>
      <c r="E3531" t="inlineStr">
        <is>
          <t>TIERP</t>
        </is>
      </c>
      <c r="F3531" t="inlineStr">
        <is>
          <t>Kyrkan</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24341-2022</t>
        </is>
      </c>
      <c r="B3532" s="1" t="n">
        <v>44726</v>
      </c>
      <c r="C3532" s="1" t="n">
        <v>46098</v>
      </c>
      <c r="D3532" t="inlineStr">
        <is>
          <t>UPPSALA LÄN</t>
        </is>
      </c>
      <c r="E3532" t="inlineStr">
        <is>
          <t>TIERP</t>
        </is>
      </c>
      <c r="F3532" t="inlineStr">
        <is>
          <t>Bergvik skog väst AB</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24367-2022</t>
        </is>
      </c>
      <c r="B3533" s="1" t="n">
        <v>44726.42716435185</v>
      </c>
      <c r="C3533" s="1" t="n">
        <v>46098</v>
      </c>
      <c r="D3533" t="inlineStr">
        <is>
          <t>UPPSALA LÄN</t>
        </is>
      </c>
      <c r="E3533" t="inlineStr">
        <is>
          <t>ÖSTHAMMAR</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5933-2022</t>
        </is>
      </c>
      <c r="B3534" s="1" t="n">
        <v>44598.82957175926</v>
      </c>
      <c r="C3534" s="1" t="n">
        <v>46098</v>
      </c>
      <c r="D3534" t="inlineStr">
        <is>
          <t>UPPSALA LÄN</t>
        </is>
      </c>
      <c r="E3534" t="inlineStr">
        <is>
          <t>ÖSTHAMMAR</t>
        </is>
      </c>
      <c r="F3534" t="inlineStr">
        <is>
          <t>Bergvik skog öst AB</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385-2025</t>
        </is>
      </c>
      <c r="B3535" s="1" t="n">
        <v>45662.65241898148</v>
      </c>
      <c r="C3535" s="1" t="n">
        <v>46098</v>
      </c>
      <c r="D3535" t="inlineStr">
        <is>
          <t>UPPSALA LÄN</t>
        </is>
      </c>
      <c r="E3535" t="inlineStr">
        <is>
          <t>HEBY</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43855-2023</t>
        </is>
      </c>
      <c r="B3536" s="1" t="n">
        <v>45187.61136574074</v>
      </c>
      <c r="C3536" s="1" t="n">
        <v>46098</v>
      </c>
      <c r="D3536" t="inlineStr">
        <is>
          <t>UPPSALA LÄN</t>
        </is>
      </c>
      <c r="E3536" t="inlineStr">
        <is>
          <t>UPPSALA</t>
        </is>
      </c>
      <c r="F3536" t="inlineStr">
        <is>
          <t>Bergvik skog öst AB</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69879-2021</t>
        </is>
      </c>
      <c r="B3537" s="1" t="n">
        <v>44532</v>
      </c>
      <c r="C3537" s="1" t="n">
        <v>46098</v>
      </c>
      <c r="D3537" t="inlineStr">
        <is>
          <t>UPPSALA LÄN</t>
        </is>
      </c>
      <c r="E3537" t="inlineStr">
        <is>
          <t>ENKÖPING</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26559-2023</t>
        </is>
      </c>
      <c r="B3538" s="1" t="n">
        <v>45092.61706018518</v>
      </c>
      <c r="C3538" s="1" t="n">
        <v>46098</v>
      </c>
      <c r="D3538" t="inlineStr">
        <is>
          <t>UPPSALA LÄN</t>
        </is>
      </c>
      <c r="E3538" t="inlineStr">
        <is>
          <t>HEBY</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64774-2023</t>
        </is>
      </c>
      <c r="B3539" s="1" t="n">
        <v>45282</v>
      </c>
      <c r="C3539" s="1" t="n">
        <v>46098</v>
      </c>
      <c r="D3539" t="inlineStr">
        <is>
          <t>UPPSALA LÄN</t>
        </is>
      </c>
      <c r="E3539" t="inlineStr">
        <is>
          <t>ÖSTHAMMAR</t>
        </is>
      </c>
      <c r="F3539" t="inlineStr">
        <is>
          <t>Övriga Aktiebolag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69432-2021</t>
        </is>
      </c>
      <c r="B3540" s="1" t="n">
        <v>44531</v>
      </c>
      <c r="C3540" s="1" t="n">
        <v>46098</v>
      </c>
      <c r="D3540" t="inlineStr">
        <is>
          <t>UPPSALA LÄN</t>
        </is>
      </c>
      <c r="E3540" t="inlineStr">
        <is>
          <t>UPPSALA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37763-2021</t>
        </is>
      </c>
      <c r="B3541" s="1" t="n">
        <v>44400.6750925926</v>
      </c>
      <c r="C3541" s="1" t="n">
        <v>46098</v>
      </c>
      <c r="D3541" t="inlineStr">
        <is>
          <t>UPPSALA LÄN</t>
        </is>
      </c>
      <c r="E3541" t="inlineStr">
        <is>
          <t>UPPSALA</t>
        </is>
      </c>
      <c r="F3541" t="inlineStr">
        <is>
          <t>Bergvik skog öst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69595-2021</t>
        </is>
      </c>
      <c r="B3542" s="1" t="n">
        <v>44532</v>
      </c>
      <c r="C3542" s="1" t="n">
        <v>46098</v>
      </c>
      <c r="D3542" t="inlineStr">
        <is>
          <t>UPPSALA LÄN</t>
        </is>
      </c>
      <c r="E3542" t="inlineStr">
        <is>
          <t>UPPSALA</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25476-2022</t>
        </is>
      </c>
      <c r="B3543" s="1" t="n">
        <v>44732</v>
      </c>
      <c r="C3543" s="1" t="n">
        <v>46098</v>
      </c>
      <c r="D3543" t="inlineStr">
        <is>
          <t>UPPSALA LÄN</t>
        </is>
      </c>
      <c r="E3543" t="inlineStr">
        <is>
          <t>TIERP</t>
        </is>
      </c>
      <c r="F3543" t="inlineStr">
        <is>
          <t>Bergvik skog öst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16990-2022</t>
        </is>
      </c>
      <c r="B3544" s="1" t="n">
        <v>44676.6122337963</v>
      </c>
      <c r="C3544" s="1" t="n">
        <v>46098</v>
      </c>
      <c r="D3544" t="inlineStr">
        <is>
          <t>UPPSALA LÄN</t>
        </is>
      </c>
      <c r="E3544" t="inlineStr">
        <is>
          <t>ÄLVKARLEBY</t>
        </is>
      </c>
      <c r="F3544" t="inlineStr">
        <is>
          <t>Bergvik skog väst AB</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15326-2022</t>
        </is>
      </c>
      <c r="B3545" s="1" t="n">
        <v>44659</v>
      </c>
      <c r="C3545" s="1" t="n">
        <v>46098</v>
      </c>
      <c r="D3545" t="inlineStr">
        <is>
          <t>UPPSALA LÄN</t>
        </is>
      </c>
      <c r="E3545" t="inlineStr">
        <is>
          <t>HEBY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27308-2023</t>
        </is>
      </c>
      <c r="B3546" s="1" t="n">
        <v>45096.65381944444</v>
      </c>
      <c r="C3546" s="1" t="n">
        <v>46098</v>
      </c>
      <c r="D3546" t="inlineStr">
        <is>
          <t>UPPSALA LÄN</t>
        </is>
      </c>
      <c r="E3546" t="inlineStr">
        <is>
          <t>ÖSTHAMMAR</t>
        </is>
      </c>
      <c r="F3546" t="inlineStr">
        <is>
          <t>Bergvik skog öst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19683-2022</t>
        </is>
      </c>
      <c r="B3547" s="1" t="n">
        <v>44694</v>
      </c>
      <c r="C3547" s="1" t="n">
        <v>46098</v>
      </c>
      <c r="D3547" t="inlineStr">
        <is>
          <t>UPPSALA LÄN</t>
        </is>
      </c>
      <c r="E3547" t="inlineStr">
        <is>
          <t>HEBY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5254-2025</t>
        </is>
      </c>
      <c r="B3548" s="1" t="n">
        <v>45692</v>
      </c>
      <c r="C3548" s="1" t="n">
        <v>46098</v>
      </c>
      <c r="D3548" t="inlineStr">
        <is>
          <t>UPPSALA LÄN</t>
        </is>
      </c>
      <c r="E3548" t="inlineStr">
        <is>
          <t>ÖSTHAMMAR</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7352-2023</t>
        </is>
      </c>
      <c r="B3549" s="1" t="n">
        <v>44966</v>
      </c>
      <c r="C3549" s="1" t="n">
        <v>46098</v>
      </c>
      <c r="D3549" t="inlineStr">
        <is>
          <t>UPPSALA LÄN</t>
        </is>
      </c>
      <c r="E3549" t="inlineStr">
        <is>
          <t>TIERP</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60151-2022</t>
        </is>
      </c>
      <c r="B3550" s="1" t="n">
        <v>44909.71309027778</v>
      </c>
      <c r="C3550" s="1" t="n">
        <v>46098</v>
      </c>
      <c r="D3550" t="inlineStr">
        <is>
          <t>UPPSALA LÄN</t>
        </is>
      </c>
      <c r="E3550" t="inlineStr">
        <is>
          <t>TIERP</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29873-2023</t>
        </is>
      </c>
      <c r="B3551" s="1" t="n">
        <v>45107</v>
      </c>
      <c r="C3551" s="1" t="n">
        <v>46098</v>
      </c>
      <c r="D3551" t="inlineStr">
        <is>
          <t>UPPSALA LÄN</t>
        </is>
      </c>
      <c r="E3551" t="inlineStr">
        <is>
          <t>ÖSTHAMMAR</t>
        </is>
      </c>
      <c r="F3551" t="inlineStr">
        <is>
          <t>Naturvårdsverket</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3214-2023</t>
        </is>
      </c>
      <c r="B3552" s="1" t="n">
        <v>44944</v>
      </c>
      <c r="C3552" s="1" t="n">
        <v>46098</v>
      </c>
      <c r="D3552" t="inlineStr">
        <is>
          <t>UPPSALA LÄN</t>
        </is>
      </c>
      <c r="E3552" t="inlineStr">
        <is>
          <t>UPPSALA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61062-2023</t>
        </is>
      </c>
      <c r="B3553" s="1" t="n">
        <v>45259</v>
      </c>
      <c r="C3553" s="1" t="n">
        <v>46098</v>
      </c>
      <c r="D3553" t="inlineStr">
        <is>
          <t>UPPSALA LÄN</t>
        </is>
      </c>
      <c r="E3553" t="inlineStr">
        <is>
          <t>ÖSTHAMMAR</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55100-2024</t>
        </is>
      </c>
      <c r="B3554" s="1" t="n">
        <v>45621.4405787037</v>
      </c>
      <c r="C3554" s="1" t="n">
        <v>46098</v>
      </c>
      <c r="D3554" t="inlineStr">
        <is>
          <t>UPPSALA LÄN</t>
        </is>
      </c>
      <c r="E3554" t="inlineStr">
        <is>
          <t>ÖSTHAMMAR</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15757-2023</t>
        </is>
      </c>
      <c r="B3555" s="1" t="n">
        <v>45021</v>
      </c>
      <c r="C3555" s="1" t="n">
        <v>46098</v>
      </c>
      <c r="D3555" t="inlineStr">
        <is>
          <t>UPPSALA LÄN</t>
        </is>
      </c>
      <c r="E3555" t="inlineStr">
        <is>
          <t>ENKÖPING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38190-2023</t>
        </is>
      </c>
      <c r="B3556" s="1" t="n">
        <v>45161</v>
      </c>
      <c r="C3556" s="1" t="n">
        <v>46098</v>
      </c>
      <c r="D3556" t="inlineStr">
        <is>
          <t>UPPSALA LÄN</t>
        </is>
      </c>
      <c r="E3556" t="inlineStr">
        <is>
          <t>UPPSALA</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54924-2024</t>
        </is>
      </c>
      <c r="B3557" s="1" t="n">
        <v>45618.71140046296</v>
      </c>
      <c r="C3557" s="1" t="n">
        <v>46098</v>
      </c>
      <c r="D3557" t="inlineStr">
        <is>
          <t>UPPSALA LÄN</t>
        </is>
      </c>
      <c r="E3557" t="inlineStr">
        <is>
          <t>UPPSALA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39007-2024</t>
        </is>
      </c>
      <c r="B3558" s="1" t="n">
        <v>45548.42854166667</v>
      </c>
      <c r="C3558" s="1" t="n">
        <v>46098</v>
      </c>
      <c r="D3558" t="inlineStr">
        <is>
          <t>UPPSALA LÄN</t>
        </is>
      </c>
      <c r="E3558" t="inlineStr">
        <is>
          <t>UPPSALA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2161-2023</t>
        </is>
      </c>
      <c r="B3559" s="1" t="n">
        <v>44941</v>
      </c>
      <c r="C3559" s="1" t="n">
        <v>46098</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2165-2023</t>
        </is>
      </c>
      <c r="B3560" s="1" t="n">
        <v>44941</v>
      </c>
      <c r="C3560" s="1" t="n">
        <v>46098</v>
      </c>
      <c r="D3560" t="inlineStr">
        <is>
          <t>UPPSALA LÄN</t>
        </is>
      </c>
      <c r="E3560" t="inlineStr">
        <is>
          <t>ENKÖPING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27543-2022</t>
        </is>
      </c>
      <c r="B3561" s="1" t="n">
        <v>44742</v>
      </c>
      <c r="C3561" s="1" t="n">
        <v>46098</v>
      </c>
      <c r="D3561" t="inlineStr">
        <is>
          <t>UPPSALA LÄN</t>
        </is>
      </c>
      <c r="E3561" t="inlineStr">
        <is>
          <t>UPPSALA</t>
        </is>
      </c>
      <c r="F3561" t="inlineStr">
        <is>
          <t>Kyrkan</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5289-2023</t>
        </is>
      </c>
      <c r="B3562" s="1" t="n">
        <v>44959.52206018518</v>
      </c>
      <c r="C3562" s="1" t="n">
        <v>46098</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29089-2021</t>
        </is>
      </c>
      <c r="B3563" s="1" t="n">
        <v>44358.56138888889</v>
      </c>
      <c r="C3563" s="1" t="n">
        <v>46098</v>
      </c>
      <c r="D3563" t="inlineStr">
        <is>
          <t>UPPSALA LÄN</t>
        </is>
      </c>
      <c r="E3563" t="inlineStr">
        <is>
          <t>TIERP</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46743-2024</t>
        </is>
      </c>
      <c r="B3564" s="1" t="n">
        <v>45583.47836805556</v>
      </c>
      <c r="C3564" s="1" t="n">
        <v>46098</v>
      </c>
      <c r="D3564" t="inlineStr">
        <is>
          <t>UPPSALA LÄN</t>
        </is>
      </c>
      <c r="E3564" t="inlineStr">
        <is>
          <t>UPPSALA</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66690-2021</t>
        </is>
      </c>
      <c r="B3565" s="1" t="n">
        <v>44519.64902777778</v>
      </c>
      <c r="C3565" s="1" t="n">
        <v>46098</v>
      </c>
      <c r="D3565" t="inlineStr">
        <is>
          <t>UPPSALA LÄN</t>
        </is>
      </c>
      <c r="E3565" t="inlineStr">
        <is>
          <t>UPPSALA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13602-2025</t>
        </is>
      </c>
      <c r="B3566" s="1" t="n">
        <v>45736.60863425926</v>
      </c>
      <c r="C3566" s="1" t="n">
        <v>46098</v>
      </c>
      <c r="D3566" t="inlineStr">
        <is>
          <t>UPPSALA LÄN</t>
        </is>
      </c>
      <c r="E3566" t="inlineStr">
        <is>
          <t>UPPSALA</t>
        </is>
      </c>
      <c r="F3566" t="inlineStr">
        <is>
          <t>Allmännings- och besparingsskogar</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31669-2022</t>
        </is>
      </c>
      <c r="B3567" s="1" t="n">
        <v>44775</v>
      </c>
      <c r="C3567" s="1" t="n">
        <v>46098</v>
      </c>
      <c r="D3567" t="inlineStr">
        <is>
          <t>UPPSALA LÄN</t>
        </is>
      </c>
      <c r="E3567" t="inlineStr">
        <is>
          <t>ÖSTHAMMAR</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7611-2023</t>
        </is>
      </c>
      <c r="B3568" s="1" t="n">
        <v>44967</v>
      </c>
      <c r="C3568" s="1" t="n">
        <v>46098</v>
      </c>
      <c r="D3568" t="inlineStr">
        <is>
          <t>UPPSALA LÄN</t>
        </is>
      </c>
      <c r="E3568" t="inlineStr">
        <is>
          <t>UPPSALA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18094-2025</t>
        </is>
      </c>
      <c r="B3569" s="1" t="n">
        <v>45761.54710648148</v>
      </c>
      <c r="C3569" s="1" t="n">
        <v>46098</v>
      </c>
      <c r="D3569" t="inlineStr">
        <is>
          <t>UPPSALA LÄN</t>
        </is>
      </c>
      <c r="E3569" t="inlineStr">
        <is>
          <t>ÖSTHAMMAR</t>
        </is>
      </c>
      <c r="F3569" t="inlineStr">
        <is>
          <t>Bergvik skog öst AB</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20112-2024</t>
        </is>
      </c>
      <c r="B3570" s="1" t="n">
        <v>45434</v>
      </c>
      <c r="C3570" s="1" t="n">
        <v>46098</v>
      </c>
      <c r="D3570" t="inlineStr">
        <is>
          <t>UPPSALA LÄN</t>
        </is>
      </c>
      <c r="E3570" t="inlineStr">
        <is>
          <t>ENKÖPING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47419-2022</t>
        </is>
      </c>
      <c r="B3571" s="1" t="n">
        <v>44853.56622685185</v>
      </c>
      <c r="C3571" s="1" t="n">
        <v>46098</v>
      </c>
      <c r="D3571" t="inlineStr">
        <is>
          <t>UPPSALA LÄN</t>
        </is>
      </c>
      <c r="E3571" t="inlineStr">
        <is>
          <t>TIERP</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58492-2023</t>
        </is>
      </c>
      <c r="B3572" s="1" t="n">
        <v>45251</v>
      </c>
      <c r="C3572" s="1" t="n">
        <v>46098</v>
      </c>
      <c r="D3572" t="inlineStr">
        <is>
          <t>UPPSALA LÄN</t>
        </is>
      </c>
      <c r="E3572" t="inlineStr">
        <is>
          <t>TIERP</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44775-2024</t>
        </is>
      </c>
      <c r="B3573" s="1" t="n">
        <v>45574</v>
      </c>
      <c r="C3573" s="1" t="n">
        <v>46098</v>
      </c>
      <c r="D3573" t="inlineStr">
        <is>
          <t>UPPSALA LÄN</t>
        </is>
      </c>
      <c r="E3573" t="inlineStr">
        <is>
          <t>TIERP</t>
        </is>
      </c>
      <c r="F3573" t="inlineStr">
        <is>
          <t>Bergvik skog öst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55644-2024</t>
        </is>
      </c>
      <c r="B3574" s="1" t="n">
        <v>45622.6241087963</v>
      </c>
      <c r="C3574" s="1" t="n">
        <v>46098</v>
      </c>
      <c r="D3574" t="inlineStr">
        <is>
          <t>UPPSALA LÄN</t>
        </is>
      </c>
      <c r="E3574" t="inlineStr">
        <is>
          <t>HEBY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67151-2021</t>
        </is>
      </c>
      <c r="B3575" s="1" t="n">
        <v>44523</v>
      </c>
      <c r="C3575" s="1" t="n">
        <v>46098</v>
      </c>
      <c r="D3575" t="inlineStr">
        <is>
          <t>UPPSALA LÄN</t>
        </is>
      </c>
      <c r="E3575" t="inlineStr">
        <is>
          <t>ÖSTHAMMAR</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11302-2025</t>
        </is>
      </c>
      <c r="B3576" s="1" t="n">
        <v>45726.4434375</v>
      </c>
      <c r="C3576" s="1" t="n">
        <v>46098</v>
      </c>
      <c r="D3576" t="inlineStr">
        <is>
          <t>UPPSALA LÄN</t>
        </is>
      </c>
      <c r="E3576" t="inlineStr">
        <is>
          <t>TIERP</t>
        </is>
      </c>
      <c r="F3576" t="inlineStr">
        <is>
          <t>Bergvik skog öst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59824-2024</t>
        </is>
      </c>
      <c r="B3577" s="1" t="n">
        <v>45639.64104166667</v>
      </c>
      <c r="C3577" s="1" t="n">
        <v>46098</v>
      </c>
      <c r="D3577" t="inlineStr">
        <is>
          <t>UPPSALA LÄN</t>
        </is>
      </c>
      <c r="E3577" t="inlineStr">
        <is>
          <t>HEBY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59858-2024</t>
        </is>
      </c>
      <c r="B3578" s="1" t="n">
        <v>45639</v>
      </c>
      <c r="C3578" s="1" t="n">
        <v>46098</v>
      </c>
      <c r="D3578" t="inlineStr">
        <is>
          <t>UPPSALA LÄN</t>
        </is>
      </c>
      <c r="E3578" t="inlineStr">
        <is>
          <t>HEBY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48039-2024</t>
        </is>
      </c>
      <c r="B3579" s="1" t="n">
        <v>45589.4975462963</v>
      </c>
      <c r="C3579" s="1" t="n">
        <v>46098</v>
      </c>
      <c r="D3579" t="inlineStr">
        <is>
          <t>UPPSALA LÄN</t>
        </is>
      </c>
      <c r="E3579" t="inlineStr">
        <is>
          <t>HEBY</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9542-2023</t>
        </is>
      </c>
      <c r="B3580" s="1" t="n">
        <v>44981</v>
      </c>
      <c r="C3580" s="1" t="n">
        <v>46098</v>
      </c>
      <c r="D3580" t="inlineStr">
        <is>
          <t>UPPSALA LÄN</t>
        </is>
      </c>
      <c r="E3580" t="inlineStr">
        <is>
          <t>ÖSTHAMMAR</t>
        </is>
      </c>
      <c r="F3580" t="inlineStr">
        <is>
          <t>Bergvik skog öst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6226-2024</t>
        </is>
      </c>
      <c r="B3581" s="1" t="n">
        <v>45337</v>
      </c>
      <c r="C3581" s="1" t="n">
        <v>46098</v>
      </c>
      <c r="D3581" t="inlineStr">
        <is>
          <t>UPPSALA LÄN</t>
        </is>
      </c>
      <c r="E3581" t="inlineStr">
        <is>
          <t>HEBY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40793-2021</t>
        </is>
      </c>
      <c r="B3582" s="1" t="n">
        <v>44421</v>
      </c>
      <c r="C3582" s="1" t="n">
        <v>46098</v>
      </c>
      <c r="D3582" t="inlineStr">
        <is>
          <t>UPPSALA LÄN</t>
        </is>
      </c>
      <c r="E3582" t="inlineStr">
        <is>
          <t>TIERP</t>
        </is>
      </c>
      <c r="F3582" t="inlineStr">
        <is>
          <t>Kyrkan</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733-2022</t>
        </is>
      </c>
      <c r="B3583" s="1" t="n">
        <v>44568.67040509259</v>
      </c>
      <c r="C3583" s="1" t="n">
        <v>46098</v>
      </c>
      <c r="D3583" t="inlineStr">
        <is>
          <t>UPPSALA LÄN</t>
        </is>
      </c>
      <c r="E3583" t="inlineStr">
        <is>
          <t>UPPSALA</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36343-2022</t>
        </is>
      </c>
      <c r="B3584" s="1" t="n">
        <v>44803.78524305556</v>
      </c>
      <c r="C3584" s="1" t="n">
        <v>46098</v>
      </c>
      <c r="D3584" t="inlineStr">
        <is>
          <t>UPPSALA LÄN</t>
        </is>
      </c>
      <c r="E3584" t="inlineStr">
        <is>
          <t>ÖSTHAMMAR</t>
        </is>
      </c>
      <c r="F3584" t="inlineStr">
        <is>
          <t>Bergvik skog öst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16933-2022</t>
        </is>
      </c>
      <c r="B3585" s="1" t="n">
        <v>44676</v>
      </c>
      <c r="C3585" s="1" t="n">
        <v>46098</v>
      </c>
      <c r="D3585" t="inlineStr">
        <is>
          <t>UPPSALA LÄN</t>
        </is>
      </c>
      <c r="E3585" t="inlineStr">
        <is>
          <t>ÖSTHAMMAR</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20087-2023</t>
        </is>
      </c>
      <c r="B3586" s="1" t="n">
        <v>45054.9271875</v>
      </c>
      <c r="C3586" s="1" t="n">
        <v>46098</v>
      </c>
      <c r="D3586" t="inlineStr">
        <is>
          <t>UPPSALA LÄN</t>
        </is>
      </c>
      <c r="E3586" t="inlineStr">
        <is>
          <t>UPPSALA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13126-2021</t>
        </is>
      </c>
      <c r="B3587" s="1" t="n">
        <v>44272</v>
      </c>
      <c r="C3587" s="1" t="n">
        <v>46098</v>
      </c>
      <c r="D3587" t="inlineStr">
        <is>
          <t>UPPSALA LÄN</t>
        </is>
      </c>
      <c r="E3587" t="inlineStr">
        <is>
          <t>HEBY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48029-2024</t>
        </is>
      </c>
      <c r="B3588" s="1" t="n">
        <v>45589.48607638889</v>
      </c>
      <c r="C3588" s="1" t="n">
        <v>46098</v>
      </c>
      <c r="D3588" t="inlineStr">
        <is>
          <t>UPPSALA LÄN</t>
        </is>
      </c>
      <c r="E3588" t="inlineStr">
        <is>
          <t>HEBY</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48083-2024</t>
        </is>
      </c>
      <c r="B3589" s="1" t="n">
        <v>45589.58766203704</v>
      </c>
      <c r="C3589" s="1" t="n">
        <v>46098</v>
      </c>
      <c r="D3589" t="inlineStr">
        <is>
          <t>UPPSALA LÄN</t>
        </is>
      </c>
      <c r="E3589" t="inlineStr">
        <is>
          <t>ÖSTHAMMAR</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48588-2022</t>
        </is>
      </c>
      <c r="B3590" s="1" t="n">
        <v>44859.36896990741</v>
      </c>
      <c r="C3590" s="1" t="n">
        <v>46098</v>
      </c>
      <c r="D3590" t="inlineStr">
        <is>
          <t>UPPSALA LÄN</t>
        </is>
      </c>
      <c r="E3590" t="inlineStr">
        <is>
          <t>UPPSALA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2162-2023</t>
        </is>
      </c>
      <c r="B3591" s="1" t="n">
        <v>44941</v>
      </c>
      <c r="C3591" s="1" t="n">
        <v>46098</v>
      </c>
      <c r="D3591" t="inlineStr">
        <is>
          <t>UPPSALA LÄN</t>
        </is>
      </c>
      <c r="E3591" t="inlineStr">
        <is>
          <t>ENKÖPING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14269-2025</t>
        </is>
      </c>
      <c r="B3592" s="1" t="n">
        <v>45740.64078703704</v>
      </c>
      <c r="C3592" s="1" t="n">
        <v>46098</v>
      </c>
      <c r="D3592" t="inlineStr">
        <is>
          <t>UPPSALA LÄN</t>
        </is>
      </c>
      <c r="E3592" t="inlineStr">
        <is>
          <t>ÖSTHAMMAR</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6971-2025</t>
        </is>
      </c>
      <c r="B3593" s="1" t="n">
        <v>45693</v>
      </c>
      <c r="C3593" s="1" t="n">
        <v>46098</v>
      </c>
      <c r="D3593" t="inlineStr">
        <is>
          <t>UPPSALA LÄN</t>
        </is>
      </c>
      <c r="E3593" t="inlineStr">
        <is>
          <t>UPPSALA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43032-2022</t>
        </is>
      </c>
      <c r="B3594" s="1" t="n">
        <v>44832</v>
      </c>
      <c r="C3594" s="1" t="n">
        <v>46098</v>
      </c>
      <c r="D3594" t="inlineStr">
        <is>
          <t>UPPSALA LÄN</t>
        </is>
      </c>
      <c r="E3594" t="inlineStr">
        <is>
          <t>UPPSALA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32081-2024</t>
        </is>
      </c>
      <c r="B3595" s="1" t="n">
        <v>45511.34605324074</v>
      </c>
      <c r="C3595" s="1" t="n">
        <v>46098</v>
      </c>
      <c r="D3595" t="inlineStr">
        <is>
          <t>UPPSALA LÄN</t>
        </is>
      </c>
      <c r="E3595" t="inlineStr">
        <is>
          <t>ENKÖPING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5855-2022</t>
        </is>
      </c>
      <c r="B3596" s="1" t="n">
        <v>44596.63290509259</v>
      </c>
      <c r="C3596" s="1" t="n">
        <v>46098</v>
      </c>
      <c r="D3596" t="inlineStr">
        <is>
          <t>UPPSALA LÄN</t>
        </is>
      </c>
      <c r="E3596" t="inlineStr">
        <is>
          <t>ÖSTHAMMAR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23828-2021</t>
        </is>
      </c>
      <c r="B3597" s="1" t="n">
        <v>44335</v>
      </c>
      <c r="C3597" s="1" t="n">
        <v>46098</v>
      </c>
      <c r="D3597" t="inlineStr">
        <is>
          <t>UPPSALA LÄN</t>
        </is>
      </c>
      <c r="E3597" t="inlineStr">
        <is>
          <t>TIERP</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50669-2024</t>
        </is>
      </c>
      <c r="B3598" s="1" t="n">
        <v>45601</v>
      </c>
      <c r="C3598" s="1" t="n">
        <v>46098</v>
      </c>
      <c r="D3598" t="inlineStr">
        <is>
          <t>UPPSALA LÄN</t>
        </is>
      </c>
      <c r="E3598" t="inlineStr">
        <is>
          <t>UPPSALA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13622-2025</t>
        </is>
      </c>
      <c r="B3599" s="1" t="n">
        <v>45736</v>
      </c>
      <c r="C3599" s="1" t="n">
        <v>46098</v>
      </c>
      <c r="D3599" t="inlineStr">
        <is>
          <t>UPPSALA LÄN</t>
        </is>
      </c>
      <c r="E3599" t="inlineStr">
        <is>
          <t>ÖSTHAMMAR</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56759-2024</t>
        </is>
      </c>
      <c r="B3600" s="1" t="n">
        <v>45628.39877314815</v>
      </c>
      <c r="C3600" s="1" t="n">
        <v>46098</v>
      </c>
      <c r="D3600" t="inlineStr">
        <is>
          <t>UPPSALA LÄN</t>
        </is>
      </c>
      <c r="E3600" t="inlineStr">
        <is>
          <t>ÖSTHAMMAR</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34509-2023</t>
        </is>
      </c>
      <c r="B3601" s="1" t="n">
        <v>45133</v>
      </c>
      <c r="C3601" s="1" t="n">
        <v>46098</v>
      </c>
      <c r="D3601" t="inlineStr">
        <is>
          <t>UPPSALA LÄN</t>
        </is>
      </c>
      <c r="E3601" t="inlineStr">
        <is>
          <t>UPPSALA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10275-2025</t>
        </is>
      </c>
      <c r="B3602" s="1" t="n">
        <v>45720.39715277778</v>
      </c>
      <c r="C3602" s="1" t="n">
        <v>46098</v>
      </c>
      <c r="D3602" t="inlineStr">
        <is>
          <t>UPPSALA LÄN</t>
        </is>
      </c>
      <c r="E3602" t="inlineStr">
        <is>
          <t>ÖSTHAMMAR</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42731-2023</t>
        </is>
      </c>
      <c r="B3603" s="1" t="n">
        <v>45181.64949074074</v>
      </c>
      <c r="C3603" s="1" t="n">
        <v>46098</v>
      </c>
      <c r="D3603" t="inlineStr">
        <is>
          <t>UPPSALA LÄN</t>
        </is>
      </c>
      <c r="E3603" t="inlineStr">
        <is>
          <t>HEBY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21143-2023</t>
        </is>
      </c>
      <c r="B3604" s="1" t="n">
        <v>45062</v>
      </c>
      <c r="C3604" s="1" t="n">
        <v>46098</v>
      </c>
      <c r="D3604" t="inlineStr">
        <is>
          <t>UPPSALA LÄN</t>
        </is>
      </c>
      <c r="E3604" t="inlineStr">
        <is>
          <t>HEBY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33939-2024</t>
        </is>
      </c>
      <c r="B3605" s="1" t="n">
        <v>45523</v>
      </c>
      <c r="C3605" s="1" t="n">
        <v>46098</v>
      </c>
      <c r="D3605" t="inlineStr">
        <is>
          <t>UPPSALA LÄN</t>
        </is>
      </c>
      <c r="E3605" t="inlineStr">
        <is>
          <t>UPPSALA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2968-2025</t>
        </is>
      </c>
      <c r="B3606" s="1" t="n">
        <v>45678</v>
      </c>
      <c r="C3606" s="1" t="n">
        <v>46098</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61640-2023</t>
        </is>
      </c>
      <c r="B3607" s="1" t="n">
        <v>45265.56704861111</v>
      </c>
      <c r="C3607" s="1" t="n">
        <v>46098</v>
      </c>
      <c r="D3607" t="inlineStr">
        <is>
          <t>UPPSALA LÄN</t>
        </is>
      </c>
      <c r="E3607" t="inlineStr">
        <is>
          <t>TIERP</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13343-2022</t>
        </is>
      </c>
      <c r="B3608" s="1" t="n">
        <v>44645.39157407408</v>
      </c>
      <c r="C3608" s="1" t="n">
        <v>46098</v>
      </c>
      <c r="D3608" t="inlineStr">
        <is>
          <t>UPPSALA LÄN</t>
        </is>
      </c>
      <c r="E3608" t="inlineStr">
        <is>
          <t>UPPSALA</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49525-2021</t>
        </is>
      </c>
      <c r="B3609" s="1" t="n">
        <v>44455</v>
      </c>
      <c r="C3609" s="1" t="n">
        <v>46098</v>
      </c>
      <c r="D3609" t="inlineStr">
        <is>
          <t>UPPSALA LÄN</t>
        </is>
      </c>
      <c r="E3609" t="inlineStr">
        <is>
          <t>ENKÖPING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30351-2022</t>
        </is>
      </c>
      <c r="B3610" s="1" t="n">
        <v>44757</v>
      </c>
      <c r="C3610" s="1" t="n">
        <v>46098</v>
      </c>
      <c r="D3610" t="inlineStr">
        <is>
          <t>UPPSALA LÄN</t>
        </is>
      </c>
      <c r="E3610" t="inlineStr">
        <is>
          <t>KNIVSTA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11173-2024</t>
        </is>
      </c>
      <c r="B3611" s="1" t="n">
        <v>45371.50738425926</v>
      </c>
      <c r="C3611" s="1" t="n">
        <v>46098</v>
      </c>
      <c r="D3611" t="inlineStr">
        <is>
          <t>UPPSALA LÄN</t>
        </is>
      </c>
      <c r="E3611" t="inlineStr">
        <is>
          <t>UPPSALA</t>
        </is>
      </c>
      <c r="F3611" t="inlineStr">
        <is>
          <t>Bergvik skog öst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6959-2025</t>
        </is>
      </c>
      <c r="B3612" s="1" t="n">
        <v>45701.49315972222</v>
      </c>
      <c r="C3612" s="1" t="n">
        <v>46098</v>
      </c>
      <c r="D3612" t="inlineStr">
        <is>
          <t>UPPSALA LÄN</t>
        </is>
      </c>
      <c r="E3612" t="inlineStr">
        <is>
          <t>ENKÖPING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3191-2024</t>
        </is>
      </c>
      <c r="B3613" s="1" t="n">
        <v>45316.67186342592</v>
      </c>
      <c r="C3613" s="1" t="n">
        <v>46098</v>
      </c>
      <c r="D3613" t="inlineStr">
        <is>
          <t>UPPSALA LÄN</t>
        </is>
      </c>
      <c r="E3613" t="inlineStr">
        <is>
          <t>KNIVSTA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9242-2022</t>
        </is>
      </c>
      <c r="B3614" s="1" t="n">
        <v>44616</v>
      </c>
      <c r="C3614" s="1" t="n">
        <v>46098</v>
      </c>
      <c r="D3614" t="inlineStr">
        <is>
          <t>UPPSALA LÄN</t>
        </is>
      </c>
      <c r="E3614" t="inlineStr">
        <is>
          <t>UPPSALA</t>
        </is>
      </c>
      <c r="F3614" t="inlineStr">
        <is>
          <t>Övriga Aktiebolag</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14907-2025</t>
        </is>
      </c>
      <c r="B3615" s="1" t="n">
        <v>45743.50744212963</v>
      </c>
      <c r="C3615" s="1" t="n">
        <v>46098</v>
      </c>
      <c r="D3615" t="inlineStr">
        <is>
          <t>UPPSALA LÄN</t>
        </is>
      </c>
      <c r="E3615" t="inlineStr">
        <is>
          <t>UPPSALA</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24493-2023</t>
        </is>
      </c>
      <c r="B3616" s="1" t="n">
        <v>45082.62603009259</v>
      </c>
      <c r="C3616" s="1" t="n">
        <v>46098</v>
      </c>
      <c r="D3616" t="inlineStr">
        <is>
          <t>UPPSALA LÄN</t>
        </is>
      </c>
      <c r="E3616" t="inlineStr">
        <is>
          <t>ÖSTHAMMAR</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34140-2023</t>
        </is>
      </c>
      <c r="B3617" s="1" t="n">
        <v>45135</v>
      </c>
      <c r="C3617" s="1" t="n">
        <v>46098</v>
      </c>
      <c r="D3617" t="inlineStr">
        <is>
          <t>UPPSALA LÄN</t>
        </is>
      </c>
      <c r="E3617" t="inlineStr">
        <is>
          <t>HEBY</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18443-2023</t>
        </is>
      </c>
      <c r="B3618" s="1" t="n">
        <v>45042</v>
      </c>
      <c r="C3618" s="1" t="n">
        <v>46098</v>
      </c>
      <c r="D3618" t="inlineStr">
        <is>
          <t>UPPSALA LÄN</t>
        </is>
      </c>
      <c r="E3618" t="inlineStr">
        <is>
          <t>UPPSALA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7560-2023</t>
        </is>
      </c>
      <c r="B3619" s="1" t="n">
        <v>44972.34811342593</v>
      </c>
      <c r="C3619" s="1" t="n">
        <v>46098</v>
      </c>
      <c r="D3619" t="inlineStr">
        <is>
          <t>UPPSALA LÄN</t>
        </is>
      </c>
      <c r="E3619" t="inlineStr">
        <is>
          <t>ÖSTHAMMAR</t>
        </is>
      </c>
      <c r="F3619" t="inlineStr">
        <is>
          <t>Bergvik skog öst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19017-2023</t>
        </is>
      </c>
      <c r="B3620" s="1" t="n">
        <v>45047.31793981481</v>
      </c>
      <c r="C3620" s="1" t="n">
        <v>46098</v>
      </c>
      <c r="D3620" t="inlineStr">
        <is>
          <t>UPPSALA LÄN</t>
        </is>
      </c>
      <c r="E3620" t="inlineStr">
        <is>
          <t>UPPSALA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19040-2023</t>
        </is>
      </c>
      <c r="B3621" s="1" t="n">
        <v>45047</v>
      </c>
      <c r="C3621" s="1" t="n">
        <v>46098</v>
      </c>
      <c r="D3621" t="inlineStr">
        <is>
          <t>UPPSALA LÄN</t>
        </is>
      </c>
      <c r="E3621" t="inlineStr">
        <is>
          <t>ÖSTHAMMAR</t>
        </is>
      </c>
      <c r="F3621" t="inlineStr">
        <is>
          <t>Bergvik skog öst AB</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10069-2024</t>
        </is>
      </c>
      <c r="B3622" s="1" t="n">
        <v>45364</v>
      </c>
      <c r="C3622" s="1" t="n">
        <v>46098</v>
      </c>
      <c r="D3622" t="inlineStr">
        <is>
          <t>UPPSALA LÄN</t>
        </is>
      </c>
      <c r="E3622" t="inlineStr">
        <is>
          <t>HEBY</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4004-2023</t>
        </is>
      </c>
      <c r="B3623" s="1" t="n">
        <v>44952</v>
      </c>
      <c r="C3623" s="1" t="n">
        <v>46098</v>
      </c>
      <c r="D3623" t="inlineStr">
        <is>
          <t>UPPSALA LÄN</t>
        </is>
      </c>
      <c r="E3623" t="inlineStr">
        <is>
          <t>ÖSTHAMMAR</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10674-2022</t>
        </is>
      </c>
      <c r="B3624" s="1" t="n">
        <v>44624.64538194444</v>
      </c>
      <c r="C3624" s="1" t="n">
        <v>46098</v>
      </c>
      <c r="D3624" t="inlineStr">
        <is>
          <t>UPPSALA LÄN</t>
        </is>
      </c>
      <c r="E3624" t="inlineStr">
        <is>
          <t>UPPSALA</t>
        </is>
      </c>
      <c r="F3624" t="inlineStr">
        <is>
          <t>Bergvik skog öst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30437-2022</t>
        </is>
      </c>
      <c r="B3625" s="1" t="n">
        <v>44761</v>
      </c>
      <c r="C3625" s="1" t="n">
        <v>46098</v>
      </c>
      <c r="D3625" t="inlineStr">
        <is>
          <t>UPPSALA LÄN</t>
        </is>
      </c>
      <c r="E3625" t="inlineStr">
        <is>
          <t>ENKÖPING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51011-2024</t>
        </is>
      </c>
      <c r="B3626" s="1" t="n">
        <v>45603.39427083333</v>
      </c>
      <c r="C3626" s="1" t="n">
        <v>46098</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26319-2022</t>
        </is>
      </c>
      <c r="B3627" s="1" t="n">
        <v>44735</v>
      </c>
      <c r="C3627" s="1" t="n">
        <v>46098</v>
      </c>
      <c r="D3627" t="inlineStr">
        <is>
          <t>UPPSALA LÄN</t>
        </is>
      </c>
      <c r="E3627" t="inlineStr">
        <is>
          <t>ENKÖPING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31875-2022</t>
        </is>
      </c>
      <c r="B3628" s="1" t="n">
        <v>44777</v>
      </c>
      <c r="C3628" s="1" t="n">
        <v>46098</v>
      </c>
      <c r="D3628" t="inlineStr">
        <is>
          <t>UPPSALA LÄN</t>
        </is>
      </c>
      <c r="E3628" t="inlineStr">
        <is>
          <t>KNIVSTA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49061-2021</t>
        </is>
      </c>
      <c r="B3629" s="1" t="n">
        <v>44453.60243055555</v>
      </c>
      <c r="C3629" s="1" t="n">
        <v>46098</v>
      </c>
      <c r="D3629" t="inlineStr">
        <is>
          <t>UPPSALA LÄN</t>
        </is>
      </c>
      <c r="E3629" t="inlineStr">
        <is>
          <t>TIERP</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31549-2022</t>
        </is>
      </c>
      <c r="B3630" s="1" t="n">
        <v>44775.400625</v>
      </c>
      <c r="C3630" s="1" t="n">
        <v>46098</v>
      </c>
      <c r="D3630" t="inlineStr">
        <is>
          <t>UPPSALA LÄN</t>
        </is>
      </c>
      <c r="E3630" t="inlineStr">
        <is>
          <t>ÖSTHAMMAR</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4509-2024</t>
        </is>
      </c>
      <c r="B3631" s="1" t="n">
        <v>45327</v>
      </c>
      <c r="C3631" s="1" t="n">
        <v>46098</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19513-2023</t>
        </is>
      </c>
      <c r="B3632" s="1" t="n">
        <v>45050.49392361111</v>
      </c>
      <c r="C3632" s="1" t="n">
        <v>46098</v>
      </c>
      <c r="D3632" t="inlineStr">
        <is>
          <t>UPPSALA LÄN</t>
        </is>
      </c>
      <c r="E3632" t="inlineStr">
        <is>
          <t>UPPSALA</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64128-2023</t>
        </is>
      </c>
      <c r="B3633" s="1" t="n">
        <v>45279.51664351852</v>
      </c>
      <c r="C3633" s="1" t="n">
        <v>46098</v>
      </c>
      <c r="D3633" t="inlineStr">
        <is>
          <t>UPPSALA LÄN</t>
        </is>
      </c>
      <c r="E3633" t="inlineStr">
        <is>
          <t>TIERP</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43957-2021</t>
        </is>
      </c>
      <c r="B3634" s="1" t="n">
        <v>44434.43853009259</v>
      </c>
      <c r="C3634" s="1" t="n">
        <v>46098</v>
      </c>
      <c r="D3634" t="inlineStr">
        <is>
          <t>UPPSALA LÄN</t>
        </is>
      </c>
      <c r="E3634" t="inlineStr">
        <is>
          <t>HEBY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29918-2023</t>
        </is>
      </c>
      <c r="B3635" s="1" t="n">
        <v>45099</v>
      </c>
      <c r="C3635" s="1" t="n">
        <v>46098</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17788-2023</t>
        </is>
      </c>
      <c r="B3636" s="1" t="n">
        <v>45037</v>
      </c>
      <c r="C3636" s="1" t="n">
        <v>46098</v>
      </c>
      <c r="D3636" t="inlineStr">
        <is>
          <t>UPPSALA LÄN</t>
        </is>
      </c>
      <c r="E3636" t="inlineStr">
        <is>
          <t>UPPSALA</t>
        </is>
      </c>
      <c r="F3636" t="inlineStr">
        <is>
          <t>Övriga Aktiebolag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64899-2021</t>
        </is>
      </c>
      <c r="B3637" s="1" t="n">
        <v>44512</v>
      </c>
      <c r="C3637" s="1" t="n">
        <v>46098</v>
      </c>
      <c r="D3637" t="inlineStr">
        <is>
          <t>UPPSALA LÄN</t>
        </is>
      </c>
      <c r="E3637" t="inlineStr">
        <is>
          <t>HEBY</t>
        </is>
      </c>
      <c r="F3637" t="inlineStr">
        <is>
          <t>Bergvik skog öst AB</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24291-2024</t>
        </is>
      </c>
      <c r="B3638" s="1" t="n">
        <v>45457.4584837963</v>
      </c>
      <c r="C3638" s="1" t="n">
        <v>46098</v>
      </c>
      <c r="D3638" t="inlineStr">
        <is>
          <t>UPPSALA LÄN</t>
        </is>
      </c>
      <c r="E3638" t="inlineStr">
        <is>
          <t>ENKÖPING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16494-2025</t>
        </is>
      </c>
      <c r="B3639" s="1" t="n">
        <v>45751.59844907407</v>
      </c>
      <c r="C3639" s="1" t="n">
        <v>46098</v>
      </c>
      <c r="D3639" t="inlineStr">
        <is>
          <t>UPPSALA LÄN</t>
        </is>
      </c>
      <c r="E3639" t="inlineStr">
        <is>
          <t>TIERP</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36902-2024</t>
        </is>
      </c>
      <c r="B3640" s="1" t="n">
        <v>45538</v>
      </c>
      <c r="C3640" s="1" t="n">
        <v>46098</v>
      </c>
      <c r="D3640" t="inlineStr">
        <is>
          <t>UPPSALA LÄN</t>
        </is>
      </c>
      <c r="E3640" t="inlineStr">
        <is>
          <t>TIERP</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787-2024</t>
        </is>
      </c>
      <c r="B3641" s="1" t="n">
        <v>45300</v>
      </c>
      <c r="C3641" s="1" t="n">
        <v>46098</v>
      </c>
      <c r="D3641" t="inlineStr">
        <is>
          <t>UPPSALA LÄN</t>
        </is>
      </c>
      <c r="E3641" t="inlineStr">
        <is>
          <t>UPPSALA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70031-2021</t>
        </is>
      </c>
      <c r="B3642" s="1" t="n">
        <v>44533.46665509259</v>
      </c>
      <c r="C3642" s="1" t="n">
        <v>46098</v>
      </c>
      <c r="D3642" t="inlineStr">
        <is>
          <t>UPPSALA LÄN</t>
        </is>
      </c>
      <c r="E3642" t="inlineStr">
        <is>
          <t>UPPSALA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17944-2023</t>
        </is>
      </c>
      <c r="B3643" s="1" t="n">
        <v>45040.43703703704</v>
      </c>
      <c r="C3643" s="1" t="n">
        <v>46098</v>
      </c>
      <c r="D3643" t="inlineStr">
        <is>
          <t>UPPSALA LÄN</t>
        </is>
      </c>
      <c r="E3643" t="inlineStr">
        <is>
          <t>TIERP</t>
        </is>
      </c>
      <c r="F3643" t="inlineStr">
        <is>
          <t>Bergvik skog väst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59015-2022</t>
        </is>
      </c>
      <c r="B3644" s="1" t="n">
        <v>44903</v>
      </c>
      <c r="C3644" s="1" t="n">
        <v>46098</v>
      </c>
      <c r="D3644" t="inlineStr">
        <is>
          <t>UPPSALA LÄN</t>
        </is>
      </c>
      <c r="E3644" t="inlineStr">
        <is>
          <t>HEBY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51849-2023</t>
        </is>
      </c>
      <c r="B3645" s="1" t="n">
        <v>45223.34391203704</v>
      </c>
      <c r="C3645" s="1" t="n">
        <v>46098</v>
      </c>
      <c r="D3645" t="inlineStr">
        <is>
          <t>UPPSALA LÄN</t>
        </is>
      </c>
      <c r="E3645" t="inlineStr">
        <is>
          <t>KNIVSTA</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38493-2023</t>
        </is>
      </c>
      <c r="B3646" s="1" t="n">
        <v>45162</v>
      </c>
      <c r="C3646" s="1" t="n">
        <v>46098</v>
      </c>
      <c r="D3646" t="inlineStr">
        <is>
          <t>UPPSALA LÄN</t>
        </is>
      </c>
      <c r="E3646" t="inlineStr">
        <is>
          <t>UPPSALA</t>
        </is>
      </c>
      <c r="F3646" t="inlineStr">
        <is>
          <t>Allmännings- och besparingsskogar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36782-2023</t>
        </is>
      </c>
      <c r="B3647" s="1" t="n">
        <v>45154.35092592592</v>
      </c>
      <c r="C3647" s="1" t="n">
        <v>46098</v>
      </c>
      <c r="D3647" t="inlineStr">
        <is>
          <t>UPPSALA LÄN</t>
        </is>
      </c>
      <c r="E3647" t="inlineStr">
        <is>
          <t>UPPSALA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36857-2023</t>
        </is>
      </c>
      <c r="B3648" s="1" t="n">
        <v>45154.55175925926</v>
      </c>
      <c r="C3648" s="1" t="n">
        <v>46098</v>
      </c>
      <c r="D3648" t="inlineStr">
        <is>
          <t>UPPSALA LÄN</t>
        </is>
      </c>
      <c r="E3648" t="inlineStr">
        <is>
          <t>ÖSTHAMMAR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1800-2023</t>
        </is>
      </c>
      <c r="B3649" s="1" t="n">
        <v>44938</v>
      </c>
      <c r="C3649" s="1" t="n">
        <v>46098</v>
      </c>
      <c r="D3649" t="inlineStr">
        <is>
          <t>UPPSALA LÄN</t>
        </is>
      </c>
      <c r="E3649" t="inlineStr">
        <is>
          <t>ÖSTHAMMAR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6970-2025</t>
        </is>
      </c>
      <c r="B3650" s="1" t="n">
        <v>45693</v>
      </c>
      <c r="C3650" s="1" t="n">
        <v>46098</v>
      </c>
      <c r="D3650" t="inlineStr">
        <is>
          <t>UPPSALA LÄN</t>
        </is>
      </c>
      <c r="E3650" t="inlineStr">
        <is>
          <t>UPPSALA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8699-2025</t>
        </is>
      </c>
      <c r="B3651" s="1" t="n">
        <v>45712.47983796296</v>
      </c>
      <c r="C3651" s="1" t="n">
        <v>46098</v>
      </c>
      <c r="D3651" t="inlineStr">
        <is>
          <t>UPPSALA LÄN</t>
        </is>
      </c>
      <c r="E3651" t="inlineStr">
        <is>
          <t>ÖSTHAMMAR</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8791-2025</t>
        </is>
      </c>
      <c r="B3652" s="1" t="n">
        <v>45712</v>
      </c>
      <c r="C3652" s="1" t="n">
        <v>46098</v>
      </c>
      <c r="D3652" t="inlineStr">
        <is>
          <t>UPPSALA LÄN</t>
        </is>
      </c>
      <c r="E3652" t="inlineStr">
        <is>
          <t>ÖSTHAMMAR</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31485-2023</t>
        </is>
      </c>
      <c r="B3653" s="1" t="n">
        <v>45114</v>
      </c>
      <c r="C3653" s="1" t="n">
        <v>46098</v>
      </c>
      <c r="D3653" t="inlineStr">
        <is>
          <t>UPPSALA LÄN</t>
        </is>
      </c>
      <c r="E3653" t="inlineStr">
        <is>
          <t>ÖSTHAMMAR</t>
        </is>
      </c>
      <c r="F3653" t="inlineStr">
        <is>
          <t>Bergvik skog öst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32326-2022</t>
        </is>
      </c>
      <c r="B3654" s="1" t="n">
        <v>44781.68261574074</v>
      </c>
      <c r="C3654" s="1" t="n">
        <v>46098</v>
      </c>
      <c r="D3654" t="inlineStr">
        <is>
          <t>UPPSALA LÄN</t>
        </is>
      </c>
      <c r="E3654" t="inlineStr">
        <is>
          <t>TIERP</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35865-2022</t>
        </is>
      </c>
      <c r="B3655" s="1" t="n">
        <v>44802.44090277778</v>
      </c>
      <c r="C3655" s="1" t="n">
        <v>46098</v>
      </c>
      <c r="D3655" t="inlineStr">
        <is>
          <t>UPPSALA LÄN</t>
        </is>
      </c>
      <c r="E3655" t="inlineStr">
        <is>
          <t>HEBY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35868-2022</t>
        </is>
      </c>
      <c r="B3656" s="1" t="n">
        <v>44802.4437962963</v>
      </c>
      <c r="C3656" s="1" t="n">
        <v>46098</v>
      </c>
      <c r="D3656" t="inlineStr">
        <is>
          <t>UPPSALA LÄN</t>
        </is>
      </c>
      <c r="E3656" t="inlineStr">
        <is>
          <t>HEBY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5068-2025</t>
        </is>
      </c>
      <c r="B3657" s="1" t="n">
        <v>45691</v>
      </c>
      <c r="C3657" s="1" t="n">
        <v>46098</v>
      </c>
      <c r="D3657" t="inlineStr">
        <is>
          <t>UPPSALA LÄN</t>
        </is>
      </c>
      <c r="E3657" t="inlineStr">
        <is>
          <t>UPPSALA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25997-2022</t>
        </is>
      </c>
      <c r="B3658" s="1" t="n">
        <v>44734.5185300926</v>
      </c>
      <c r="C3658" s="1" t="n">
        <v>46098</v>
      </c>
      <c r="D3658" t="inlineStr">
        <is>
          <t>UPPSALA LÄN</t>
        </is>
      </c>
      <c r="E3658" t="inlineStr">
        <is>
          <t>HEBY</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46635-2022</t>
        </is>
      </c>
      <c r="B3659" s="1" t="n">
        <v>44849</v>
      </c>
      <c r="C3659" s="1" t="n">
        <v>46098</v>
      </c>
      <c r="D3659" t="inlineStr">
        <is>
          <t>UPPSALA LÄN</t>
        </is>
      </c>
      <c r="E3659" t="inlineStr">
        <is>
          <t>UPPSALA</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2897-2025</t>
        </is>
      </c>
      <c r="B3660" s="1" t="n">
        <v>45677</v>
      </c>
      <c r="C3660" s="1" t="n">
        <v>46098</v>
      </c>
      <c r="D3660" t="inlineStr">
        <is>
          <t>UPPSALA LÄN</t>
        </is>
      </c>
      <c r="E3660" t="inlineStr">
        <is>
          <t>UPPSALA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17593-2025</t>
        </is>
      </c>
      <c r="B3661" s="1" t="n">
        <v>45757.6997337963</v>
      </c>
      <c r="C3661" s="1" t="n">
        <v>46098</v>
      </c>
      <c r="D3661" t="inlineStr">
        <is>
          <t>UPPSALA LÄN</t>
        </is>
      </c>
      <c r="E3661" t="inlineStr">
        <is>
          <t>UPPSALA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17596-2025</t>
        </is>
      </c>
      <c r="B3662" s="1" t="n">
        <v>45757</v>
      </c>
      <c r="C3662" s="1" t="n">
        <v>46098</v>
      </c>
      <c r="D3662" t="inlineStr">
        <is>
          <t>UPPSALA LÄN</t>
        </is>
      </c>
      <c r="E3662" t="inlineStr">
        <is>
          <t>UPPSALA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25897-2023</t>
        </is>
      </c>
      <c r="B3663" s="1" t="n">
        <v>45090.63300925926</v>
      </c>
      <c r="C3663" s="1" t="n">
        <v>46098</v>
      </c>
      <c r="D3663" t="inlineStr">
        <is>
          <t>UPPSALA LÄN</t>
        </is>
      </c>
      <c r="E3663" t="inlineStr">
        <is>
          <t>ÖSTHAMMAR</t>
        </is>
      </c>
      <c r="F3663" t="inlineStr">
        <is>
          <t>Bergvik skog öst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66055-2021</t>
        </is>
      </c>
      <c r="B3664" s="1" t="n">
        <v>44517.6352662037</v>
      </c>
      <c r="C3664" s="1" t="n">
        <v>46098</v>
      </c>
      <c r="D3664" t="inlineStr">
        <is>
          <t>UPPSALA LÄN</t>
        </is>
      </c>
      <c r="E3664" t="inlineStr">
        <is>
          <t>HEBY</t>
        </is>
      </c>
      <c r="F3664" t="inlineStr">
        <is>
          <t>Bergvik skog öst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24278-2021</t>
        </is>
      </c>
      <c r="B3665" s="1" t="n">
        <v>44337</v>
      </c>
      <c r="C3665" s="1" t="n">
        <v>46098</v>
      </c>
      <c r="D3665" t="inlineStr">
        <is>
          <t>UPPSALA LÄN</t>
        </is>
      </c>
      <c r="E3665" t="inlineStr">
        <is>
          <t>TIERP</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54512-2024</t>
        </is>
      </c>
      <c r="B3666" s="1" t="n">
        <v>45617.59006944444</v>
      </c>
      <c r="C3666" s="1" t="n">
        <v>46098</v>
      </c>
      <c r="D3666" t="inlineStr">
        <is>
          <t>UPPSALA LÄN</t>
        </is>
      </c>
      <c r="E3666" t="inlineStr">
        <is>
          <t>UPPSALA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44525-2022</t>
        </is>
      </c>
      <c r="B3667" s="1" t="n">
        <v>44840.43806712963</v>
      </c>
      <c r="C3667" s="1" t="n">
        <v>46098</v>
      </c>
      <c r="D3667" t="inlineStr">
        <is>
          <t>UPPSALA LÄN</t>
        </is>
      </c>
      <c r="E3667" t="inlineStr">
        <is>
          <t>HEBY</t>
        </is>
      </c>
      <c r="G3667" t="n">
        <v>1.8</v>
      </c>
      <c r="H3667" t="n">
        <v>0</v>
      </c>
      <c r="I3667" t="n">
        <v>0</v>
      </c>
      <c r="J3667" t="n">
        <v>0</v>
      </c>
      <c r="K3667" t="n">
        <v>0</v>
      </c>
      <c r="L3667" t="n">
        <v>0</v>
      </c>
      <c r="M3667" t="n">
        <v>0</v>
      </c>
      <c r="N3667" t="n">
        <v>0</v>
      </c>
      <c r="O3667" t="n">
        <v>0</v>
      </c>
      <c r="P3667" t="n">
        <v>0</v>
      </c>
      <c r="Q3667" t="n">
        <v>0</v>
      </c>
      <c r="R3667" s="2" t="inlineStr"/>
      <c r="U3667">
        <f>HYPERLINK("https://klasma.github.io/Logging_0331/knärot/A 44525-2022 karta knärot.png", "A 44525-2022")</f>
        <v/>
      </c>
      <c r="V3667">
        <f>HYPERLINK("https://klasma.github.io/Logging_0331/klagomål/A 44525-2022 FSC-klagomål.docx", "A 44525-2022")</f>
        <v/>
      </c>
      <c r="W3667">
        <f>HYPERLINK("https://klasma.github.io/Logging_0331/klagomålsmail/A 44525-2022 FSC-klagomål mail.docx", "A 44525-2022")</f>
        <v/>
      </c>
      <c r="X3667">
        <f>HYPERLINK("https://klasma.github.io/Logging_0331/tillsyn/A 44525-2022 tillsynsbegäran.docx", "A 44525-2022")</f>
        <v/>
      </c>
      <c r="Y3667">
        <f>HYPERLINK("https://klasma.github.io/Logging_0331/tillsynsmail/A 44525-2022 tillsynsbegäran mail.docx", "A 44525-2022")</f>
        <v/>
      </c>
    </row>
    <row r="3668" ht="15" customHeight="1">
      <c r="A3668" t="inlineStr">
        <is>
          <t>A 15193-2024</t>
        </is>
      </c>
      <c r="B3668" s="1" t="n">
        <v>45400.41387731482</v>
      </c>
      <c r="C3668" s="1" t="n">
        <v>46098</v>
      </c>
      <c r="D3668" t="inlineStr">
        <is>
          <t>UPPSALA LÄN</t>
        </is>
      </c>
      <c r="E3668" t="inlineStr">
        <is>
          <t>TIERP</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8473-2023</t>
        </is>
      </c>
      <c r="B3669" s="1" t="n">
        <v>44977</v>
      </c>
      <c r="C3669" s="1" t="n">
        <v>46098</v>
      </c>
      <c r="D3669" t="inlineStr">
        <is>
          <t>UPPSALA LÄN</t>
        </is>
      </c>
      <c r="E3669" t="inlineStr">
        <is>
          <t>UPPSALA</t>
        </is>
      </c>
      <c r="F3669" t="inlineStr">
        <is>
          <t>Holmen skog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22663-2022</t>
        </is>
      </c>
      <c r="B3670" s="1" t="n">
        <v>44713</v>
      </c>
      <c r="C3670" s="1" t="n">
        <v>46098</v>
      </c>
      <c r="D3670" t="inlineStr">
        <is>
          <t>UPPSALA LÄN</t>
        </is>
      </c>
      <c r="E3670" t="inlineStr">
        <is>
          <t>TIERP</t>
        </is>
      </c>
      <c r="F3670" t="inlineStr">
        <is>
          <t>Bergvik skog väst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38226-2023</t>
        </is>
      </c>
      <c r="B3671" s="1" t="n">
        <v>45161</v>
      </c>
      <c r="C3671" s="1" t="n">
        <v>46098</v>
      </c>
      <c r="D3671" t="inlineStr">
        <is>
          <t>UPPSALA LÄN</t>
        </is>
      </c>
      <c r="E3671" t="inlineStr">
        <is>
          <t>ÄLVKARLEBY</t>
        </is>
      </c>
      <c r="F3671" t="inlineStr">
        <is>
          <t>Bergvik skog väst AB</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74215-2021</t>
        </is>
      </c>
      <c r="B3672" s="1" t="n">
        <v>44558.56614583333</v>
      </c>
      <c r="C3672" s="1" t="n">
        <v>46098</v>
      </c>
      <c r="D3672" t="inlineStr">
        <is>
          <t>UPPSALA LÄN</t>
        </is>
      </c>
      <c r="E3672" t="inlineStr">
        <is>
          <t>HEBY</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4101-2022</t>
        </is>
      </c>
      <c r="B3673" s="1" t="n">
        <v>44588</v>
      </c>
      <c r="C3673" s="1" t="n">
        <v>46098</v>
      </c>
      <c r="D3673" t="inlineStr">
        <is>
          <t>UPPSALA LÄN</t>
        </is>
      </c>
      <c r="E3673" t="inlineStr">
        <is>
          <t>ÖSTHAMMAR</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32190-2022</t>
        </is>
      </c>
      <c r="B3674" s="1" t="n">
        <v>44781.3843287037</v>
      </c>
      <c r="C3674" s="1" t="n">
        <v>46098</v>
      </c>
      <c r="D3674" t="inlineStr">
        <is>
          <t>UPPSALA LÄN</t>
        </is>
      </c>
      <c r="E3674" t="inlineStr">
        <is>
          <t>TIERP</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58913-2023</t>
        </is>
      </c>
      <c r="B3675" s="1" t="n">
        <v>45250</v>
      </c>
      <c r="C3675" s="1" t="n">
        <v>46098</v>
      </c>
      <c r="D3675" t="inlineStr">
        <is>
          <t>UPPSALA LÄN</t>
        </is>
      </c>
      <c r="E3675" t="inlineStr">
        <is>
          <t>HEBY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2833-2025</t>
        </is>
      </c>
      <c r="B3676" s="1" t="n">
        <v>45677.63206018518</v>
      </c>
      <c r="C3676" s="1" t="n">
        <v>46098</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2839-2025</t>
        </is>
      </c>
      <c r="B3677" s="1" t="n">
        <v>45677</v>
      </c>
      <c r="C3677" s="1" t="n">
        <v>46098</v>
      </c>
      <c r="D3677" t="inlineStr">
        <is>
          <t>UPPSALA LÄN</t>
        </is>
      </c>
      <c r="E3677" t="inlineStr">
        <is>
          <t>ÖSTHAMMAR</t>
        </is>
      </c>
      <c r="F3677" t="inlineStr">
        <is>
          <t>Övriga Aktiebolag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67848-2021</t>
        </is>
      </c>
      <c r="B3678" s="1" t="n">
        <v>44525</v>
      </c>
      <c r="C3678" s="1" t="n">
        <v>46098</v>
      </c>
      <c r="D3678" t="inlineStr">
        <is>
          <t>UPPSALA LÄN</t>
        </is>
      </c>
      <c r="E3678" t="inlineStr">
        <is>
          <t>ÖSTHAMMAR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8768-2023</t>
        </is>
      </c>
      <c r="B3679" s="1" t="n">
        <v>44978.5362037037</v>
      </c>
      <c r="C3679" s="1" t="n">
        <v>46098</v>
      </c>
      <c r="D3679" t="inlineStr">
        <is>
          <t>UPPSALA LÄN</t>
        </is>
      </c>
      <c r="E3679" t="inlineStr">
        <is>
          <t>TIERP</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12786-2024</t>
        </is>
      </c>
      <c r="B3680" s="1" t="n">
        <v>45384.60682870371</v>
      </c>
      <c r="C3680" s="1" t="n">
        <v>46098</v>
      </c>
      <c r="D3680" t="inlineStr">
        <is>
          <t>UPPSALA LÄN</t>
        </is>
      </c>
      <c r="E3680" t="inlineStr">
        <is>
          <t>TIERP</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38600-2023</t>
        </is>
      </c>
      <c r="B3681" s="1" t="n">
        <v>45162</v>
      </c>
      <c r="C3681" s="1" t="n">
        <v>46098</v>
      </c>
      <c r="D3681" t="inlineStr">
        <is>
          <t>UPPSALA LÄN</t>
        </is>
      </c>
      <c r="E3681" t="inlineStr">
        <is>
          <t>ÖSTHAMMAR</t>
        </is>
      </c>
      <c r="F3681" t="inlineStr">
        <is>
          <t>Bergvik skog väst AB</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11739-2023</t>
        </is>
      </c>
      <c r="B3682" s="1" t="n">
        <v>44993</v>
      </c>
      <c r="C3682" s="1" t="n">
        <v>46098</v>
      </c>
      <c r="D3682" t="inlineStr">
        <is>
          <t>UPPSALA LÄN</t>
        </is>
      </c>
      <c r="E3682" t="inlineStr">
        <is>
          <t>UPPSALA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5170-2022</t>
        </is>
      </c>
      <c r="B3683" s="1" t="n">
        <v>44594.41829861111</v>
      </c>
      <c r="C3683" s="1" t="n">
        <v>46098</v>
      </c>
      <c r="D3683" t="inlineStr">
        <is>
          <t>UPPSALA LÄN</t>
        </is>
      </c>
      <c r="E3683" t="inlineStr">
        <is>
          <t>TIERP</t>
        </is>
      </c>
      <c r="F3683" t="inlineStr">
        <is>
          <t>Bergvik skog öst AB</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19303-2024</t>
        </is>
      </c>
      <c r="B3684" s="1" t="n">
        <v>45428.70386574074</v>
      </c>
      <c r="C3684" s="1" t="n">
        <v>46098</v>
      </c>
      <c r="D3684" t="inlineStr">
        <is>
          <t>UPPSALA LÄN</t>
        </is>
      </c>
      <c r="E3684" t="inlineStr">
        <is>
          <t>ÄLVKARLEBY</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50006-2023</t>
        </is>
      </c>
      <c r="B3685" s="1" t="n">
        <v>45215</v>
      </c>
      <c r="C3685" s="1" t="n">
        <v>46098</v>
      </c>
      <c r="D3685" t="inlineStr">
        <is>
          <t>UPPSALA LÄN</t>
        </is>
      </c>
      <c r="E3685" t="inlineStr">
        <is>
          <t>ENKÖPING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64811-2021</t>
        </is>
      </c>
      <c r="B3686" s="1" t="n">
        <v>44512</v>
      </c>
      <c r="C3686" s="1" t="n">
        <v>46098</v>
      </c>
      <c r="D3686" t="inlineStr">
        <is>
          <t>UPPSALA LÄN</t>
        </is>
      </c>
      <c r="E3686" t="inlineStr">
        <is>
          <t>ÖSTHAMMAR</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56623-2023</t>
        </is>
      </c>
      <c r="B3687" s="1" t="n">
        <v>45243.68689814815</v>
      </c>
      <c r="C3687" s="1" t="n">
        <v>46098</v>
      </c>
      <c r="D3687" t="inlineStr">
        <is>
          <t>UPPSALA LÄN</t>
        </is>
      </c>
      <c r="E3687" t="inlineStr">
        <is>
          <t>HEBY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5963-2023</t>
        </is>
      </c>
      <c r="B3688" s="1" t="n">
        <v>44964</v>
      </c>
      <c r="C3688" s="1" t="n">
        <v>46098</v>
      </c>
      <c r="D3688" t="inlineStr">
        <is>
          <t>UPPSALA LÄN</t>
        </is>
      </c>
      <c r="E3688" t="inlineStr">
        <is>
          <t>TIERP</t>
        </is>
      </c>
      <c r="F3688" t="inlineStr">
        <is>
          <t>Bergvik skog öst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21935-2023</t>
        </is>
      </c>
      <c r="B3689" s="1" t="n">
        <v>45068.58563657408</v>
      </c>
      <c r="C3689" s="1" t="n">
        <v>46098</v>
      </c>
      <c r="D3689" t="inlineStr">
        <is>
          <t>UPPSALA LÄN</t>
        </is>
      </c>
      <c r="E3689" t="inlineStr">
        <is>
          <t>UPPSALA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367-2023</t>
        </is>
      </c>
      <c r="B3690" s="1" t="n">
        <v>44929</v>
      </c>
      <c r="C3690" s="1" t="n">
        <v>46098</v>
      </c>
      <c r="D3690" t="inlineStr">
        <is>
          <t>UPPSALA LÄN</t>
        </is>
      </c>
      <c r="E3690" t="inlineStr">
        <is>
          <t>UPPSALA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34146-2022</t>
        </is>
      </c>
      <c r="B3691" s="1" t="n">
        <v>44791</v>
      </c>
      <c r="C3691" s="1" t="n">
        <v>46098</v>
      </c>
      <c r="D3691" t="inlineStr">
        <is>
          <t>UPPSALA LÄN</t>
        </is>
      </c>
      <c r="E3691" t="inlineStr">
        <is>
          <t>HEBY</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56382-2022</t>
        </is>
      </c>
      <c r="B3692" s="1" t="n">
        <v>44890.75795138889</v>
      </c>
      <c r="C3692" s="1" t="n">
        <v>46098</v>
      </c>
      <c r="D3692" t="inlineStr">
        <is>
          <t>UPPSALA LÄN</t>
        </is>
      </c>
      <c r="E3692" t="inlineStr">
        <is>
          <t>ÖSTHAMMAR</t>
        </is>
      </c>
      <c r="F3692" t="inlineStr">
        <is>
          <t>Allmännings- och besparingsskogar</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34202-2022</t>
        </is>
      </c>
      <c r="B3693" s="1" t="n">
        <v>44791.64837962963</v>
      </c>
      <c r="C3693" s="1" t="n">
        <v>46098</v>
      </c>
      <c r="D3693" t="inlineStr">
        <is>
          <t>UPPSALA LÄN</t>
        </is>
      </c>
      <c r="E3693" t="inlineStr">
        <is>
          <t>HÅBO</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66293-2021</t>
        </is>
      </c>
      <c r="B3694" s="1" t="n">
        <v>44518</v>
      </c>
      <c r="C3694" s="1" t="n">
        <v>46098</v>
      </c>
      <c r="D3694" t="inlineStr">
        <is>
          <t>UPPSALA LÄN</t>
        </is>
      </c>
      <c r="E3694" t="inlineStr">
        <is>
          <t>KNIVSTA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56526-2022</t>
        </is>
      </c>
      <c r="B3695" s="1" t="n">
        <v>44893</v>
      </c>
      <c r="C3695" s="1" t="n">
        <v>46098</v>
      </c>
      <c r="D3695" t="inlineStr">
        <is>
          <t>UPPSALA LÄN</t>
        </is>
      </c>
      <c r="E3695" t="inlineStr">
        <is>
          <t>ENKÖPING</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57043-2022</t>
        </is>
      </c>
      <c r="B3696" s="1" t="n">
        <v>44895.36748842592</v>
      </c>
      <c r="C3696" s="1" t="n">
        <v>46098</v>
      </c>
      <c r="D3696" t="inlineStr">
        <is>
          <t>UPPSALA LÄN</t>
        </is>
      </c>
      <c r="E3696" t="inlineStr">
        <is>
          <t>ÖSTHAMMAR</t>
        </is>
      </c>
      <c r="F3696" t="inlineStr">
        <is>
          <t>Bergvik skog öst AB</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2860-2023</t>
        </is>
      </c>
      <c r="B3697" s="1" t="n">
        <v>44945.40924768519</v>
      </c>
      <c r="C3697" s="1" t="n">
        <v>46098</v>
      </c>
      <c r="D3697" t="inlineStr">
        <is>
          <t>UPPSALA LÄN</t>
        </is>
      </c>
      <c r="E3697" t="inlineStr">
        <is>
          <t>HEBY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28346-2022</t>
        </is>
      </c>
      <c r="B3698" s="1" t="n">
        <v>44747</v>
      </c>
      <c r="C3698" s="1" t="n">
        <v>46098</v>
      </c>
      <c r="D3698" t="inlineStr">
        <is>
          <t>UPPSALA LÄN</t>
        </is>
      </c>
      <c r="E3698" t="inlineStr">
        <is>
          <t>TIERP</t>
        </is>
      </c>
      <c r="F3698" t="inlineStr">
        <is>
          <t>Bergvik skog väst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39858-2024</t>
        </is>
      </c>
      <c r="B3699" s="1" t="n">
        <v>45553</v>
      </c>
      <c r="C3699" s="1" t="n">
        <v>46098</v>
      </c>
      <c r="D3699" t="inlineStr">
        <is>
          <t>UPPSALA LÄN</t>
        </is>
      </c>
      <c r="E3699" t="inlineStr">
        <is>
          <t>ENKÖPING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59880-2022</t>
        </is>
      </c>
      <c r="B3700" s="1" t="n">
        <v>44908.69575231482</v>
      </c>
      <c r="C3700" s="1" t="n">
        <v>46098</v>
      </c>
      <c r="D3700" t="inlineStr">
        <is>
          <t>UPPSALA LÄN</t>
        </is>
      </c>
      <c r="E3700" t="inlineStr">
        <is>
          <t>ÖSTHAMMAR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60289-2022</t>
        </is>
      </c>
      <c r="B3701" s="1" t="n">
        <v>44910.53026620371</v>
      </c>
      <c r="C3701" s="1" t="n">
        <v>46098</v>
      </c>
      <c r="D3701" t="inlineStr">
        <is>
          <t>UPPSALA LÄN</t>
        </is>
      </c>
      <c r="E3701" t="inlineStr">
        <is>
          <t>ENKÖPING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43605-2023</t>
        </is>
      </c>
      <c r="B3702" s="1" t="n">
        <v>45181</v>
      </c>
      <c r="C3702" s="1" t="n">
        <v>46098</v>
      </c>
      <c r="D3702" t="inlineStr">
        <is>
          <t>UPPSALA LÄN</t>
        </is>
      </c>
      <c r="E3702" t="inlineStr">
        <is>
          <t>TIERP</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46069-2022</t>
        </is>
      </c>
      <c r="B3703" s="1" t="n">
        <v>44847</v>
      </c>
      <c r="C3703" s="1" t="n">
        <v>46098</v>
      </c>
      <c r="D3703" t="inlineStr">
        <is>
          <t>UPPSALA LÄN</t>
        </is>
      </c>
      <c r="E3703" t="inlineStr">
        <is>
          <t>UPPSALA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13110-2023</t>
        </is>
      </c>
      <c r="B3704" s="1" t="n">
        <v>45001</v>
      </c>
      <c r="C3704" s="1" t="n">
        <v>46098</v>
      </c>
      <c r="D3704" t="inlineStr">
        <is>
          <t>UPPSALA LÄN</t>
        </is>
      </c>
      <c r="E3704" t="inlineStr">
        <is>
          <t>ENKÖPING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58384-2022</t>
        </is>
      </c>
      <c r="B3705" s="1" t="n">
        <v>44901</v>
      </c>
      <c r="C3705" s="1" t="n">
        <v>46098</v>
      </c>
      <c r="D3705" t="inlineStr">
        <is>
          <t>UPPSALA LÄN</t>
        </is>
      </c>
      <c r="E3705" t="inlineStr">
        <is>
          <t>ENKÖPING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59534-2022</t>
        </is>
      </c>
      <c r="B3706" s="1" t="n">
        <v>44907.56795138889</v>
      </c>
      <c r="C3706" s="1" t="n">
        <v>46098</v>
      </c>
      <c r="D3706" t="inlineStr">
        <is>
          <t>UPPSALA LÄN</t>
        </is>
      </c>
      <c r="E3706" t="inlineStr">
        <is>
          <t>TIERP</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59602-2022</t>
        </is>
      </c>
      <c r="B3707" s="1" t="n">
        <v>44907.72241898148</v>
      </c>
      <c r="C3707" s="1" t="n">
        <v>46098</v>
      </c>
      <c r="D3707" t="inlineStr">
        <is>
          <t>UPPSALA LÄN</t>
        </is>
      </c>
      <c r="E3707" t="inlineStr">
        <is>
          <t>ENKÖPING</t>
        </is>
      </c>
      <c r="G3707" t="n">
        <v>14.2</v>
      </c>
      <c r="H3707" t="n">
        <v>0</v>
      </c>
      <c r="I3707" t="n">
        <v>0</v>
      </c>
      <c r="J3707" t="n">
        <v>0</v>
      </c>
      <c r="K3707" t="n">
        <v>0</v>
      </c>
      <c r="L3707" t="n">
        <v>0</v>
      </c>
      <c r="M3707" t="n">
        <v>0</v>
      </c>
      <c r="N3707" t="n">
        <v>0</v>
      </c>
      <c r="O3707" t="n">
        <v>0</v>
      </c>
      <c r="P3707" t="n">
        <v>0</v>
      </c>
      <c r="Q3707" t="n">
        <v>0</v>
      </c>
      <c r="R3707" s="2" t="inlineStr"/>
    </row>
    <row r="3708" ht="15" customHeight="1">
      <c r="A3708" t="inlineStr">
        <is>
          <t>A 3950-2025</t>
        </is>
      </c>
      <c r="B3708" s="1" t="n">
        <v>45684</v>
      </c>
      <c r="C3708" s="1" t="n">
        <v>46098</v>
      </c>
      <c r="D3708" t="inlineStr">
        <is>
          <t>UPPSALA LÄN</t>
        </is>
      </c>
      <c r="E3708" t="inlineStr">
        <is>
          <t>ÄLVKARLEBY</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50463-2024</t>
        </is>
      </c>
      <c r="B3709" s="1" t="n">
        <v>45601</v>
      </c>
      <c r="C3709" s="1" t="n">
        <v>46098</v>
      </c>
      <c r="D3709" t="inlineStr">
        <is>
          <t>UPPSALA LÄN</t>
        </is>
      </c>
      <c r="E3709" t="inlineStr">
        <is>
          <t>UPPSALA</t>
        </is>
      </c>
      <c r="F3709" t="inlineStr">
        <is>
          <t>Allmännings- och besparingsskogar</t>
        </is>
      </c>
      <c r="G3709" t="n">
        <v>12.6</v>
      </c>
      <c r="H3709" t="n">
        <v>0</v>
      </c>
      <c r="I3709" t="n">
        <v>0</v>
      </c>
      <c r="J3709" t="n">
        <v>0</v>
      </c>
      <c r="K3709" t="n">
        <v>0</v>
      </c>
      <c r="L3709" t="n">
        <v>0</v>
      </c>
      <c r="M3709" t="n">
        <v>0</v>
      </c>
      <c r="N3709" t="n">
        <v>0</v>
      </c>
      <c r="O3709" t="n">
        <v>0</v>
      </c>
      <c r="P3709" t="n">
        <v>0</v>
      </c>
      <c r="Q3709" t="n">
        <v>0</v>
      </c>
      <c r="R3709" s="2" t="inlineStr"/>
    </row>
    <row r="3710" ht="15" customHeight="1">
      <c r="A3710" t="inlineStr">
        <is>
          <t>A 7944-2023</t>
        </is>
      </c>
      <c r="B3710" s="1" t="n">
        <v>44973.66458333333</v>
      </c>
      <c r="C3710" s="1" t="n">
        <v>46098</v>
      </c>
      <c r="D3710" t="inlineStr">
        <is>
          <t>UPPSALA LÄN</t>
        </is>
      </c>
      <c r="E3710" t="inlineStr">
        <is>
          <t>ÖSTHAMMAR</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52659-2021</t>
        </is>
      </c>
      <c r="B3711" s="1" t="n">
        <v>44466</v>
      </c>
      <c r="C3711" s="1" t="n">
        <v>46098</v>
      </c>
      <c r="D3711" t="inlineStr">
        <is>
          <t>UPPSALA LÄN</t>
        </is>
      </c>
      <c r="E3711" t="inlineStr">
        <is>
          <t>ÖSTHAMMAR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72224-2021</t>
        </is>
      </c>
      <c r="B3712" s="1" t="n">
        <v>44544</v>
      </c>
      <c r="C3712" s="1" t="n">
        <v>46098</v>
      </c>
      <c r="D3712" t="inlineStr">
        <is>
          <t>UPPSALA LÄN</t>
        </is>
      </c>
      <c r="E3712" t="inlineStr">
        <is>
          <t>UPPSALA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56173-2024</t>
        </is>
      </c>
      <c r="B3713" s="1" t="n">
        <v>45624.55622685186</v>
      </c>
      <c r="C3713" s="1" t="n">
        <v>46098</v>
      </c>
      <c r="D3713" t="inlineStr">
        <is>
          <t>UPPSALA LÄN</t>
        </is>
      </c>
      <c r="E3713" t="inlineStr">
        <is>
          <t>TIERP</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7216-2025</t>
        </is>
      </c>
      <c r="B3714" s="1" t="n">
        <v>45702.47630787037</v>
      </c>
      <c r="C3714" s="1" t="n">
        <v>46098</v>
      </c>
      <c r="D3714" t="inlineStr">
        <is>
          <t>UPPSALA LÄN</t>
        </is>
      </c>
      <c r="E3714" t="inlineStr">
        <is>
          <t>ÖSTHAMMAR</t>
        </is>
      </c>
      <c r="F3714" t="inlineStr">
        <is>
          <t>Övriga Aktiebolag</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37626-2023</t>
        </is>
      </c>
      <c r="B3715" s="1" t="n">
        <v>45159.45748842593</v>
      </c>
      <c r="C3715" s="1" t="n">
        <v>46098</v>
      </c>
      <c r="D3715" t="inlineStr">
        <is>
          <t>UPPSALA LÄN</t>
        </is>
      </c>
      <c r="E3715" t="inlineStr">
        <is>
          <t>UPPSALA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31965-2021</t>
        </is>
      </c>
      <c r="B3716" s="1" t="n">
        <v>44370.56901620371</v>
      </c>
      <c r="C3716" s="1" t="n">
        <v>46098</v>
      </c>
      <c r="D3716" t="inlineStr">
        <is>
          <t>UPPSALA LÄN</t>
        </is>
      </c>
      <c r="E3716" t="inlineStr">
        <is>
          <t>ENKÖPING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12657-2025</t>
        </is>
      </c>
      <c r="B3717" s="1" t="n">
        <v>45733.42229166667</v>
      </c>
      <c r="C3717" s="1" t="n">
        <v>46098</v>
      </c>
      <c r="D3717" t="inlineStr">
        <is>
          <t>UPPSALA LÄN</t>
        </is>
      </c>
      <c r="E3717" t="inlineStr">
        <is>
          <t>TIERP</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12662-2025</t>
        </is>
      </c>
      <c r="B3718" s="1" t="n">
        <v>45733.42510416666</v>
      </c>
      <c r="C3718" s="1" t="n">
        <v>46098</v>
      </c>
      <c r="D3718" t="inlineStr">
        <is>
          <t>UPPSALA LÄN</t>
        </is>
      </c>
      <c r="E3718" t="inlineStr">
        <is>
          <t>TIERP</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56067-2024</t>
        </is>
      </c>
      <c r="B3719" s="1" t="n">
        <v>45624</v>
      </c>
      <c r="C3719" s="1" t="n">
        <v>46098</v>
      </c>
      <c r="D3719" t="inlineStr">
        <is>
          <t>UPPSALA LÄN</t>
        </is>
      </c>
      <c r="E3719" t="inlineStr">
        <is>
          <t>UPPSALA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56073-2024</t>
        </is>
      </c>
      <c r="B3720" s="1" t="n">
        <v>45624</v>
      </c>
      <c r="C3720" s="1" t="n">
        <v>46098</v>
      </c>
      <c r="D3720" t="inlineStr">
        <is>
          <t>UPPSALA LÄN</t>
        </is>
      </c>
      <c r="E3720" t="inlineStr">
        <is>
          <t>HEBY</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67984-2021</t>
        </is>
      </c>
      <c r="B3721" s="1" t="n">
        <v>44525.70237268518</v>
      </c>
      <c r="C3721" s="1" t="n">
        <v>46098</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45916-2022</t>
        </is>
      </c>
      <c r="B3722" s="1" t="n">
        <v>44846</v>
      </c>
      <c r="C3722" s="1" t="n">
        <v>46098</v>
      </c>
      <c r="D3722" t="inlineStr">
        <is>
          <t>UPPSALA LÄN</t>
        </is>
      </c>
      <c r="E3722" t="inlineStr">
        <is>
          <t>KNIVSTA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73965-2021</t>
        </is>
      </c>
      <c r="B3723" s="1" t="n">
        <v>44553.80824074074</v>
      </c>
      <c r="C3723" s="1" t="n">
        <v>46098</v>
      </c>
      <c r="D3723" t="inlineStr">
        <is>
          <t>UPPSALA LÄN</t>
        </is>
      </c>
      <c r="E3723" t="inlineStr">
        <is>
          <t>ÖSTHAMMAR</t>
        </is>
      </c>
      <c r="F3723" t="inlineStr">
        <is>
          <t>Bergvik skog öst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3418-2025</t>
        </is>
      </c>
      <c r="B3724" s="1" t="n">
        <v>45680</v>
      </c>
      <c r="C3724" s="1" t="n">
        <v>46098</v>
      </c>
      <c r="D3724" t="inlineStr">
        <is>
          <t>UPPSALA LÄN</t>
        </is>
      </c>
      <c r="E3724" t="inlineStr">
        <is>
          <t>ÖSTHAMMAR</t>
        </is>
      </c>
      <c r="F3724" t="inlineStr">
        <is>
          <t>Bergvik skog väst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3420-2025</t>
        </is>
      </c>
      <c r="B3725" s="1" t="n">
        <v>45680</v>
      </c>
      <c r="C3725" s="1" t="n">
        <v>46098</v>
      </c>
      <c r="D3725" t="inlineStr">
        <is>
          <t>UPPSALA LÄN</t>
        </is>
      </c>
      <c r="E3725" t="inlineStr">
        <is>
          <t>ÖSTHAMMAR</t>
        </is>
      </c>
      <c r="F3725" t="inlineStr">
        <is>
          <t>Bergvik skog väst AB</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5303-2025</t>
        </is>
      </c>
      <c r="B3726" s="1" t="n">
        <v>45692</v>
      </c>
      <c r="C3726" s="1" t="n">
        <v>46098</v>
      </c>
      <c r="D3726" t="inlineStr">
        <is>
          <t>UPPSALA LÄN</t>
        </is>
      </c>
      <c r="E3726" t="inlineStr">
        <is>
          <t>ÖSTHAMMAR</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33619-2022</t>
        </is>
      </c>
      <c r="B3727" s="1" t="n">
        <v>44789</v>
      </c>
      <c r="C3727" s="1" t="n">
        <v>46098</v>
      </c>
      <c r="D3727" t="inlineStr">
        <is>
          <t>UPPSALA LÄN</t>
        </is>
      </c>
      <c r="E3727" t="inlineStr">
        <is>
          <t>ENKÖPING</t>
        </is>
      </c>
      <c r="F3727" t="inlineStr">
        <is>
          <t>Allmännings- och besparingsskogar</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52661-2022</t>
        </is>
      </c>
      <c r="B3728" s="1" t="n">
        <v>44874</v>
      </c>
      <c r="C3728" s="1" t="n">
        <v>46098</v>
      </c>
      <c r="D3728" t="inlineStr">
        <is>
          <t>UPPSALA LÄN</t>
        </is>
      </c>
      <c r="E3728" t="inlineStr">
        <is>
          <t>ÖSTHAMMAR</t>
        </is>
      </c>
      <c r="F3728" t="inlineStr">
        <is>
          <t>Bergvik skog öst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33191-2023</t>
        </is>
      </c>
      <c r="B3729" s="1" t="n">
        <v>45127</v>
      </c>
      <c r="C3729" s="1" t="n">
        <v>46098</v>
      </c>
      <c r="D3729" t="inlineStr">
        <is>
          <t>UPPSALA LÄN</t>
        </is>
      </c>
      <c r="E3729" t="inlineStr">
        <is>
          <t>UPPSALA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11308-2025</t>
        </is>
      </c>
      <c r="B3730" s="1" t="n">
        <v>45726.44707175926</v>
      </c>
      <c r="C3730" s="1" t="n">
        <v>46098</v>
      </c>
      <c r="D3730" t="inlineStr">
        <is>
          <t>UPPSALA LÄN</t>
        </is>
      </c>
      <c r="E3730" t="inlineStr">
        <is>
          <t>TIERP</t>
        </is>
      </c>
      <c r="F3730" t="inlineStr">
        <is>
          <t>Bergvik skog öst AB</t>
        </is>
      </c>
      <c r="G3730" t="n">
        <v>13.5</v>
      </c>
      <c r="H3730" t="n">
        <v>0</v>
      </c>
      <c r="I3730" t="n">
        <v>0</v>
      </c>
      <c r="J3730" t="n">
        <v>0</v>
      </c>
      <c r="K3730" t="n">
        <v>0</v>
      </c>
      <c r="L3730" t="n">
        <v>0</v>
      </c>
      <c r="M3730" t="n">
        <v>0</v>
      </c>
      <c r="N3730" t="n">
        <v>0</v>
      </c>
      <c r="O3730" t="n">
        <v>0</v>
      </c>
      <c r="P3730" t="n">
        <v>0</v>
      </c>
      <c r="Q3730" t="n">
        <v>0</v>
      </c>
      <c r="R3730" s="2" t="inlineStr"/>
    </row>
    <row r="3731" ht="15" customHeight="1">
      <c r="A3731" t="inlineStr">
        <is>
          <t>A 61230-2024</t>
        </is>
      </c>
      <c r="B3731" s="1" t="n">
        <v>45645</v>
      </c>
      <c r="C3731" s="1" t="n">
        <v>46098</v>
      </c>
      <c r="D3731" t="inlineStr">
        <is>
          <t>UPPSALA LÄN</t>
        </is>
      </c>
      <c r="E3731" t="inlineStr">
        <is>
          <t>TIERP</t>
        </is>
      </c>
      <c r="G3731" t="n">
        <v>1.8</v>
      </c>
      <c r="H3731" t="n">
        <v>0</v>
      </c>
      <c r="I3731" t="n">
        <v>0</v>
      </c>
      <c r="J3731" t="n">
        <v>0</v>
      </c>
      <c r="K3731" t="n">
        <v>0</v>
      </c>
      <c r="L3731" t="n">
        <v>0</v>
      </c>
      <c r="M3731" t="n">
        <v>0</v>
      </c>
      <c r="N3731" t="n">
        <v>0</v>
      </c>
      <c r="O3731" t="n">
        <v>0</v>
      </c>
      <c r="P3731" t="n">
        <v>0</v>
      </c>
      <c r="Q3731" t="n">
        <v>0</v>
      </c>
      <c r="R3731" s="2" t="inlineStr"/>
      <c r="U3731">
        <f>HYPERLINK("https://klasma.github.io/Logging_0360/knärot/A 61230-2024 karta knärot.png", "A 61230-2024")</f>
        <v/>
      </c>
      <c r="V3731">
        <f>HYPERLINK("https://klasma.github.io/Logging_0360/klagomål/A 61230-2024 FSC-klagomål.docx", "A 61230-2024")</f>
        <v/>
      </c>
      <c r="W3731">
        <f>HYPERLINK("https://klasma.github.io/Logging_0360/klagomålsmail/A 61230-2024 FSC-klagomål mail.docx", "A 61230-2024")</f>
        <v/>
      </c>
      <c r="X3731">
        <f>HYPERLINK("https://klasma.github.io/Logging_0360/tillsyn/A 61230-2024 tillsynsbegäran.docx", "A 61230-2024")</f>
        <v/>
      </c>
      <c r="Y3731">
        <f>HYPERLINK("https://klasma.github.io/Logging_0360/tillsynsmail/A 61230-2024 tillsynsbegäran mail.docx", "A 61230-2024")</f>
        <v/>
      </c>
    </row>
    <row r="3732" ht="15" customHeight="1">
      <c r="A3732" t="inlineStr">
        <is>
          <t>A 31560-2023</t>
        </is>
      </c>
      <c r="B3732" s="1" t="n">
        <v>45117</v>
      </c>
      <c r="C3732" s="1" t="n">
        <v>46098</v>
      </c>
      <c r="D3732" t="inlineStr">
        <is>
          <t>UPPSALA LÄN</t>
        </is>
      </c>
      <c r="E3732" t="inlineStr">
        <is>
          <t>HEBY</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50473-2023</t>
        </is>
      </c>
      <c r="B3733" s="1" t="n">
        <v>45216</v>
      </c>
      <c r="C3733" s="1" t="n">
        <v>46098</v>
      </c>
      <c r="D3733" t="inlineStr">
        <is>
          <t>UPPSALA LÄN</t>
        </is>
      </c>
      <c r="E3733" t="inlineStr">
        <is>
          <t>UPPSALA</t>
        </is>
      </c>
      <c r="F3733" t="inlineStr">
        <is>
          <t>Allmännings- och besparingsskogar</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8051-2023</t>
        </is>
      </c>
      <c r="B3734" s="1" t="n">
        <v>44974</v>
      </c>
      <c r="C3734" s="1" t="n">
        <v>46098</v>
      </c>
      <c r="D3734" t="inlineStr">
        <is>
          <t>UPPSALA LÄN</t>
        </is>
      </c>
      <c r="E3734" t="inlineStr">
        <is>
          <t>HEBY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60056-2022</t>
        </is>
      </c>
      <c r="B3735" s="1" t="n">
        <v>44909</v>
      </c>
      <c r="C3735" s="1" t="n">
        <v>46098</v>
      </c>
      <c r="D3735" t="inlineStr">
        <is>
          <t>UPPSALA LÄN</t>
        </is>
      </c>
      <c r="E3735" t="inlineStr">
        <is>
          <t>UPPSALA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10829-2024</t>
        </is>
      </c>
      <c r="B3736" s="1" t="n">
        <v>45369</v>
      </c>
      <c r="C3736" s="1" t="n">
        <v>46098</v>
      </c>
      <c r="D3736" t="inlineStr">
        <is>
          <t>UPPSALA LÄN</t>
        </is>
      </c>
      <c r="E3736" t="inlineStr">
        <is>
          <t>ENKÖPING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30891-2023</t>
        </is>
      </c>
      <c r="B3737" s="1" t="n">
        <v>45113</v>
      </c>
      <c r="C3737" s="1" t="n">
        <v>46098</v>
      </c>
      <c r="D3737" t="inlineStr">
        <is>
          <t>UPPSALA LÄN</t>
        </is>
      </c>
      <c r="E3737" t="inlineStr">
        <is>
          <t>HEBY</t>
        </is>
      </c>
      <c r="F3737" t="inlineStr">
        <is>
          <t>Övriga Aktiebolag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33705-2023</t>
        </is>
      </c>
      <c r="B3738" s="1" t="n">
        <v>45132.79101851852</v>
      </c>
      <c r="C3738" s="1" t="n">
        <v>46098</v>
      </c>
      <c r="D3738" t="inlineStr">
        <is>
          <t>UPPSALA LÄN</t>
        </is>
      </c>
      <c r="E3738" t="inlineStr">
        <is>
          <t>HEBY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33706-2023</t>
        </is>
      </c>
      <c r="B3739" s="1" t="n">
        <v>45132.80835648148</v>
      </c>
      <c r="C3739" s="1" t="n">
        <v>46098</v>
      </c>
      <c r="D3739" t="inlineStr">
        <is>
          <t>UPPSALA LÄN</t>
        </is>
      </c>
      <c r="E3739" t="inlineStr">
        <is>
          <t>HEBY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33707-2023</t>
        </is>
      </c>
      <c r="B3740" s="1" t="n">
        <v>45132.82081018519</v>
      </c>
      <c r="C3740" s="1" t="n">
        <v>46098</v>
      </c>
      <c r="D3740" t="inlineStr">
        <is>
          <t>UPPSALA LÄN</t>
        </is>
      </c>
      <c r="E3740" t="inlineStr">
        <is>
          <t>HEBY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65028-2021</t>
        </is>
      </c>
      <c r="B3741" s="1" t="n">
        <v>44515</v>
      </c>
      <c r="C3741" s="1" t="n">
        <v>46098</v>
      </c>
      <c r="D3741" t="inlineStr">
        <is>
          <t>UPPSALA LÄN</t>
        </is>
      </c>
      <c r="E3741" t="inlineStr">
        <is>
          <t>ÖSTHAMMAR</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19862-2025</t>
        </is>
      </c>
      <c r="B3742" s="1" t="n">
        <v>45771.53560185185</v>
      </c>
      <c r="C3742" s="1" t="n">
        <v>46098</v>
      </c>
      <c r="D3742" t="inlineStr">
        <is>
          <t>UPPSALA LÄN</t>
        </is>
      </c>
      <c r="E3742" t="inlineStr">
        <is>
          <t>ÄLVKARLEBY</t>
        </is>
      </c>
      <c r="F3742" t="inlineStr">
        <is>
          <t>Kyrkan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60154-2022</t>
        </is>
      </c>
      <c r="B3743" s="1" t="n">
        <v>44909</v>
      </c>
      <c r="C3743" s="1" t="n">
        <v>46098</v>
      </c>
      <c r="D3743" t="inlineStr">
        <is>
          <t>UPPSALA LÄN</t>
        </is>
      </c>
      <c r="E3743" t="inlineStr">
        <is>
          <t>TIERP</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10550-2024</t>
        </is>
      </c>
      <c r="B3744" s="1" t="n">
        <v>45366.5775462963</v>
      </c>
      <c r="C3744" s="1" t="n">
        <v>46098</v>
      </c>
      <c r="D3744" t="inlineStr">
        <is>
          <t>UPPSALA LÄN</t>
        </is>
      </c>
      <c r="E3744" t="inlineStr">
        <is>
          <t>TIERP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40547-2023</t>
        </is>
      </c>
      <c r="B3745" s="1" t="n">
        <v>45170.45050925926</v>
      </c>
      <c r="C3745" s="1" t="n">
        <v>46098</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8874-2025</t>
        </is>
      </c>
      <c r="B3746" s="1" t="n">
        <v>45713</v>
      </c>
      <c r="C3746" s="1" t="n">
        <v>46098</v>
      </c>
      <c r="D3746" t="inlineStr">
        <is>
          <t>UPPSALA LÄN</t>
        </is>
      </c>
      <c r="E3746" t="inlineStr">
        <is>
          <t>ÖSTHAMMAR</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6075-2023</t>
        </is>
      </c>
      <c r="B3747" s="1" t="n">
        <v>44964.52627314815</v>
      </c>
      <c r="C3747" s="1" t="n">
        <v>46098</v>
      </c>
      <c r="D3747" t="inlineStr">
        <is>
          <t>UPPSALA LÄN</t>
        </is>
      </c>
      <c r="E3747" t="inlineStr">
        <is>
          <t>TIERP</t>
        </is>
      </c>
      <c r="F3747" t="inlineStr">
        <is>
          <t>Bergvik skog öst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53365-2024</t>
        </is>
      </c>
      <c r="B3748" s="1" t="n">
        <v>45614</v>
      </c>
      <c r="C3748" s="1" t="n">
        <v>46098</v>
      </c>
      <c r="D3748" t="inlineStr">
        <is>
          <t>UPPSALA LÄN</t>
        </is>
      </c>
      <c r="E3748" t="inlineStr">
        <is>
          <t>UPPSALA</t>
        </is>
      </c>
      <c r="F3748" t="inlineStr">
        <is>
          <t>Allmännings- och besparingsskogar</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35142-2023</t>
        </is>
      </c>
      <c r="B3749" s="1" t="n">
        <v>45145</v>
      </c>
      <c r="C3749" s="1" t="n">
        <v>46098</v>
      </c>
      <c r="D3749" t="inlineStr">
        <is>
          <t>UPPSALA LÄN</t>
        </is>
      </c>
      <c r="E3749" t="inlineStr">
        <is>
          <t>UPPSALA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67982-2021</t>
        </is>
      </c>
      <c r="B3750" s="1" t="n">
        <v>44525</v>
      </c>
      <c r="C3750" s="1" t="n">
        <v>46098</v>
      </c>
      <c r="D3750" t="inlineStr">
        <is>
          <t>UPPSALA LÄN</t>
        </is>
      </c>
      <c r="E3750" t="inlineStr">
        <is>
          <t>ENKÖPING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19764-2023</t>
        </is>
      </c>
      <c r="B3751" s="1" t="n">
        <v>45050</v>
      </c>
      <c r="C3751" s="1" t="n">
        <v>46098</v>
      </c>
      <c r="D3751" t="inlineStr">
        <is>
          <t>UPPSALA LÄN</t>
        </is>
      </c>
      <c r="E3751" t="inlineStr">
        <is>
          <t>HEBY</t>
        </is>
      </c>
      <c r="F3751" t="inlineStr">
        <is>
          <t>Bergvik skog väst AB</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12154-2023</t>
        </is>
      </c>
      <c r="B3752" s="1" t="n">
        <v>44998</v>
      </c>
      <c r="C3752" s="1" t="n">
        <v>46098</v>
      </c>
      <c r="D3752" t="inlineStr">
        <is>
          <t>UPPSALA LÄN</t>
        </is>
      </c>
      <c r="E3752" t="inlineStr">
        <is>
          <t>HÅBO</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45372-2024</t>
        </is>
      </c>
      <c r="B3753" s="1" t="n">
        <v>45576.51116898148</v>
      </c>
      <c r="C3753" s="1" t="n">
        <v>46098</v>
      </c>
      <c r="D3753" t="inlineStr">
        <is>
          <t>UPPSALA LÄN</t>
        </is>
      </c>
      <c r="E3753" t="inlineStr">
        <is>
          <t>ÄLVKARLEBY</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14505-2023</t>
        </is>
      </c>
      <c r="B3754" s="1" t="n">
        <v>45012.7975</v>
      </c>
      <c r="C3754" s="1" t="n">
        <v>46098</v>
      </c>
      <c r="D3754" t="inlineStr">
        <is>
          <t>UPPSALA LÄN</t>
        </is>
      </c>
      <c r="E3754" t="inlineStr">
        <is>
          <t>ÖSTHAMMAR</t>
        </is>
      </c>
      <c r="F3754" t="inlineStr">
        <is>
          <t>Bergvik skog öst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52254-2024</t>
        </is>
      </c>
      <c r="B3755" s="1" t="n">
        <v>45608</v>
      </c>
      <c r="C3755" s="1" t="n">
        <v>46098</v>
      </c>
      <c r="D3755" t="inlineStr">
        <is>
          <t>UPPSALA LÄN</t>
        </is>
      </c>
      <c r="E3755" t="inlineStr">
        <is>
          <t>HEBY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57142-2023</t>
        </is>
      </c>
      <c r="B3756" s="1" t="n">
        <v>45245.39725694444</v>
      </c>
      <c r="C3756" s="1" t="n">
        <v>46098</v>
      </c>
      <c r="D3756" t="inlineStr">
        <is>
          <t>UPPSALA LÄN</t>
        </is>
      </c>
      <c r="E3756" t="inlineStr">
        <is>
          <t>TIERP</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51034-2024</t>
        </is>
      </c>
      <c r="B3757" s="1" t="n">
        <v>45603.4262037037</v>
      </c>
      <c r="C3757" s="1" t="n">
        <v>46098</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51036-2024</t>
        </is>
      </c>
      <c r="B3758" s="1" t="n">
        <v>45603.42839120371</v>
      </c>
      <c r="C3758" s="1" t="n">
        <v>46098</v>
      </c>
      <c r="D3758" t="inlineStr">
        <is>
          <t>UPPSALA LÄN</t>
        </is>
      </c>
      <c r="E3758" t="inlineStr">
        <is>
          <t>ENKÖPING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41389-2024</t>
        </is>
      </c>
      <c r="B3759" s="1" t="n">
        <v>45560</v>
      </c>
      <c r="C3759" s="1" t="n">
        <v>46098</v>
      </c>
      <c r="D3759" t="inlineStr">
        <is>
          <t>UPPSALA LÄN</t>
        </is>
      </c>
      <c r="E3759" t="inlineStr">
        <is>
          <t>TIERP</t>
        </is>
      </c>
      <c r="F3759" t="inlineStr">
        <is>
          <t>Bergvik skog öst AB</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16847-2024</t>
        </is>
      </c>
      <c r="B3760" s="1" t="n">
        <v>45411.49923611111</v>
      </c>
      <c r="C3760" s="1" t="n">
        <v>46098</v>
      </c>
      <c r="D3760" t="inlineStr">
        <is>
          <t>UPPSALA LÄN</t>
        </is>
      </c>
      <c r="E3760" t="inlineStr">
        <is>
          <t>HEBY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73531-2021</t>
        </is>
      </c>
      <c r="B3761" s="1" t="n">
        <v>44551.76711805556</v>
      </c>
      <c r="C3761" s="1" t="n">
        <v>46098</v>
      </c>
      <c r="D3761" t="inlineStr">
        <is>
          <t>UPPSALA LÄN</t>
        </is>
      </c>
      <c r="E3761" t="inlineStr">
        <is>
          <t>UPPSALA</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55876-2024</t>
        </is>
      </c>
      <c r="B3762" s="1" t="n">
        <v>45623.5546412037</v>
      </c>
      <c r="C3762" s="1" t="n">
        <v>46098</v>
      </c>
      <c r="D3762" t="inlineStr">
        <is>
          <t>UPPSALA LÄN</t>
        </is>
      </c>
      <c r="E3762" t="inlineStr">
        <is>
          <t>ENKÖPING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47341-2023</t>
        </is>
      </c>
      <c r="B3763" s="1" t="n">
        <v>45202.55721064815</v>
      </c>
      <c r="C3763" s="1" t="n">
        <v>46098</v>
      </c>
      <c r="D3763" t="inlineStr">
        <is>
          <t>UPPSALA LÄN</t>
        </is>
      </c>
      <c r="E3763" t="inlineStr">
        <is>
          <t>ÖSTHAMMAR</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2611-2023</t>
        </is>
      </c>
      <c r="B3764" s="1" t="n">
        <v>44944.34613425926</v>
      </c>
      <c r="C3764" s="1" t="n">
        <v>46098</v>
      </c>
      <c r="D3764" t="inlineStr">
        <is>
          <t>UPPSALA LÄN</t>
        </is>
      </c>
      <c r="E3764" t="inlineStr">
        <is>
          <t>HEBY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42859-2024</t>
        </is>
      </c>
      <c r="B3765" s="1" t="n">
        <v>45566.65292824074</v>
      </c>
      <c r="C3765" s="1" t="n">
        <v>46098</v>
      </c>
      <c r="D3765" t="inlineStr">
        <is>
          <t>UPPSALA LÄN</t>
        </is>
      </c>
      <c r="E3765" t="inlineStr">
        <is>
          <t>HEBY</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3732-2022</t>
        </is>
      </c>
      <c r="B3766" s="1" t="n">
        <v>44586.64851851852</v>
      </c>
      <c r="C3766" s="1" t="n">
        <v>46098</v>
      </c>
      <c r="D3766" t="inlineStr">
        <is>
          <t>UPPSALA LÄN</t>
        </is>
      </c>
      <c r="E3766" t="inlineStr">
        <is>
          <t>ÖSTHAMMAR</t>
        </is>
      </c>
      <c r="F3766" t="inlineStr">
        <is>
          <t>Bergvik skog öst AB</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34082-2023</t>
        </is>
      </c>
      <c r="B3767" s="1" t="n">
        <v>45135</v>
      </c>
      <c r="C3767" s="1" t="n">
        <v>46098</v>
      </c>
      <c r="D3767" t="inlineStr">
        <is>
          <t>UPPSALA LÄN</t>
        </is>
      </c>
      <c r="E3767" t="inlineStr">
        <is>
          <t>TIERP</t>
        </is>
      </c>
      <c r="F3767" t="inlineStr">
        <is>
          <t>Bergvik skog öst AB</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2629-2025</t>
        </is>
      </c>
      <c r="B3768" s="1" t="n">
        <v>45675.6953587963</v>
      </c>
      <c r="C3768" s="1" t="n">
        <v>46098</v>
      </c>
      <c r="D3768" t="inlineStr">
        <is>
          <t>UPPSALA LÄN</t>
        </is>
      </c>
      <c r="E3768" t="inlineStr">
        <is>
          <t>KNIVSTA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5320-2023</t>
        </is>
      </c>
      <c r="B3769" s="1" t="n">
        <v>44959</v>
      </c>
      <c r="C3769" s="1" t="n">
        <v>46098</v>
      </c>
      <c r="D3769" t="inlineStr">
        <is>
          <t>UPPSALA LÄN</t>
        </is>
      </c>
      <c r="E3769" t="inlineStr">
        <is>
          <t>KNIVSTA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33056-2021</t>
        </is>
      </c>
      <c r="B3770" s="1" t="n">
        <v>44376.52438657408</v>
      </c>
      <c r="C3770" s="1" t="n">
        <v>46098</v>
      </c>
      <c r="D3770" t="inlineStr">
        <is>
          <t>UPPSALA LÄN</t>
        </is>
      </c>
      <c r="E3770" t="inlineStr">
        <is>
          <t>ÖSTHAMMAR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11005-2023</t>
        </is>
      </c>
      <c r="B3771" s="1" t="n">
        <v>44991</v>
      </c>
      <c r="C3771" s="1" t="n">
        <v>46098</v>
      </c>
      <c r="D3771" t="inlineStr">
        <is>
          <t>UPPSALA LÄN</t>
        </is>
      </c>
      <c r="E3771" t="inlineStr">
        <is>
          <t>ENKÖPING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54737-2023</t>
        </is>
      </c>
      <c r="B3772" s="1" t="n">
        <v>45229</v>
      </c>
      <c r="C3772" s="1" t="n">
        <v>46098</v>
      </c>
      <c r="D3772" t="inlineStr">
        <is>
          <t>UPPSALA LÄN</t>
        </is>
      </c>
      <c r="E3772" t="inlineStr">
        <is>
          <t>TIERP</t>
        </is>
      </c>
      <c r="F3772" t="inlineStr">
        <is>
          <t>Bergvik skog väst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54783-2023</t>
        </is>
      </c>
      <c r="B3773" s="1" t="n">
        <v>45236.47697916667</v>
      </c>
      <c r="C3773" s="1" t="n">
        <v>46098</v>
      </c>
      <c r="D3773" t="inlineStr">
        <is>
          <t>UPPSALA LÄN</t>
        </is>
      </c>
      <c r="E3773" t="inlineStr">
        <is>
          <t>UPPSALA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6677-2024</t>
        </is>
      </c>
      <c r="B3774" s="1" t="n">
        <v>45341</v>
      </c>
      <c r="C3774" s="1" t="n">
        <v>46098</v>
      </c>
      <c r="D3774" t="inlineStr">
        <is>
          <t>UPPSALA LÄN</t>
        </is>
      </c>
      <c r="E3774" t="inlineStr">
        <is>
          <t>UPPSALA</t>
        </is>
      </c>
      <c r="F3774" t="inlineStr">
        <is>
          <t>Bergvik skog öst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16660-2023</t>
        </is>
      </c>
      <c r="B3775" s="1" t="n">
        <v>45030.54038194445</v>
      </c>
      <c r="C3775" s="1" t="n">
        <v>46098</v>
      </c>
      <c r="D3775" t="inlineStr">
        <is>
          <t>UPPSALA LÄN</t>
        </is>
      </c>
      <c r="E3775" t="inlineStr">
        <is>
          <t>HEBY</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57142-2021</t>
        </is>
      </c>
      <c r="B3776" s="1" t="n">
        <v>44482</v>
      </c>
      <c r="C3776" s="1" t="n">
        <v>46098</v>
      </c>
      <c r="D3776" t="inlineStr">
        <is>
          <t>UPPSALA LÄN</t>
        </is>
      </c>
      <c r="E3776" t="inlineStr">
        <is>
          <t>ENKÖPING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57147-2021</t>
        </is>
      </c>
      <c r="B3777" s="1" t="n">
        <v>44482</v>
      </c>
      <c r="C3777" s="1" t="n">
        <v>46098</v>
      </c>
      <c r="D3777" t="inlineStr">
        <is>
          <t>UPPSALA LÄN</t>
        </is>
      </c>
      <c r="E3777" t="inlineStr">
        <is>
          <t>ENKÖPING</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13526-2023</t>
        </is>
      </c>
      <c r="B3778" s="1" t="n">
        <v>45006</v>
      </c>
      <c r="C3778" s="1" t="n">
        <v>46098</v>
      </c>
      <c r="D3778" t="inlineStr">
        <is>
          <t>UPPSALA LÄN</t>
        </is>
      </c>
      <c r="E3778" t="inlineStr">
        <is>
          <t>UPPSALA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13603-2023</t>
        </is>
      </c>
      <c r="B3779" s="1" t="n">
        <v>45006</v>
      </c>
      <c r="C3779" s="1" t="n">
        <v>46098</v>
      </c>
      <c r="D3779" t="inlineStr">
        <is>
          <t>UPPSALA LÄN</t>
        </is>
      </c>
      <c r="E3779" t="inlineStr">
        <is>
          <t>HEBY</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31586-2023</t>
        </is>
      </c>
      <c r="B3780" s="1" t="n">
        <v>45117</v>
      </c>
      <c r="C3780" s="1" t="n">
        <v>46098</v>
      </c>
      <c r="D3780" t="inlineStr">
        <is>
          <t>UPPSALA LÄN</t>
        </is>
      </c>
      <c r="E3780" t="inlineStr">
        <is>
          <t>HEBY</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47221-2023</t>
        </is>
      </c>
      <c r="B3781" s="1" t="n">
        <v>45202</v>
      </c>
      <c r="C3781" s="1" t="n">
        <v>46098</v>
      </c>
      <c r="D3781" t="inlineStr">
        <is>
          <t>UPPSALA LÄN</t>
        </is>
      </c>
      <c r="E3781" t="inlineStr">
        <is>
          <t>UPPSALA</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43640-2024</t>
        </is>
      </c>
      <c r="B3782" s="1" t="n">
        <v>45569</v>
      </c>
      <c r="C3782" s="1" t="n">
        <v>46098</v>
      </c>
      <c r="D3782" t="inlineStr">
        <is>
          <t>UPPSALA LÄN</t>
        </is>
      </c>
      <c r="E3782" t="inlineStr">
        <is>
          <t>TIERP</t>
        </is>
      </c>
      <c r="F3782" t="inlineStr">
        <is>
          <t>Bergvik skog öst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27442-2024</t>
        </is>
      </c>
      <c r="B3783" s="1" t="n">
        <v>45474.41729166666</v>
      </c>
      <c r="C3783" s="1" t="n">
        <v>46098</v>
      </c>
      <c r="D3783" t="inlineStr">
        <is>
          <t>UPPSALA LÄN</t>
        </is>
      </c>
      <c r="E3783" t="inlineStr">
        <is>
          <t>UPPSALA</t>
        </is>
      </c>
      <c r="F3783" t="inlineStr">
        <is>
          <t>Holmen skog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7868-2024</t>
        </is>
      </c>
      <c r="B3784" s="1" t="n">
        <v>45350.33020833333</v>
      </c>
      <c r="C3784" s="1" t="n">
        <v>46098</v>
      </c>
      <c r="D3784" t="inlineStr">
        <is>
          <t>UPPSALA LÄN</t>
        </is>
      </c>
      <c r="E3784" t="inlineStr">
        <is>
          <t>ENKÖPING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7870-2024</t>
        </is>
      </c>
      <c r="B3785" s="1" t="n">
        <v>45350.33349537037</v>
      </c>
      <c r="C3785" s="1" t="n">
        <v>46098</v>
      </c>
      <c r="D3785" t="inlineStr">
        <is>
          <t>UPPSALA LÄN</t>
        </is>
      </c>
      <c r="E3785" t="inlineStr">
        <is>
          <t>ENKÖPING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8772-2023</t>
        </is>
      </c>
      <c r="B3786" s="1" t="n">
        <v>44978.5591087963</v>
      </c>
      <c r="C3786" s="1" t="n">
        <v>46098</v>
      </c>
      <c r="D3786" t="inlineStr">
        <is>
          <t>UPPSALA LÄN</t>
        </is>
      </c>
      <c r="E3786" t="inlineStr">
        <is>
          <t>TIERP</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8774-2023</t>
        </is>
      </c>
      <c r="B3787" s="1" t="n">
        <v>44978.56202546296</v>
      </c>
      <c r="C3787" s="1" t="n">
        <v>46098</v>
      </c>
      <c r="D3787" t="inlineStr">
        <is>
          <t>UPPSALA LÄN</t>
        </is>
      </c>
      <c r="E3787" t="inlineStr">
        <is>
          <t>TIERP</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6203-2023</t>
        </is>
      </c>
      <c r="B3788" s="1" t="n">
        <v>44964.74861111111</v>
      </c>
      <c r="C3788" s="1" t="n">
        <v>46098</v>
      </c>
      <c r="D3788" t="inlineStr">
        <is>
          <t>UPPSALA LÄN</t>
        </is>
      </c>
      <c r="E3788" t="inlineStr">
        <is>
          <t>HEBY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9231-2023</t>
        </is>
      </c>
      <c r="B3789" s="1" t="n">
        <v>44980</v>
      </c>
      <c r="C3789" s="1" t="n">
        <v>46098</v>
      </c>
      <c r="D3789" t="inlineStr">
        <is>
          <t>UPPSALA LÄN</t>
        </is>
      </c>
      <c r="E3789" t="inlineStr">
        <is>
          <t>ENKÖPING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25269-2024</t>
        </is>
      </c>
      <c r="B3790" s="1" t="n">
        <v>45462</v>
      </c>
      <c r="C3790" s="1" t="n">
        <v>46098</v>
      </c>
      <c r="D3790" t="inlineStr">
        <is>
          <t>UPPSALA LÄN</t>
        </is>
      </c>
      <c r="E3790" t="inlineStr">
        <is>
          <t>ÖSTHAMMAR</t>
        </is>
      </c>
      <c r="F3790" t="inlineStr">
        <is>
          <t>Bergvik skog öst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46098</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3040-2023</t>
        </is>
      </c>
      <c r="B3792" s="1" t="n">
        <v>44946</v>
      </c>
      <c r="C3792" s="1" t="n">
        <v>46098</v>
      </c>
      <c r="D3792" t="inlineStr">
        <is>
          <t>UPPSALA LÄN</t>
        </is>
      </c>
      <c r="E3792" t="inlineStr">
        <is>
          <t>UPPSALA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22804-2022</t>
        </is>
      </c>
      <c r="B3793" s="1" t="n">
        <v>44715</v>
      </c>
      <c r="C3793" s="1" t="n">
        <v>46098</v>
      </c>
      <c r="D3793" t="inlineStr">
        <is>
          <t>UPPSALA LÄN</t>
        </is>
      </c>
      <c r="E3793" t="inlineStr">
        <is>
          <t>ÖSTHAMMAR</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66983-2021</t>
        </is>
      </c>
      <c r="B3794" s="1" t="n">
        <v>44522</v>
      </c>
      <c r="C3794" s="1" t="n">
        <v>46098</v>
      </c>
      <c r="D3794" t="inlineStr">
        <is>
          <t>UPPSALA LÄN</t>
        </is>
      </c>
      <c r="E3794" t="inlineStr">
        <is>
          <t>UPPSALA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67005-2021</t>
        </is>
      </c>
      <c r="B3795" s="1" t="n">
        <v>44522</v>
      </c>
      <c r="C3795" s="1" t="n">
        <v>46098</v>
      </c>
      <c r="D3795" t="inlineStr">
        <is>
          <t>UPPSALA LÄN</t>
        </is>
      </c>
      <c r="E3795" t="inlineStr">
        <is>
          <t>HÅBO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45795-2023</t>
        </is>
      </c>
      <c r="B3796" s="1" t="n">
        <v>45195</v>
      </c>
      <c r="C3796" s="1" t="n">
        <v>46098</v>
      </c>
      <c r="D3796" t="inlineStr">
        <is>
          <t>UPPSALA LÄN</t>
        </is>
      </c>
      <c r="E3796" t="inlineStr">
        <is>
          <t>ÖSTHAMMAR</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45821-2023</t>
        </is>
      </c>
      <c r="B3797" s="1" t="n">
        <v>45195.52546296296</v>
      </c>
      <c r="C3797" s="1" t="n">
        <v>46098</v>
      </c>
      <c r="D3797" t="inlineStr">
        <is>
          <t>UPPSALA LÄN</t>
        </is>
      </c>
      <c r="E3797" t="inlineStr">
        <is>
          <t>HEBY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16916-2022</t>
        </is>
      </c>
      <c r="B3798" s="1" t="n">
        <v>44676</v>
      </c>
      <c r="C3798" s="1" t="n">
        <v>46098</v>
      </c>
      <c r="D3798" t="inlineStr">
        <is>
          <t>UPPSALA LÄN</t>
        </is>
      </c>
      <c r="E3798" t="inlineStr">
        <is>
          <t>ENKÖPING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5028-2022</t>
        </is>
      </c>
      <c r="B3799" s="1" t="n">
        <v>44593.64863425926</v>
      </c>
      <c r="C3799" s="1" t="n">
        <v>46098</v>
      </c>
      <c r="D3799" t="inlineStr">
        <is>
          <t>UPPSALA LÄN</t>
        </is>
      </c>
      <c r="E3799" t="inlineStr">
        <is>
          <t>UPPSALA</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41929-2024</t>
        </is>
      </c>
      <c r="B3800" s="1" t="n">
        <v>45561</v>
      </c>
      <c r="C3800" s="1" t="n">
        <v>46098</v>
      </c>
      <c r="D3800" t="inlineStr">
        <is>
          <t>UPPSALA LÄN</t>
        </is>
      </c>
      <c r="E3800" t="inlineStr">
        <is>
          <t>ÄLVKARLEBY</t>
        </is>
      </c>
      <c r="F3800" t="inlineStr">
        <is>
          <t>Bergvik skog väst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36479-2023</t>
        </is>
      </c>
      <c r="B3801" s="1" t="n">
        <v>45152</v>
      </c>
      <c r="C3801" s="1" t="n">
        <v>46098</v>
      </c>
      <c r="D3801" t="inlineStr">
        <is>
          <t>UPPSALA LÄN</t>
        </is>
      </c>
      <c r="E3801" t="inlineStr">
        <is>
          <t>UPPSALA</t>
        </is>
      </c>
      <c r="F3801" t="inlineStr">
        <is>
          <t>Allmännings- och besparingsskogar</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7997-2022</t>
        </is>
      </c>
      <c r="B3802" s="1" t="n">
        <v>44609</v>
      </c>
      <c r="C3802" s="1" t="n">
        <v>46098</v>
      </c>
      <c r="D3802" t="inlineStr">
        <is>
          <t>UPPSALA LÄN</t>
        </is>
      </c>
      <c r="E3802" t="inlineStr">
        <is>
          <t>ÖSTHAMMAR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600-2024</t>
        </is>
      </c>
      <c r="B3803" s="1" t="n">
        <v>45299</v>
      </c>
      <c r="C3803" s="1" t="n">
        <v>46098</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37819-2021</t>
        </is>
      </c>
      <c r="B3804" s="1" t="n">
        <v>44403.29719907408</v>
      </c>
      <c r="C3804" s="1" t="n">
        <v>46098</v>
      </c>
      <c r="D3804" t="inlineStr">
        <is>
          <t>UPPSALA LÄN</t>
        </is>
      </c>
      <c r="E3804" t="inlineStr">
        <is>
          <t>UPPSALA</t>
        </is>
      </c>
      <c r="F3804" t="inlineStr">
        <is>
          <t>Bergvik skog öst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30514-2021</t>
        </is>
      </c>
      <c r="B3805" s="1" t="n">
        <v>44364</v>
      </c>
      <c r="C3805" s="1" t="n">
        <v>46098</v>
      </c>
      <c r="D3805" t="inlineStr">
        <is>
          <t>UPPSALA LÄN</t>
        </is>
      </c>
      <c r="E3805" t="inlineStr">
        <is>
          <t>ENKÖPING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31604-2023</t>
        </is>
      </c>
      <c r="B3806" s="1" t="n">
        <v>45117.50368055556</v>
      </c>
      <c r="C3806" s="1" t="n">
        <v>46098</v>
      </c>
      <c r="D3806" t="inlineStr">
        <is>
          <t>UPPSALA LÄN</t>
        </is>
      </c>
      <c r="E3806" t="inlineStr">
        <is>
          <t>ENKÖPING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60003-2024</t>
        </is>
      </c>
      <c r="B3807" s="1" t="n">
        <v>45642</v>
      </c>
      <c r="C3807" s="1" t="n">
        <v>46098</v>
      </c>
      <c r="D3807" t="inlineStr">
        <is>
          <t>UPPSALA LÄN</t>
        </is>
      </c>
      <c r="E3807" t="inlineStr">
        <is>
          <t>UPPSALA</t>
        </is>
      </c>
      <c r="F3807" t="inlineStr">
        <is>
          <t>Bergvik skog väst AB</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25598-2021</t>
        </is>
      </c>
      <c r="B3808" s="1" t="n">
        <v>44343.4558912037</v>
      </c>
      <c r="C3808" s="1" t="n">
        <v>46098</v>
      </c>
      <c r="D3808" t="inlineStr">
        <is>
          <t>UPPSALA LÄN</t>
        </is>
      </c>
      <c r="E3808" t="inlineStr">
        <is>
          <t>ENKÖPING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15162-2025</t>
        </is>
      </c>
      <c r="B3809" s="1" t="n">
        <v>45744</v>
      </c>
      <c r="C3809" s="1" t="n">
        <v>46098</v>
      </c>
      <c r="D3809" t="inlineStr">
        <is>
          <t>UPPSALA LÄN</t>
        </is>
      </c>
      <c r="E3809" t="inlineStr">
        <is>
          <t>ENKÖPING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34593-2023</t>
        </is>
      </c>
      <c r="B3810" s="1" t="n">
        <v>45138</v>
      </c>
      <c r="C3810" s="1" t="n">
        <v>46098</v>
      </c>
      <c r="D3810" t="inlineStr">
        <is>
          <t>UPPSALA LÄN</t>
        </is>
      </c>
      <c r="E3810" t="inlineStr">
        <is>
          <t>HEBY</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1838-2024</t>
        </is>
      </c>
      <c r="B3811" s="1" t="n">
        <v>45307</v>
      </c>
      <c r="C3811" s="1" t="n">
        <v>46098</v>
      </c>
      <c r="D3811" t="inlineStr">
        <is>
          <t>UPPSALA LÄN</t>
        </is>
      </c>
      <c r="E3811" t="inlineStr">
        <is>
          <t>UPPSALA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67199-2021</t>
        </is>
      </c>
      <c r="B3812" s="1" t="n">
        <v>44523.46197916667</v>
      </c>
      <c r="C3812" s="1" t="n">
        <v>46098</v>
      </c>
      <c r="D3812" t="inlineStr">
        <is>
          <t>UPPSALA LÄN</t>
        </is>
      </c>
      <c r="E3812" t="inlineStr">
        <is>
          <t>ÖSTHAMMAR</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8109-2024</t>
        </is>
      </c>
      <c r="B3813" s="1" t="n">
        <v>45351.48662037037</v>
      </c>
      <c r="C3813" s="1" t="n">
        <v>46098</v>
      </c>
      <c r="D3813" t="inlineStr">
        <is>
          <t>UPPSALA LÄN</t>
        </is>
      </c>
      <c r="E3813" t="inlineStr">
        <is>
          <t>UPPSALA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60011-2024</t>
        </is>
      </c>
      <c r="B3814" s="1" t="n">
        <v>45642</v>
      </c>
      <c r="C3814" s="1" t="n">
        <v>46098</v>
      </c>
      <c r="D3814" t="inlineStr">
        <is>
          <t>UPPSALA LÄN</t>
        </is>
      </c>
      <c r="E3814" t="inlineStr">
        <is>
          <t>TIERP</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15449-2022</t>
        </is>
      </c>
      <c r="B3815" s="1" t="n">
        <v>44660.91659722223</v>
      </c>
      <c r="C3815" s="1" t="n">
        <v>46098</v>
      </c>
      <c r="D3815" t="inlineStr">
        <is>
          <t>UPPSALA LÄN</t>
        </is>
      </c>
      <c r="E3815" t="inlineStr">
        <is>
          <t>ÖSTHAMMAR</t>
        </is>
      </c>
      <c r="F3815" t="inlineStr">
        <is>
          <t>Bergvik skog öst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18110-2025</t>
        </is>
      </c>
      <c r="B3816" s="1" t="n">
        <v>45761.56990740741</v>
      </c>
      <c r="C3816" s="1" t="n">
        <v>46098</v>
      </c>
      <c r="D3816" t="inlineStr">
        <is>
          <t>UPPSALA LÄN</t>
        </is>
      </c>
      <c r="E3816" t="inlineStr">
        <is>
          <t>TIERP</t>
        </is>
      </c>
      <c r="F3816" t="inlineStr">
        <is>
          <t>Bergvik skog väst AB</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11201-2024</t>
        </is>
      </c>
      <c r="B3817" s="1" t="n">
        <v>45371</v>
      </c>
      <c r="C3817" s="1" t="n">
        <v>46098</v>
      </c>
      <c r="D3817" t="inlineStr">
        <is>
          <t>UPPSALA LÄN</t>
        </is>
      </c>
      <c r="E3817" t="inlineStr">
        <is>
          <t>UPPSALA</t>
        </is>
      </c>
      <c r="F3817" t="inlineStr">
        <is>
          <t>Kommuner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18849-2024</t>
        </is>
      </c>
      <c r="B3818" s="1" t="n">
        <v>45426.68497685185</v>
      </c>
      <c r="C3818" s="1" t="n">
        <v>46098</v>
      </c>
      <c r="D3818" t="inlineStr">
        <is>
          <t>UPPSALA LÄN</t>
        </is>
      </c>
      <c r="E3818" t="inlineStr">
        <is>
          <t>HEBY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18183-2022</t>
        </is>
      </c>
      <c r="B3819" s="1" t="n">
        <v>44684</v>
      </c>
      <c r="C3819" s="1" t="n">
        <v>46098</v>
      </c>
      <c r="D3819" t="inlineStr">
        <is>
          <t>UPPSALA LÄN</t>
        </is>
      </c>
      <c r="E3819" t="inlineStr">
        <is>
          <t>ÖSTHAMMAR</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20750-2023</t>
        </is>
      </c>
      <c r="B3820" s="1" t="n">
        <v>45058.53024305555</v>
      </c>
      <c r="C3820" s="1" t="n">
        <v>46098</v>
      </c>
      <c r="D3820" t="inlineStr">
        <is>
          <t>UPPSALA LÄN</t>
        </is>
      </c>
      <c r="E3820" t="inlineStr">
        <is>
          <t>TIERP</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48970-2021</t>
        </is>
      </c>
      <c r="B3821" s="1" t="n">
        <v>44453</v>
      </c>
      <c r="C3821" s="1" t="n">
        <v>46098</v>
      </c>
      <c r="D3821" t="inlineStr">
        <is>
          <t>UPPSALA LÄN</t>
        </is>
      </c>
      <c r="E3821" t="inlineStr">
        <is>
          <t>TIERP</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4409-2023</t>
        </is>
      </c>
      <c r="B3822" s="1" t="n">
        <v>44956.36935185185</v>
      </c>
      <c r="C3822" s="1" t="n">
        <v>46098</v>
      </c>
      <c r="D3822" t="inlineStr">
        <is>
          <t>UPPSALA LÄN</t>
        </is>
      </c>
      <c r="E3822" t="inlineStr">
        <is>
          <t>TIERP</t>
        </is>
      </c>
      <c r="F3822" t="inlineStr">
        <is>
          <t>Bergvik skog öst AB</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59658-2024</t>
        </is>
      </c>
      <c r="B3823" s="1" t="n">
        <v>45639</v>
      </c>
      <c r="C3823" s="1" t="n">
        <v>46098</v>
      </c>
      <c r="D3823" t="inlineStr">
        <is>
          <t>UPPSALA LÄN</t>
        </is>
      </c>
      <c r="E3823" t="inlineStr">
        <is>
          <t>TIERP</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29145-2021</t>
        </is>
      </c>
      <c r="B3824" s="1" t="n">
        <v>44358.63490740741</v>
      </c>
      <c r="C3824" s="1" t="n">
        <v>46098</v>
      </c>
      <c r="D3824" t="inlineStr">
        <is>
          <t>UPPSALA LÄN</t>
        </is>
      </c>
      <c r="E3824" t="inlineStr">
        <is>
          <t>UPPSALA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52388-2024</t>
        </is>
      </c>
      <c r="B3825" s="1" t="n">
        <v>45609.42939814815</v>
      </c>
      <c r="C3825" s="1" t="n">
        <v>46098</v>
      </c>
      <c r="D3825" t="inlineStr">
        <is>
          <t>UPPSALA LÄN</t>
        </is>
      </c>
      <c r="E3825" t="inlineStr">
        <is>
          <t>ENKÖPING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39791-2021</t>
        </is>
      </c>
      <c r="B3826" s="1" t="n">
        <v>44417</v>
      </c>
      <c r="C3826" s="1" t="n">
        <v>46098</v>
      </c>
      <c r="D3826" t="inlineStr">
        <is>
          <t>UPPSALA LÄN</t>
        </is>
      </c>
      <c r="E3826" t="inlineStr">
        <is>
          <t>ÄLVKARLEBY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59719-2022</t>
        </is>
      </c>
      <c r="B3827" s="1" t="n">
        <v>44908.425625</v>
      </c>
      <c r="C3827" s="1" t="n">
        <v>46098</v>
      </c>
      <c r="D3827" t="inlineStr">
        <is>
          <t>UPPSALA LÄN</t>
        </is>
      </c>
      <c r="E3827" t="inlineStr">
        <is>
          <t>UPPSALA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59731-2022</t>
        </is>
      </c>
      <c r="B3828" s="1" t="n">
        <v>44908</v>
      </c>
      <c r="C3828" s="1" t="n">
        <v>46098</v>
      </c>
      <c r="D3828" t="inlineStr">
        <is>
          <t>UPPSALA LÄN</t>
        </is>
      </c>
      <c r="E3828" t="inlineStr">
        <is>
          <t>TIERP</t>
        </is>
      </c>
      <c r="F3828" t="inlineStr">
        <is>
          <t>Kyrkan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53607-2023</t>
        </is>
      </c>
      <c r="B3829" s="1" t="n">
        <v>45230</v>
      </c>
      <c r="C3829" s="1" t="n">
        <v>46098</v>
      </c>
      <c r="D3829" t="inlineStr">
        <is>
          <t>UPPSALA LÄN</t>
        </is>
      </c>
      <c r="E3829" t="inlineStr">
        <is>
          <t>ENKÖPING</t>
        </is>
      </c>
      <c r="F3829" t="inlineStr">
        <is>
          <t>Allmännings- och besparingsskogar</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6892-2022</t>
        </is>
      </c>
      <c r="B3830" s="1" t="n">
        <v>44602</v>
      </c>
      <c r="C3830" s="1" t="n">
        <v>46098</v>
      </c>
      <c r="D3830" t="inlineStr">
        <is>
          <t>UPPSALA LÄN</t>
        </is>
      </c>
      <c r="E3830" t="inlineStr">
        <is>
          <t>ÖSTHAMMAR</t>
        </is>
      </c>
      <c r="F3830" t="inlineStr">
        <is>
          <t>Bergvik skog öst AB</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38934-2023</t>
        </is>
      </c>
      <c r="B3831" s="1" t="n">
        <v>45163.59913194444</v>
      </c>
      <c r="C3831" s="1" t="n">
        <v>46098</v>
      </c>
      <c r="D3831" t="inlineStr">
        <is>
          <t>UPPSALA LÄN</t>
        </is>
      </c>
      <c r="E3831" t="inlineStr">
        <is>
          <t>UPPSALA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7370-2023</t>
        </is>
      </c>
      <c r="B3832" s="1" t="n">
        <v>44971</v>
      </c>
      <c r="C3832" s="1" t="n">
        <v>46098</v>
      </c>
      <c r="D3832" t="inlineStr">
        <is>
          <t>UPPSALA LÄN</t>
        </is>
      </c>
      <c r="E3832" t="inlineStr">
        <is>
          <t>TIERP</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62295-2022</t>
        </is>
      </c>
      <c r="B3833" s="1" t="n">
        <v>44916</v>
      </c>
      <c r="C3833" s="1" t="n">
        <v>46098</v>
      </c>
      <c r="D3833" t="inlineStr">
        <is>
          <t>UPPSALA LÄN</t>
        </is>
      </c>
      <c r="E3833" t="inlineStr">
        <is>
          <t>ÖSTHAMMAR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39154-2023</t>
        </is>
      </c>
      <c r="B3834" s="1" t="n">
        <v>45166</v>
      </c>
      <c r="C3834" s="1" t="n">
        <v>46098</v>
      </c>
      <c r="D3834" t="inlineStr">
        <is>
          <t>UPPSALA LÄN</t>
        </is>
      </c>
      <c r="E3834" t="inlineStr">
        <is>
          <t>HEBY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42681-2023</t>
        </is>
      </c>
      <c r="B3835" s="1" t="n">
        <v>45181.58055555556</v>
      </c>
      <c r="C3835" s="1" t="n">
        <v>46098</v>
      </c>
      <c r="D3835" t="inlineStr">
        <is>
          <t>UPPSALA LÄN</t>
        </is>
      </c>
      <c r="E3835" t="inlineStr">
        <is>
          <t>UPPSALA</t>
        </is>
      </c>
      <c r="F3835" t="inlineStr">
        <is>
          <t>Bergvik skog öst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40202-2024</t>
        </is>
      </c>
      <c r="B3836" s="1" t="n">
        <v>45554</v>
      </c>
      <c r="C3836" s="1" t="n">
        <v>46098</v>
      </c>
      <c r="D3836" t="inlineStr">
        <is>
          <t>UPPSALA LÄN</t>
        </is>
      </c>
      <c r="E3836" t="inlineStr">
        <is>
          <t>ENKÖPING</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26771-2024</t>
        </is>
      </c>
      <c r="B3837" s="1" t="n">
        <v>45470</v>
      </c>
      <c r="C3837" s="1" t="n">
        <v>46098</v>
      </c>
      <c r="D3837" t="inlineStr">
        <is>
          <t>UPPSALA LÄN</t>
        </is>
      </c>
      <c r="E3837" t="inlineStr">
        <is>
          <t>TIERP</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44464-2021</t>
        </is>
      </c>
      <c r="B3838" s="1" t="n">
        <v>44435</v>
      </c>
      <c r="C3838" s="1" t="n">
        <v>46098</v>
      </c>
      <c r="D3838" t="inlineStr">
        <is>
          <t>UPPSALA LÄN</t>
        </is>
      </c>
      <c r="E3838" t="inlineStr">
        <is>
          <t>HEBY</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8830-2023</t>
        </is>
      </c>
      <c r="B3839" s="1" t="n">
        <v>44978</v>
      </c>
      <c r="C3839" s="1" t="n">
        <v>46098</v>
      </c>
      <c r="D3839" t="inlineStr">
        <is>
          <t>UPPSALA LÄN</t>
        </is>
      </c>
      <c r="E3839" t="inlineStr">
        <is>
          <t>ÖSTHAMMAR</t>
        </is>
      </c>
      <c r="F3839" t="inlineStr">
        <is>
          <t>Bergvik skog öst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11715-2024</t>
        </is>
      </c>
      <c r="B3840" s="1" t="n">
        <v>45373.63015046297</v>
      </c>
      <c r="C3840" s="1" t="n">
        <v>46098</v>
      </c>
      <c r="D3840" t="inlineStr">
        <is>
          <t>UPPSALA LÄN</t>
        </is>
      </c>
      <c r="E3840" t="inlineStr">
        <is>
          <t>HEBY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32207-2021</t>
        </is>
      </c>
      <c r="B3841" s="1" t="n">
        <v>44371</v>
      </c>
      <c r="C3841" s="1" t="n">
        <v>46098</v>
      </c>
      <c r="D3841" t="inlineStr">
        <is>
          <t>UPPSALA LÄN</t>
        </is>
      </c>
      <c r="E3841" t="inlineStr">
        <is>
          <t>TIERP</t>
        </is>
      </c>
      <c r="F3841" t="inlineStr">
        <is>
          <t>Bergvik skog väst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50281-2023</t>
        </is>
      </c>
      <c r="B3842" s="1" t="n">
        <v>45216.45452546296</v>
      </c>
      <c r="C3842" s="1" t="n">
        <v>46098</v>
      </c>
      <c r="D3842" t="inlineStr">
        <is>
          <t>UPPSALA LÄN</t>
        </is>
      </c>
      <c r="E3842" t="inlineStr">
        <is>
          <t>HEBY</t>
        </is>
      </c>
      <c r="G3842" t="n">
        <v>10.9</v>
      </c>
      <c r="H3842" t="n">
        <v>0</v>
      </c>
      <c r="I3842" t="n">
        <v>0</v>
      </c>
      <c r="J3842" t="n">
        <v>0</v>
      </c>
      <c r="K3842" t="n">
        <v>0</v>
      </c>
      <c r="L3842" t="n">
        <v>0</v>
      </c>
      <c r="M3842" t="n">
        <v>0</v>
      </c>
      <c r="N3842" t="n">
        <v>0</v>
      </c>
      <c r="O3842" t="n">
        <v>0</v>
      </c>
      <c r="P3842" t="n">
        <v>0</v>
      </c>
      <c r="Q3842" t="n">
        <v>0</v>
      </c>
      <c r="R3842" s="2" t="inlineStr"/>
    </row>
    <row r="3843" ht="15" customHeight="1">
      <c r="A3843" t="inlineStr">
        <is>
          <t>A 33941-2023</t>
        </is>
      </c>
      <c r="B3843" s="1" t="n">
        <v>45134.57021990741</v>
      </c>
      <c r="C3843" s="1" t="n">
        <v>46098</v>
      </c>
      <c r="D3843" t="inlineStr">
        <is>
          <t>UPPSALA LÄN</t>
        </is>
      </c>
      <c r="E3843" t="inlineStr">
        <is>
          <t>UPPSALA</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50954-2022</t>
        </is>
      </c>
      <c r="B3844" s="1" t="n">
        <v>44866</v>
      </c>
      <c r="C3844" s="1" t="n">
        <v>46098</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5918-2022</t>
        </is>
      </c>
      <c r="B3845" s="1" t="n">
        <v>44597.83796296296</v>
      </c>
      <c r="C3845" s="1" t="n">
        <v>46098</v>
      </c>
      <c r="D3845" t="inlineStr">
        <is>
          <t>UPPSALA LÄN</t>
        </is>
      </c>
      <c r="E3845" t="inlineStr">
        <is>
          <t>TIERP</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36392-2023</t>
        </is>
      </c>
      <c r="B3846" s="1" t="n">
        <v>45152</v>
      </c>
      <c r="C3846" s="1" t="n">
        <v>46098</v>
      </c>
      <c r="D3846" t="inlineStr">
        <is>
          <t>UPPSALA LÄN</t>
        </is>
      </c>
      <c r="E3846" t="inlineStr">
        <is>
          <t>UPPSALA</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18091-2023</t>
        </is>
      </c>
      <c r="B3847" s="1" t="n">
        <v>45040</v>
      </c>
      <c r="C3847" s="1" t="n">
        <v>46098</v>
      </c>
      <c r="D3847" t="inlineStr">
        <is>
          <t>UPPSALA LÄN</t>
        </is>
      </c>
      <c r="E3847" t="inlineStr">
        <is>
          <t>ÖSTHAMMAR</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47522-2023</t>
        </is>
      </c>
      <c r="B3848" s="1" t="n">
        <v>45203</v>
      </c>
      <c r="C3848" s="1" t="n">
        <v>46098</v>
      </c>
      <c r="D3848" t="inlineStr">
        <is>
          <t>UPPSALA LÄN</t>
        </is>
      </c>
      <c r="E3848" t="inlineStr">
        <is>
          <t>ÖSTHAMMAR</t>
        </is>
      </c>
      <c r="F3848" t="inlineStr">
        <is>
          <t>Bergvik skog öst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13358-2024</t>
        </is>
      </c>
      <c r="B3849" s="1" t="n">
        <v>45387.3503125</v>
      </c>
      <c r="C3849" s="1" t="n">
        <v>46098</v>
      </c>
      <c r="D3849" t="inlineStr">
        <is>
          <t>UPPSALA LÄN</t>
        </is>
      </c>
      <c r="E3849" t="inlineStr">
        <is>
          <t>ÖSTHAMMAR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13368-2024</t>
        </is>
      </c>
      <c r="B3850" s="1" t="n">
        <v>45387</v>
      </c>
      <c r="C3850" s="1" t="n">
        <v>46098</v>
      </c>
      <c r="D3850" t="inlineStr">
        <is>
          <t>UPPSALA LÄN</t>
        </is>
      </c>
      <c r="E3850" t="inlineStr">
        <is>
          <t>TIERP</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29282-2021</t>
        </is>
      </c>
      <c r="B3851" s="1" t="n">
        <v>44361</v>
      </c>
      <c r="C3851" s="1" t="n">
        <v>46098</v>
      </c>
      <c r="D3851" t="inlineStr">
        <is>
          <t>UPPSALA LÄN</t>
        </is>
      </c>
      <c r="E3851" t="inlineStr">
        <is>
          <t>ÖSTHAMMAR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45848-2024</t>
        </is>
      </c>
      <c r="B3852" s="1" t="n">
        <v>45580</v>
      </c>
      <c r="C3852" s="1" t="n">
        <v>46098</v>
      </c>
      <c r="D3852" t="inlineStr">
        <is>
          <t>UPPSALA LÄN</t>
        </is>
      </c>
      <c r="E3852" t="inlineStr">
        <is>
          <t>TIERP</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52388-2022</t>
        </is>
      </c>
      <c r="B3853" s="1" t="n">
        <v>44874</v>
      </c>
      <c r="C3853" s="1" t="n">
        <v>46098</v>
      </c>
      <c r="D3853" t="inlineStr">
        <is>
          <t>UPPSALA LÄN</t>
        </is>
      </c>
      <c r="E3853" t="inlineStr">
        <is>
          <t>TIERP</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54366-2023</t>
        </is>
      </c>
      <c r="B3854" s="1" t="n">
        <v>45233</v>
      </c>
      <c r="C3854" s="1" t="n">
        <v>46098</v>
      </c>
      <c r="D3854" t="inlineStr">
        <is>
          <t>UPPSALA LÄN</t>
        </is>
      </c>
      <c r="E3854" t="inlineStr">
        <is>
          <t>ÖSTHAMMAR</t>
        </is>
      </c>
      <c r="F3854" t="inlineStr">
        <is>
          <t>Bergvik skog öst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57152-2021</t>
        </is>
      </c>
      <c r="B3855" s="1" t="n">
        <v>44482</v>
      </c>
      <c r="C3855" s="1" t="n">
        <v>46098</v>
      </c>
      <c r="D3855" t="inlineStr">
        <is>
          <t>UPPSALA LÄN</t>
        </is>
      </c>
      <c r="E3855" t="inlineStr">
        <is>
          <t>ENKÖPING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31143-2023</t>
        </is>
      </c>
      <c r="B3856" s="1" t="n">
        <v>45103</v>
      </c>
      <c r="C3856" s="1" t="n">
        <v>46098</v>
      </c>
      <c r="D3856" t="inlineStr">
        <is>
          <t>UPPSALA LÄN</t>
        </is>
      </c>
      <c r="E3856" t="inlineStr">
        <is>
          <t>HEBY</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11452-2023</t>
        </is>
      </c>
      <c r="B3857" s="1" t="n">
        <v>44993</v>
      </c>
      <c r="C3857" s="1" t="n">
        <v>46098</v>
      </c>
      <c r="D3857" t="inlineStr">
        <is>
          <t>UPPSALA LÄN</t>
        </is>
      </c>
      <c r="E3857" t="inlineStr">
        <is>
          <t>KNIVSTA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52694-2023</t>
        </is>
      </c>
      <c r="B3858" s="1" t="n">
        <v>45225.76836805556</v>
      </c>
      <c r="C3858" s="1" t="n">
        <v>46098</v>
      </c>
      <c r="D3858" t="inlineStr">
        <is>
          <t>UPPSALA LÄN</t>
        </is>
      </c>
      <c r="E3858" t="inlineStr">
        <is>
          <t>ÖSTHAMMAR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30627-2023</t>
        </is>
      </c>
      <c r="B3859" s="1" t="n">
        <v>45112</v>
      </c>
      <c r="C3859" s="1" t="n">
        <v>46098</v>
      </c>
      <c r="D3859" t="inlineStr">
        <is>
          <t>UPPSALA LÄN</t>
        </is>
      </c>
      <c r="E3859" t="inlineStr">
        <is>
          <t>KNIVSTA</t>
        </is>
      </c>
      <c r="F3859" t="inlineStr">
        <is>
          <t>Holmen skog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23120-2021</t>
        </is>
      </c>
      <c r="B3860" s="1" t="n">
        <v>44330</v>
      </c>
      <c r="C3860" s="1" t="n">
        <v>46098</v>
      </c>
      <c r="D3860" t="inlineStr">
        <is>
          <t>UPPSALA LÄN</t>
        </is>
      </c>
      <c r="E3860" t="inlineStr">
        <is>
          <t>ÖSTHAMMAR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10131-2025</t>
        </is>
      </c>
      <c r="B3861" s="1" t="n">
        <v>45719.61053240741</v>
      </c>
      <c r="C3861" s="1" t="n">
        <v>46098</v>
      </c>
      <c r="D3861" t="inlineStr">
        <is>
          <t>UPPSALA LÄN</t>
        </is>
      </c>
      <c r="E3861" t="inlineStr">
        <is>
          <t>HEBY</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6630-2024</t>
        </is>
      </c>
      <c r="B3862" s="1" t="n">
        <v>45341.63811342593</v>
      </c>
      <c r="C3862" s="1" t="n">
        <v>46098</v>
      </c>
      <c r="D3862" t="inlineStr">
        <is>
          <t>UPPSALA LÄN</t>
        </is>
      </c>
      <c r="E3862" t="inlineStr">
        <is>
          <t>UPPSALA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22431-2024</t>
        </is>
      </c>
      <c r="B3863" s="1" t="n">
        <v>45446.78256944445</v>
      </c>
      <c r="C3863" s="1" t="n">
        <v>46098</v>
      </c>
      <c r="D3863" t="inlineStr">
        <is>
          <t>UPPSALA LÄN</t>
        </is>
      </c>
      <c r="E3863" t="inlineStr">
        <is>
          <t>UPPSALA</t>
        </is>
      </c>
      <c r="F3863" t="inlineStr">
        <is>
          <t>Bergvik skog öst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34114-2024</t>
        </is>
      </c>
      <c r="B3864" s="1" t="n">
        <v>45524</v>
      </c>
      <c r="C3864" s="1" t="n">
        <v>46098</v>
      </c>
      <c r="D3864" t="inlineStr">
        <is>
          <t>UPPSALA LÄN</t>
        </is>
      </c>
      <c r="E3864" t="inlineStr">
        <is>
          <t>UPPSALA</t>
        </is>
      </c>
      <c r="F3864" t="inlineStr">
        <is>
          <t>Allmännings- och besparingsskogar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34124-2021</t>
        </is>
      </c>
      <c r="B3865" s="1" t="n">
        <v>44379</v>
      </c>
      <c r="C3865" s="1" t="n">
        <v>46098</v>
      </c>
      <c r="D3865" t="inlineStr">
        <is>
          <t>UPPSALA LÄN</t>
        </is>
      </c>
      <c r="E3865" t="inlineStr">
        <is>
          <t>ENKÖPING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28518-2024</t>
        </is>
      </c>
      <c r="B3866" s="1" t="n">
        <v>45477</v>
      </c>
      <c r="C3866" s="1" t="n">
        <v>46098</v>
      </c>
      <c r="D3866" t="inlineStr">
        <is>
          <t>UPPSALA LÄN</t>
        </is>
      </c>
      <c r="E3866" t="inlineStr">
        <is>
          <t>ENKÖPING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52299-2023</t>
        </is>
      </c>
      <c r="B3867" s="1" t="n">
        <v>45224.61636574074</v>
      </c>
      <c r="C3867" s="1" t="n">
        <v>46098</v>
      </c>
      <c r="D3867" t="inlineStr">
        <is>
          <t>UPPSALA LÄN</t>
        </is>
      </c>
      <c r="E3867" t="inlineStr">
        <is>
          <t>ENKÖPING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11835-2024</t>
        </is>
      </c>
      <c r="B3868" s="1" t="n">
        <v>45376.36833333333</v>
      </c>
      <c r="C3868" s="1" t="n">
        <v>46098</v>
      </c>
      <c r="D3868" t="inlineStr">
        <is>
          <t>UPPSALA LÄN</t>
        </is>
      </c>
      <c r="E3868" t="inlineStr">
        <is>
          <t>HEBY</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20911-2022</t>
        </is>
      </c>
      <c r="B3869" s="1" t="n">
        <v>44701.60350694445</v>
      </c>
      <c r="C3869" s="1" t="n">
        <v>46098</v>
      </c>
      <c r="D3869" t="inlineStr">
        <is>
          <t>UPPSALA LÄN</t>
        </is>
      </c>
      <c r="E3869" t="inlineStr">
        <is>
          <t>TIERP</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36873-2022</t>
        </is>
      </c>
      <c r="B3870" s="1" t="n">
        <v>44805.63708333333</v>
      </c>
      <c r="C3870" s="1" t="n">
        <v>46098</v>
      </c>
      <c r="D3870" t="inlineStr">
        <is>
          <t>UPPSALA LÄN</t>
        </is>
      </c>
      <c r="E3870" t="inlineStr">
        <is>
          <t>ÖSTHAMMAR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24558-2023</t>
        </is>
      </c>
      <c r="B3871" s="1" t="n">
        <v>45083</v>
      </c>
      <c r="C3871" s="1" t="n">
        <v>46098</v>
      </c>
      <c r="D3871" t="inlineStr">
        <is>
          <t>UPPSALA LÄN</t>
        </is>
      </c>
      <c r="E3871" t="inlineStr">
        <is>
          <t>HEBY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2641-2023</t>
        </is>
      </c>
      <c r="B3872" s="1" t="n">
        <v>44944.41800925926</v>
      </c>
      <c r="C3872" s="1" t="n">
        <v>46098</v>
      </c>
      <c r="D3872" t="inlineStr">
        <is>
          <t>UPPSALA LÄN</t>
        </is>
      </c>
      <c r="E3872" t="inlineStr">
        <is>
          <t>HEBY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30634-2022</t>
        </is>
      </c>
      <c r="B3873" s="1" t="n">
        <v>44763.45711805556</v>
      </c>
      <c r="C3873" s="1" t="n">
        <v>46098</v>
      </c>
      <c r="D3873" t="inlineStr">
        <is>
          <t>UPPSALA LÄN</t>
        </is>
      </c>
      <c r="E3873" t="inlineStr">
        <is>
          <t>ENKÖPING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54666-2022</t>
        </is>
      </c>
      <c r="B3874" s="1" t="n">
        <v>44883</v>
      </c>
      <c r="C3874" s="1" t="n">
        <v>46098</v>
      </c>
      <c r="D3874" t="inlineStr">
        <is>
          <t>UPPSALA LÄN</t>
        </is>
      </c>
      <c r="E3874" t="inlineStr">
        <is>
          <t>ÖSTHAMMAR</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18259-2025</t>
        </is>
      </c>
      <c r="B3875" s="1" t="n">
        <v>45762</v>
      </c>
      <c r="C3875" s="1" t="n">
        <v>46098</v>
      </c>
      <c r="D3875" t="inlineStr">
        <is>
          <t>UPPSALA LÄN</t>
        </is>
      </c>
      <c r="E3875" t="inlineStr">
        <is>
          <t>ENKÖPING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11060-2025</t>
        </is>
      </c>
      <c r="B3876" s="1" t="n">
        <v>45723.51342592593</v>
      </c>
      <c r="C3876" s="1" t="n">
        <v>46098</v>
      </c>
      <c r="D3876" t="inlineStr">
        <is>
          <t>UPPSALA LÄN</t>
        </is>
      </c>
      <c r="E3876" t="inlineStr">
        <is>
          <t>HEBY</t>
        </is>
      </c>
      <c r="F3876" t="inlineStr">
        <is>
          <t>Kyrkan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11074-2025</t>
        </is>
      </c>
      <c r="B3877" s="1" t="n">
        <v>45723.55184027777</v>
      </c>
      <c r="C3877" s="1" t="n">
        <v>46098</v>
      </c>
      <c r="D3877" t="inlineStr">
        <is>
          <t>UPPSALA LÄN</t>
        </is>
      </c>
      <c r="E3877" t="inlineStr">
        <is>
          <t>HEBY</t>
        </is>
      </c>
      <c r="F3877" t="inlineStr">
        <is>
          <t>Kyrkan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7276-2024</t>
        </is>
      </c>
      <c r="B3878" s="1" t="n">
        <v>45344</v>
      </c>
      <c r="C3878" s="1" t="n">
        <v>46098</v>
      </c>
      <c r="D3878" t="inlineStr">
        <is>
          <t>UPPSALA LÄN</t>
        </is>
      </c>
      <c r="E3878" t="inlineStr">
        <is>
          <t>UPPSALA</t>
        </is>
      </c>
      <c r="F3878" t="inlineStr">
        <is>
          <t>Bergvik skog öst AB</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61817-2021</t>
        </is>
      </c>
      <c r="B3879" s="1" t="n">
        <v>44501.76855324074</v>
      </c>
      <c r="C3879" s="1" t="n">
        <v>46098</v>
      </c>
      <c r="D3879" t="inlineStr">
        <is>
          <t>UPPSALA LÄN</t>
        </is>
      </c>
      <c r="E3879" t="inlineStr">
        <is>
          <t>ÖSTHAMMAR</t>
        </is>
      </c>
      <c r="F3879" t="inlineStr">
        <is>
          <t>Bergvik skog öst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39608-2022</t>
        </is>
      </c>
      <c r="B3880" s="1" t="n">
        <v>44817</v>
      </c>
      <c r="C3880" s="1" t="n">
        <v>46098</v>
      </c>
      <c r="D3880" t="inlineStr">
        <is>
          <t>UPPSALA LÄN</t>
        </is>
      </c>
      <c r="E3880" t="inlineStr">
        <is>
          <t>UPPSALA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14004-2023</t>
        </is>
      </c>
      <c r="B3881" s="1" t="n">
        <v>45008</v>
      </c>
      <c r="C3881" s="1" t="n">
        <v>46098</v>
      </c>
      <c r="D3881" t="inlineStr">
        <is>
          <t>UPPSALA LÄN</t>
        </is>
      </c>
      <c r="E3881" t="inlineStr">
        <is>
          <t>ENKÖPING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54437-2024</t>
        </is>
      </c>
      <c r="B3882" s="1" t="n">
        <v>45617</v>
      </c>
      <c r="C3882" s="1" t="n">
        <v>46098</v>
      </c>
      <c r="D3882" t="inlineStr">
        <is>
          <t>UPPSALA LÄN</t>
        </is>
      </c>
      <c r="E3882" t="inlineStr">
        <is>
          <t>ÖSTHAMMAR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9052-2023</t>
        </is>
      </c>
      <c r="B3883" s="1" t="n">
        <v>44979</v>
      </c>
      <c r="C3883" s="1" t="n">
        <v>46098</v>
      </c>
      <c r="D3883" t="inlineStr">
        <is>
          <t>UPPSALA LÄN</t>
        </is>
      </c>
      <c r="E3883" t="inlineStr">
        <is>
          <t>ÖSTHAMMAR</t>
        </is>
      </c>
      <c r="F3883" t="inlineStr">
        <is>
          <t>Kyrkan</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11162-2022</t>
        </is>
      </c>
      <c r="B3884" s="1" t="n">
        <v>44629.42423611111</v>
      </c>
      <c r="C3884" s="1" t="n">
        <v>46098</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28152-2024</t>
        </is>
      </c>
      <c r="B3885" s="1" t="n">
        <v>45476.77056712963</v>
      </c>
      <c r="C3885" s="1" t="n">
        <v>46098</v>
      </c>
      <c r="D3885" t="inlineStr">
        <is>
          <t>UPPSALA LÄN</t>
        </is>
      </c>
      <c r="E3885" t="inlineStr">
        <is>
          <t>ÖSTHAMMAR</t>
        </is>
      </c>
      <c r="F3885" t="inlineStr">
        <is>
          <t>Bergvik skog öst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12489-2024</t>
        </is>
      </c>
      <c r="B3886" s="1" t="n">
        <v>45379.55935185185</v>
      </c>
      <c r="C3886" s="1" t="n">
        <v>46098</v>
      </c>
      <c r="D3886" t="inlineStr">
        <is>
          <t>UPPSALA LÄN</t>
        </is>
      </c>
      <c r="E3886" t="inlineStr">
        <is>
          <t>HEBY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20326-2021</t>
        </is>
      </c>
      <c r="B3887" s="1" t="n">
        <v>44308</v>
      </c>
      <c r="C3887" s="1" t="n">
        <v>46098</v>
      </c>
      <c r="D3887" t="inlineStr">
        <is>
          <t>UPPSALA LÄN</t>
        </is>
      </c>
      <c r="E3887" t="inlineStr">
        <is>
          <t>ÖSTHAMMAR</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1731-2022</t>
        </is>
      </c>
      <c r="B3888" s="1" t="n">
        <v>44574</v>
      </c>
      <c r="C3888" s="1" t="n">
        <v>46098</v>
      </c>
      <c r="D3888" t="inlineStr">
        <is>
          <t>UPPSALA LÄN</t>
        </is>
      </c>
      <c r="E3888" t="inlineStr">
        <is>
          <t>UPPSALA</t>
        </is>
      </c>
      <c r="G3888" t="n">
        <v>10.1</v>
      </c>
      <c r="H3888" t="n">
        <v>0</v>
      </c>
      <c r="I3888" t="n">
        <v>0</v>
      </c>
      <c r="J3888" t="n">
        <v>0</v>
      </c>
      <c r="K3888" t="n">
        <v>0</v>
      </c>
      <c r="L3888" t="n">
        <v>0</v>
      </c>
      <c r="M3888" t="n">
        <v>0</v>
      </c>
      <c r="N3888" t="n">
        <v>0</v>
      </c>
      <c r="O3888" t="n">
        <v>0</v>
      </c>
      <c r="P3888" t="n">
        <v>0</v>
      </c>
      <c r="Q3888" t="n">
        <v>0</v>
      </c>
      <c r="R3888" s="2" t="inlineStr"/>
    </row>
    <row r="3889" ht="15" customHeight="1">
      <c r="A3889" t="inlineStr">
        <is>
          <t>A 52005-2024</t>
        </is>
      </c>
      <c r="B3889" s="1" t="n">
        <v>45607.7627662037</v>
      </c>
      <c r="C3889" s="1" t="n">
        <v>46098</v>
      </c>
      <c r="D3889" t="inlineStr">
        <is>
          <t>UPPSALA LÄN</t>
        </is>
      </c>
      <c r="E3889" t="inlineStr">
        <is>
          <t>ENKÖPING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1960-2022</t>
        </is>
      </c>
      <c r="B3890" s="1" t="n">
        <v>44575</v>
      </c>
      <c r="C3890" s="1" t="n">
        <v>46098</v>
      </c>
      <c r="D3890" t="inlineStr">
        <is>
          <t>UPPSALA LÄN</t>
        </is>
      </c>
      <c r="E3890" t="inlineStr">
        <is>
          <t>ENKÖPING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56946-2023</t>
        </is>
      </c>
      <c r="B3891" s="1" t="n">
        <v>45244.6134837963</v>
      </c>
      <c r="C3891" s="1" t="n">
        <v>46098</v>
      </c>
      <c r="D3891" t="inlineStr">
        <is>
          <t>UPPSALA LÄN</t>
        </is>
      </c>
      <c r="E3891" t="inlineStr">
        <is>
          <t>TIERP</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27068-2023</t>
        </is>
      </c>
      <c r="B3892" s="1" t="n">
        <v>45096</v>
      </c>
      <c r="C3892" s="1" t="n">
        <v>46098</v>
      </c>
      <c r="D3892" t="inlineStr">
        <is>
          <t>UPPSALA LÄN</t>
        </is>
      </c>
      <c r="E3892" t="inlineStr">
        <is>
          <t>UPPSALA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1755-2022</t>
        </is>
      </c>
      <c r="B3893" s="1" t="n">
        <v>44574</v>
      </c>
      <c r="C3893" s="1" t="n">
        <v>46098</v>
      </c>
      <c r="D3893" t="inlineStr">
        <is>
          <t>UPPSALA LÄN</t>
        </is>
      </c>
      <c r="E3893" t="inlineStr">
        <is>
          <t>HEBY</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56398-2023</t>
        </is>
      </c>
      <c r="B3894" s="1" t="n">
        <v>45243.42628472222</v>
      </c>
      <c r="C3894" s="1" t="n">
        <v>46098</v>
      </c>
      <c r="D3894" t="inlineStr">
        <is>
          <t>UPPSALA LÄN</t>
        </is>
      </c>
      <c r="E3894" t="inlineStr">
        <is>
          <t>HEBY</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45878-2024</t>
        </is>
      </c>
      <c r="B3895" s="1" t="n">
        <v>45580</v>
      </c>
      <c r="C3895" s="1" t="n">
        <v>46098</v>
      </c>
      <c r="D3895" t="inlineStr">
        <is>
          <t>UPPSALA LÄN</t>
        </is>
      </c>
      <c r="E3895" t="inlineStr">
        <is>
          <t>UPPSALA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43-2024</t>
        </is>
      </c>
      <c r="B3896" s="1" t="n">
        <v>45293</v>
      </c>
      <c r="C3896" s="1" t="n">
        <v>46098</v>
      </c>
      <c r="D3896" t="inlineStr">
        <is>
          <t>UPPSALA LÄN</t>
        </is>
      </c>
      <c r="E3896" t="inlineStr">
        <is>
          <t>UPPSALA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62044-2024</t>
        </is>
      </c>
      <c r="B3897" s="1" t="n">
        <v>45656</v>
      </c>
      <c r="C3897" s="1" t="n">
        <v>46098</v>
      </c>
      <c r="D3897" t="inlineStr">
        <is>
          <t>UPPSALA LÄN</t>
        </is>
      </c>
      <c r="E3897" t="inlineStr">
        <is>
          <t>UPPSALA</t>
        </is>
      </c>
      <c r="F3897" t="inlineStr">
        <is>
          <t>Övriga statliga verk och myndigheter</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44762-2023</t>
        </is>
      </c>
      <c r="B3898" s="1" t="n">
        <v>45190</v>
      </c>
      <c r="C3898" s="1" t="n">
        <v>46098</v>
      </c>
      <c r="D3898" t="inlineStr">
        <is>
          <t>UPPSALA LÄN</t>
        </is>
      </c>
      <c r="E3898" t="inlineStr">
        <is>
          <t>TIERP</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31569-2023</t>
        </is>
      </c>
      <c r="B3899" s="1" t="n">
        <v>45117</v>
      </c>
      <c r="C3899" s="1" t="n">
        <v>46098</v>
      </c>
      <c r="D3899" t="inlineStr">
        <is>
          <t>UPPSALA LÄN</t>
        </is>
      </c>
      <c r="E3899" t="inlineStr">
        <is>
          <t>HEBY</t>
        </is>
      </c>
      <c r="G3899" t="n">
        <v>2.5</v>
      </c>
      <c r="H3899" t="n">
        <v>0</v>
      </c>
      <c r="I3899" t="n">
        <v>0</v>
      </c>
      <c r="J3899" t="n">
        <v>0</v>
      </c>
      <c r="K3899" t="n">
        <v>0</v>
      </c>
      <c r="L3899" t="n">
        <v>0</v>
      </c>
      <c r="M3899" t="n">
        <v>0</v>
      </c>
      <c r="N3899" t="n">
        <v>0</v>
      </c>
      <c r="O3899" t="n">
        <v>0</v>
      </c>
      <c r="P3899" t="n">
        <v>0</v>
      </c>
      <c r="Q3899" t="n">
        <v>0</v>
      </c>
      <c r="R3899" s="2" t="inlineStr"/>
      <c r="U3899">
        <f>HYPERLINK("https://klasma.github.io/Logging_0331/knärot/A 31569-2023 karta knärot.png", "A 31569-2023")</f>
        <v/>
      </c>
      <c r="V3899">
        <f>HYPERLINK("https://klasma.github.io/Logging_0331/klagomål/A 31569-2023 FSC-klagomål.docx", "A 31569-2023")</f>
        <v/>
      </c>
      <c r="W3899">
        <f>HYPERLINK("https://klasma.github.io/Logging_0331/klagomålsmail/A 31569-2023 FSC-klagomål mail.docx", "A 31569-2023")</f>
        <v/>
      </c>
      <c r="X3899">
        <f>HYPERLINK("https://klasma.github.io/Logging_0331/tillsyn/A 31569-2023 tillsynsbegäran.docx", "A 31569-2023")</f>
        <v/>
      </c>
      <c r="Y3899">
        <f>HYPERLINK("https://klasma.github.io/Logging_0331/tillsynsmail/A 31569-2023 tillsynsbegäran mail.docx", "A 31569-2023")</f>
        <v/>
      </c>
    </row>
    <row r="3900" ht="15" customHeight="1">
      <c r="A3900" t="inlineStr">
        <is>
          <t>A 17587-2025</t>
        </is>
      </c>
      <c r="B3900" s="1" t="n">
        <v>45757.67611111111</v>
      </c>
      <c r="C3900" s="1" t="n">
        <v>46098</v>
      </c>
      <c r="D3900" t="inlineStr">
        <is>
          <t>UPPSALA LÄN</t>
        </is>
      </c>
      <c r="E3900" t="inlineStr">
        <is>
          <t>UPPSALA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17643-2025</t>
        </is>
      </c>
      <c r="B3901" s="1" t="n">
        <v>45758.32454861111</v>
      </c>
      <c r="C3901" s="1" t="n">
        <v>46098</v>
      </c>
      <c r="D3901" t="inlineStr">
        <is>
          <t>UPPSALA LÄN</t>
        </is>
      </c>
      <c r="E3901" t="inlineStr">
        <is>
          <t>ÖSTHAMMAR</t>
        </is>
      </c>
      <c r="F3901" t="inlineStr">
        <is>
          <t>Bergvik skog väst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12262-2023</t>
        </is>
      </c>
      <c r="B3902" s="1" t="n">
        <v>44998.66662037037</v>
      </c>
      <c r="C3902" s="1" t="n">
        <v>46098</v>
      </c>
      <c r="D3902" t="inlineStr">
        <is>
          <t>UPPSALA LÄN</t>
        </is>
      </c>
      <c r="E3902" t="inlineStr">
        <is>
          <t>ÖSTHAMMAR</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26815-2022</t>
        </is>
      </c>
      <c r="B3903" s="1" t="n">
        <v>44740.44644675926</v>
      </c>
      <c r="C3903" s="1" t="n">
        <v>46098</v>
      </c>
      <c r="D3903" t="inlineStr">
        <is>
          <t>UPPSALA LÄN</t>
        </is>
      </c>
      <c r="E3903" t="inlineStr">
        <is>
          <t>ÄLVKARLEBY</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3641-2022</t>
        </is>
      </c>
      <c r="B3904" s="1" t="n">
        <v>44586.45454861111</v>
      </c>
      <c r="C3904" s="1" t="n">
        <v>46098</v>
      </c>
      <c r="D3904" t="inlineStr">
        <is>
          <t>UPPSALA LÄN</t>
        </is>
      </c>
      <c r="E3904" t="inlineStr">
        <is>
          <t>HEBY</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74495-2021</t>
        </is>
      </c>
      <c r="B3905" s="1" t="n">
        <v>44560</v>
      </c>
      <c r="C3905" s="1" t="n">
        <v>46098</v>
      </c>
      <c r="D3905" t="inlineStr">
        <is>
          <t>UPPSALA LÄN</t>
        </is>
      </c>
      <c r="E3905" t="inlineStr">
        <is>
          <t>UPPSALA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49647-2022</t>
        </is>
      </c>
      <c r="B3906" s="1" t="n">
        <v>44862</v>
      </c>
      <c r="C3906" s="1" t="n">
        <v>46098</v>
      </c>
      <c r="D3906" t="inlineStr">
        <is>
          <t>UPPSALA LÄN</t>
        </is>
      </c>
      <c r="E3906" t="inlineStr">
        <is>
          <t>TIERP</t>
        </is>
      </c>
      <c r="F3906" t="inlineStr">
        <is>
          <t>Bergvik skog väst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12885-2024</t>
        </is>
      </c>
      <c r="B3907" s="1" t="n">
        <v>45385</v>
      </c>
      <c r="C3907" s="1" t="n">
        <v>46098</v>
      </c>
      <c r="D3907" t="inlineStr">
        <is>
          <t>UPPSALA LÄN</t>
        </is>
      </c>
      <c r="E3907" t="inlineStr">
        <is>
          <t>TIERP</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46920-2021</t>
        </is>
      </c>
      <c r="B3908" s="1" t="n">
        <v>44446</v>
      </c>
      <c r="C3908" s="1" t="n">
        <v>46098</v>
      </c>
      <c r="D3908" t="inlineStr">
        <is>
          <t>UPPSALA LÄN</t>
        </is>
      </c>
      <c r="E3908" t="inlineStr">
        <is>
          <t>UPPSALA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41478-2024</t>
        </is>
      </c>
      <c r="B3909" s="1" t="n">
        <v>45560.44158564815</v>
      </c>
      <c r="C3909" s="1" t="n">
        <v>46098</v>
      </c>
      <c r="D3909" t="inlineStr">
        <is>
          <t>UPPSALA LÄN</t>
        </is>
      </c>
      <c r="E3909" t="inlineStr">
        <is>
          <t>ÖSTHAMMAR</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59486-2021</t>
        </is>
      </c>
      <c r="B3910" s="1" t="n">
        <v>44491</v>
      </c>
      <c r="C3910" s="1" t="n">
        <v>46098</v>
      </c>
      <c r="D3910" t="inlineStr">
        <is>
          <t>UPPSALA LÄN</t>
        </is>
      </c>
      <c r="E3910" t="inlineStr">
        <is>
          <t>HEBY</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719-2025</t>
        </is>
      </c>
      <c r="B3911" s="1" t="n">
        <v>45665.37409722222</v>
      </c>
      <c r="C3911" s="1" t="n">
        <v>46098</v>
      </c>
      <c r="D3911" t="inlineStr">
        <is>
          <t>UPPSALA LÄN</t>
        </is>
      </c>
      <c r="E3911" t="inlineStr">
        <is>
          <t>HEBY</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5189-2022</t>
        </is>
      </c>
      <c r="B3912" s="1" t="n">
        <v>44594</v>
      </c>
      <c r="C3912" s="1" t="n">
        <v>46098</v>
      </c>
      <c r="D3912" t="inlineStr">
        <is>
          <t>UPPSALA LÄN</t>
        </is>
      </c>
      <c r="E3912" t="inlineStr">
        <is>
          <t>UPPSALA</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19840-2022</t>
        </is>
      </c>
      <c r="B3913" s="1" t="n">
        <v>44696</v>
      </c>
      <c r="C3913" s="1" t="n">
        <v>46098</v>
      </c>
      <c r="D3913" t="inlineStr">
        <is>
          <t>UPPSALA LÄN</t>
        </is>
      </c>
      <c r="E3913" t="inlineStr">
        <is>
          <t>TIERP</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16141-2022</t>
        </is>
      </c>
      <c r="B3914" s="1" t="n">
        <v>44665</v>
      </c>
      <c r="C3914" s="1" t="n">
        <v>46098</v>
      </c>
      <c r="D3914" t="inlineStr">
        <is>
          <t>UPPSALA LÄN</t>
        </is>
      </c>
      <c r="E3914" t="inlineStr">
        <is>
          <t>ÖSTHAMMAR</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39812-2024</t>
        </is>
      </c>
      <c r="B3915" s="1" t="n">
        <v>45552</v>
      </c>
      <c r="C3915" s="1" t="n">
        <v>46098</v>
      </c>
      <c r="D3915" t="inlineStr">
        <is>
          <t>UPPSALA LÄN</t>
        </is>
      </c>
      <c r="E3915" t="inlineStr">
        <is>
          <t>UPPSALA</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49621-2024</t>
        </is>
      </c>
      <c r="B3916" s="1" t="n">
        <v>45596</v>
      </c>
      <c r="C3916" s="1" t="n">
        <v>46098</v>
      </c>
      <c r="D3916" t="inlineStr">
        <is>
          <t>UPPSALA LÄN</t>
        </is>
      </c>
      <c r="E3916" t="inlineStr">
        <is>
          <t>HEBY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49627-2024</t>
        </is>
      </c>
      <c r="B3917" s="1" t="n">
        <v>45596.59140046296</v>
      </c>
      <c r="C3917" s="1" t="n">
        <v>46098</v>
      </c>
      <c r="D3917" t="inlineStr">
        <is>
          <t>UPPSALA LÄN</t>
        </is>
      </c>
      <c r="E3917" t="inlineStr">
        <is>
          <t>ENKÖPING</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57998-2024</t>
        </is>
      </c>
      <c r="B3918" s="1" t="n">
        <v>45631</v>
      </c>
      <c r="C3918" s="1" t="n">
        <v>46098</v>
      </c>
      <c r="D3918" t="inlineStr">
        <is>
          <t>UPPSALA LÄN</t>
        </is>
      </c>
      <c r="E3918" t="inlineStr">
        <is>
          <t>ENKÖPING</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34922-2023</t>
        </is>
      </c>
      <c r="B3919" s="1" t="n">
        <v>45142.48359953704</v>
      </c>
      <c r="C3919" s="1" t="n">
        <v>46098</v>
      </c>
      <c r="D3919" t="inlineStr">
        <is>
          <t>UPPSALA LÄN</t>
        </is>
      </c>
      <c r="E3919" t="inlineStr">
        <is>
          <t>ÖSTHAMMAR</t>
        </is>
      </c>
      <c r="F3919" t="inlineStr">
        <is>
          <t>Bergvik skog öst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18677-2024</t>
        </is>
      </c>
      <c r="B3920" s="1" t="n">
        <v>45426</v>
      </c>
      <c r="C3920" s="1" t="n">
        <v>46098</v>
      </c>
      <c r="D3920" t="inlineStr">
        <is>
          <t>UPPSALA LÄN</t>
        </is>
      </c>
      <c r="E3920" t="inlineStr">
        <is>
          <t>UPPSALA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9667-2024</t>
        </is>
      </c>
      <c r="B3921" s="1" t="n">
        <v>45362.45130787037</v>
      </c>
      <c r="C3921" s="1" t="n">
        <v>46098</v>
      </c>
      <c r="D3921" t="inlineStr">
        <is>
          <t>UPPSALA LÄN</t>
        </is>
      </c>
      <c r="E3921" t="inlineStr">
        <is>
          <t>ENKÖPING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36483-2024</t>
        </is>
      </c>
      <c r="B3922" s="1" t="n">
        <v>45537</v>
      </c>
      <c r="C3922" s="1" t="n">
        <v>46098</v>
      </c>
      <c r="D3922" t="inlineStr">
        <is>
          <t>UPPSALA LÄN</t>
        </is>
      </c>
      <c r="E3922" t="inlineStr">
        <is>
          <t>HEBY</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60702-2022</t>
        </is>
      </c>
      <c r="B3923" s="1" t="n">
        <v>44912.29869212963</v>
      </c>
      <c r="C3923" s="1" t="n">
        <v>46098</v>
      </c>
      <c r="D3923" t="inlineStr">
        <is>
          <t>UPPSALA LÄN</t>
        </is>
      </c>
      <c r="E3923" t="inlineStr">
        <is>
          <t>UPPSALA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60461-2022</t>
        </is>
      </c>
      <c r="B3924" s="1" t="n">
        <v>44911</v>
      </c>
      <c r="C3924" s="1" t="n">
        <v>46098</v>
      </c>
      <c r="D3924" t="inlineStr">
        <is>
          <t>UPPSALA LÄN</t>
        </is>
      </c>
      <c r="E3924" t="inlineStr">
        <is>
          <t>HEBY</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35645-2021</t>
        </is>
      </c>
      <c r="B3925" s="1" t="n">
        <v>44386.42</v>
      </c>
      <c r="C3925" s="1" t="n">
        <v>46098</v>
      </c>
      <c r="D3925" t="inlineStr">
        <is>
          <t>UPPSALA LÄN</t>
        </is>
      </c>
      <c r="E3925" t="inlineStr">
        <is>
          <t>ENKÖPING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6930-2023</t>
        </is>
      </c>
      <c r="B3926" s="1" t="n">
        <v>44967.55960648148</v>
      </c>
      <c r="C3926" s="1" t="n">
        <v>46098</v>
      </c>
      <c r="D3926" t="inlineStr">
        <is>
          <t>UPPSALA LÄN</t>
        </is>
      </c>
      <c r="E3926" t="inlineStr">
        <is>
          <t>UPPSALA</t>
        </is>
      </c>
      <c r="G3926" t="n">
        <v>8.800000000000001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23495-2023</t>
        </is>
      </c>
      <c r="B3927" s="1" t="n">
        <v>45076.71652777777</v>
      </c>
      <c r="C3927" s="1" t="n">
        <v>46098</v>
      </c>
      <c r="D3927" t="inlineStr">
        <is>
          <t>UPPSALA LÄN</t>
        </is>
      </c>
      <c r="E3927" t="inlineStr">
        <is>
          <t>ÖSTHAMMAR</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8877-2022</t>
        </is>
      </c>
      <c r="B3928" s="1" t="n">
        <v>44614.59027777778</v>
      </c>
      <c r="C3928" s="1" t="n">
        <v>46098</v>
      </c>
      <c r="D3928" t="inlineStr">
        <is>
          <t>UPPSALA LÄN</t>
        </is>
      </c>
      <c r="E3928" t="inlineStr">
        <is>
          <t>UPPSALA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554-2023</t>
        </is>
      </c>
      <c r="B3929" s="1" t="n">
        <v>44930</v>
      </c>
      <c r="C3929" s="1" t="n">
        <v>46098</v>
      </c>
      <c r="D3929" t="inlineStr">
        <is>
          <t>UPPSALA LÄN</t>
        </is>
      </c>
      <c r="E3929" t="inlineStr">
        <is>
          <t>UPPSALA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3368-2024</t>
        </is>
      </c>
      <c r="B3930" s="1" t="n">
        <v>45317</v>
      </c>
      <c r="C3930" s="1" t="n">
        <v>46098</v>
      </c>
      <c r="D3930" t="inlineStr">
        <is>
          <t>UPPSALA LÄN</t>
        </is>
      </c>
      <c r="E3930" t="inlineStr">
        <is>
          <t>HEBY</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9043-2023</t>
        </is>
      </c>
      <c r="B3931" s="1" t="n">
        <v>44979.66287037037</v>
      </c>
      <c r="C3931" s="1" t="n">
        <v>46098</v>
      </c>
      <c r="D3931" t="inlineStr">
        <is>
          <t>UPPSALA LÄN</t>
        </is>
      </c>
      <c r="E3931" t="inlineStr">
        <is>
          <t>HEBY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27879-2023</t>
        </is>
      </c>
      <c r="B3932" s="1" t="n">
        <v>45098.59533564815</v>
      </c>
      <c r="C3932" s="1" t="n">
        <v>46098</v>
      </c>
      <c r="D3932" t="inlineStr">
        <is>
          <t>UPPSALA LÄN</t>
        </is>
      </c>
      <c r="E3932" t="inlineStr">
        <is>
          <t>HEBY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27903-2023</t>
        </is>
      </c>
      <c r="B3933" s="1" t="n">
        <v>45098.62966435185</v>
      </c>
      <c r="C3933" s="1" t="n">
        <v>46098</v>
      </c>
      <c r="D3933" t="inlineStr">
        <is>
          <t>UPPSALA LÄN</t>
        </is>
      </c>
      <c r="E3933" t="inlineStr">
        <is>
          <t>UPPSALA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17250-2025</t>
        </is>
      </c>
      <c r="B3934" s="1" t="n">
        <v>45756.50738425926</v>
      </c>
      <c r="C3934" s="1" t="n">
        <v>46098</v>
      </c>
      <c r="D3934" t="inlineStr">
        <is>
          <t>UPPSALA LÄN</t>
        </is>
      </c>
      <c r="E3934" t="inlineStr">
        <is>
          <t>UPPSALA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43908-2023</t>
        </is>
      </c>
      <c r="B3935" s="1" t="n">
        <v>45187</v>
      </c>
      <c r="C3935" s="1" t="n">
        <v>46098</v>
      </c>
      <c r="D3935" t="inlineStr">
        <is>
          <t>UPPSALA LÄN</t>
        </is>
      </c>
      <c r="E3935" t="inlineStr">
        <is>
          <t>KNIVSTA</t>
        </is>
      </c>
      <c r="F3935" t="inlineStr">
        <is>
          <t>Kyrkan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14784-2023</t>
        </is>
      </c>
      <c r="B3936" s="1" t="n">
        <v>45014</v>
      </c>
      <c r="C3936" s="1" t="n">
        <v>46098</v>
      </c>
      <c r="D3936" t="inlineStr">
        <is>
          <t>UPPSALA LÄN</t>
        </is>
      </c>
      <c r="E3936" t="inlineStr">
        <is>
          <t>UPPSALA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15711-2025</t>
        </is>
      </c>
      <c r="B3937" s="1" t="n">
        <v>45748</v>
      </c>
      <c r="C3937" s="1" t="n">
        <v>46098</v>
      </c>
      <c r="D3937" t="inlineStr">
        <is>
          <t>UPPSALA LÄN</t>
        </is>
      </c>
      <c r="E3937" t="inlineStr">
        <is>
          <t>ENKÖPING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41422-2023</t>
        </is>
      </c>
      <c r="B3938" s="1" t="n">
        <v>45175</v>
      </c>
      <c r="C3938" s="1" t="n">
        <v>46098</v>
      </c>
      <c r="D3938" t="inlineStr">
        <is>
          <t>UPPSALA LÄN</t>
        </is>
      </c>
      <c r="E3938" t="inlineStr">
        <is>
          <t>UPPSALA</t>
        </is>
      </c>
      <c r="F3938" t="inlineStr">
        <is>
          <t>Kyrkan</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27473-2024</t>
        </is>
      </c>
      <c r="B3939" s="1" t="n">
        <v>45474</v>
      </c>
      <c r="C3939" s="1" t="n">
        <v>46098</v>
      </c>
      <c r="D3939" t="inlineStr">
        <is>
          <t>UPPSALA LÄN</t>
        </is>
      </c>
      <c r="E3939" t="inlineStr">
        <is>
          <t>UPPSALA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38233-2024</t>
        </is>
      </c>
      <c r="B3940" s="1" t="n">
        <v>45545</v>
      </c>
      <c r="C3940" s="1" t="n">
        <v>46098</v>
      </c>
      <c r="D3940" t="inlineStr">
        <is>
          <t>UPPSALA LÄN</t>
        </is>
      </c>
      <c r="E3940" t="inlineStr">
        <is>
          <t>ÖSTHAMMAR</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28318-2024</t>
        </is>
      </c>
      <c r="B3941" s="1" t="n">
        <v>45477</v>
      </c>
      <c r="C3941" s="1" t="n">
        <v>46098</v>
      </c>
      <c r="D3941" t="inlineStr">
        <is>
          <t>UPPSALA LÄN</t>
        </is>
      </c>
      <c r="E3941" t="inlineStr">
        <is>
          <t>ENKÖPING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17947-2022</t>
        </is>
      </c>
      <c r="B3942" s="1" t="n">
        <v>44683</v>
      </c>
      <c r="C3942" s="1" t="n">
        <v>46098</v>
      </c>
      <c r="D3942" t="inlineStr">
        <is>
          <t>UPPSALA LÄN</t>
        </is>
      </c>
      <c r="E3942" t="inlineStr">
        <is>
          <t>ÖSTHAMMAR</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57880-2024</t>
        </is>
      </c>
      <c r="B3943" s="1" t="n">
        <v>45631</v>
      </c>
      <c r="C3943" s="1" t="n">
        <v>46098</v>
      </c>
      <c r="D3943" t="inlineStr">
        <is>
          <t>UPPSALA LÄN</t>
        </is>
      </c>
      <c r="E3943" t="inlineStr">
        <is>
          <t>HEBY</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30742-2021</t>
        </is>
      </c>
      <c r="B3944" s="1" t="n">
        <v>44365</v>
      </c>
      <c r="C3944" s="1" t="n">
        <v>46098</v>
      </c>
      <c r="D3944" t="inlineStr">
        <is>
          <t>UPPSALA LÄN</t>
        </is>
      </c>
      <c r="E3944" t="inlineStr">
        <is>
          <t>TIERP</t>
        </is>
      </c>
      <c r="F3944" t="inlineStr">
        <is>
          <t>Bergvik skog väst AB</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45662-2023</t>
        </is>
      </c>
      <c r="B3945" s="1" t="n">
        <v>45194</v>
      </c>
      <c r="C3945" s="1" t="n">
        <v>46098</v>
      </c>
      <c r="D3945" t="inlineStr">
        <is>
          <t>UPPSALA LÄN</t>
        </is>
      </c>
      <c r="E3945" t="inlineStr">
        <is>
          <t>UPPSALA</t>
        </is>
      </c>
      <c r="F3945" t="inlineStr">
        <is>
          <t>Bergvik skog öst AB</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56884-2022</t>
        </is>
      </c>
      <c r="B3946" s="1" t="n">
        <v>44888</v>
      </c>
      <c r="C3946" s="1" t="n">
        <v>46098</v>
      </c>
      <c r="D3946" t="inlineStr">
        <is>
          <t>UPPSALA LÄN</t>
        </is>
      </c>
      <c r="E3946" t="inlineStr">
        <is>
          <t>HEBY</t>
        </is>
      </c>
      <c r="F3946" t="inlineStr">
        <is>
          <t>Bergvik skog väst AB</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69344-2021</t>
        </is>
      </c>
      <c r="B3947" s="1" t="n">
        <v>44531</v>
      </c>
      <c r="C3947" s="1" t="n">
        <v>46098</v>
      </c>
      <c r="D3947" t="inlineStr">
        <is>
          <t>UPPSALA LÄN</t>
        </is>
      </c>
      <c r="E3947" t="inlineStr">
        <is>
          <t>ENKÖPING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39865-2022</t>
        </is>
      </c>
      <c r="B3948" s="1" t="n">
        <v>44819.62</v>
      </c>
      <c r="C3948" s="1" t="n">
        <v>46098</v>
      </c>
      <c r="D3948" t="inlineStr">
        <is>
          <t>UPPSALA LÄN</t>
        </is>
      </c>
      <c r="E3948" t="inlineStr">
        <is>
          <t>UPPSALA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22798-2023</t>
        </is>
      </c>
      <c r="B3949" s="1" t="n">
        <v>45072</v>
      </c>
      <c r="C3949" s="1" t="n">
        <v>46098</v>
      </c>
      <c r="D3949" t="inlineStr">
        <is>
          <t>UPPSALA LÄN</t>
        </is>
      </c>
      <c r="E3949" t="inlineStr">
        <is>
          <t>ÖSTHAMMAR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11547-2022</t>
        </is>
      </c>
      <c r="B3950" s="1" t="n">
        <v>44631.43116898148</v>
      </c>
      <c r="C3950" s="1" t="n">
        <v>46098</v>
      </c>
      <c r="D3950" t="inlineStr">
        <is>
          <t>UPPSALA LÄN</t>
        </is>
      </c>
      <c r="E3950" t="inlineStr">
        <is>
          <t>ÖSTHAMMAR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8783-2023</t>
        </is>
      </c>
      <c r="B3951" s="1" t="n">
        <v>44978.58017361111</v>
      </c>
      <c r="C3951" s="1" t="n">
        <v>46098</v>
      </c>
      <c r="D3951" t="inlineStr">
        <is>
          <t>UPPSALA LÄN</t>
        </is>
      </c>
      <c r="E3951" t="inlineStr">
        <is>
          <t>HEBY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4561-2022</t>
        </is>
      </c>
      <c r="B3952" s="1" t="n">
        <v>44591.59170138889</v>
      </c>
      <c r="C3952" s="1" t="n">
        <v>46098</v>
      </c>
      <c r="D3952" t="inlineStr">
        <is>
          <t>UPPSALA LÄN</t>
        </is>
      </c>
      <c r="E3952" t="inlineStr">
        <is>
          <t>ÖSTHAMMAR</t>
        </is>
      </c>
      <c r="F3952" t="inlineStr">
        <is>
          <t>Bergvik skog öst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5899-2024</t>
        </is>
      </c>
      <c r="B3953" s="1" t="n">
        <v>45335</v>
      </c>
      <c r="C3953" s="1" t="n">
        <v>46098</v>
      </c>
      <c r="D3953" t="inlineStr">
        <is>
          <t>UPPSALA LÄN</t>
        </is>
      </c>
      <c r="E3953" t="inlineStr">
        <is>
          <t>UPPSALA</t>
        </is>
      </c>
      <c r="F3953" t="inlineStr">
        <is>
          <t>Allmännings- och besparingsskogar</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23741-2024</t>
        </is>
      </c>
      <c r="B3954" s="1" t="n">
        <v>45455</v>
      </c>
      <c r="C3954" s="1" t="n">
        <v>46098</v>
      </c>
      <c r="D3954" t="inlineStr">
        <is>
          <t>UPPSALA LÄN</t>
        </is>
      </c>
      <c r="E3954" t="inlineStr">
        <is>
          <t>ÖSTHAMMAR</t>
        </is>
      </c>
      <c r="F3954" t="inlineStr">
        <is>
          <t>Bergvik skog öst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51524-2022</t>
        </is>
      </c>
      <c r="B3955" s="1" t="n">
        <v>44869</v>
      </c>
      <c r="C3955" s="1" t="n">
        <v>46098</v>
      </c>
      <c r="D3955" t="inlineStr">
        <is>
          <t>UPPSALA LÄN</t>
        </is>
      </c>
      <c r="E3955" t="inlineStr">
        <is>
          <t>ENKÖPING</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6679-2024</t>
        </is>
      </c>
      <c r="B3956" s="1" t="n">
        <v>45341</v>
      </c>
      <c r="C3956" s="1" t="n">
        <v>46098</v>
      </c>
      <c r="D3956" t="inlineStr">
        <is>
          <t>UPPSALA LÄN</t>
        </is>
      </c>
      <c r="E3956" t="inlineStr">
        <is>
          <t>UPPSALA</t>
        </is>
      </c>
      <c r="F3956" t="inlineStr">
        <is>
          <t>Bergvik skog öst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46098</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46976-2021</t>
        </is>
      </c>
      <c r="B3958" s="1" t="n">
        <v>44446</v>
      </c>
      <c r="C3958" s="1" t="n">
        <v>46098</v>
      </c>
      <c r="D3958" t="inlineStr">
        <is>
          <t>UPPSALA LÄN</t>
        </is>
      </c>
      <c r="E3958" t="inlineStr">
        <is>
          <t>TIERP</t>
        </is>
      </c>
      <c r="F3958" t="inlineStr">
        <is>
          <t>Bergvik skog väst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191-2024</t>
        </is>
      </c>
      <c r="B3959" s="1" t="n">
        <v>45294</v>
      </c>
      <c r="C3959" s="1" t="n">
        <v>46098</v>
      </c>
      <c r="D3959" t="inlineStr">
        <is>
          <t>UPPSALA LÄN</t>
        </is>
      </c>
      <c r="E3959" t="inlineStr">
        <is>
          <t>HEBY</t>
        </is>
      </c>
      <c r="F3959" t="inlineStr">
        <is>
          <t>Kommuner</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32244-2021</t>
        </is>
      </c>
      <c r="B3960" s="1" t="n">
        <v>44371.45335648148</v>
      </c>
      <c r="C3960" s="1" t="n">
        <v>46098</v>
      </c>
      <c r="D3960" t="inlineStr">
        <is>
          <t>UPPSALA LÄN</t>
        </is>
      </c>
      <c r="E3960" t="inlineStr">
        <is>
          <t>ÖSTHAMMAR</t>
        </is>
      </c>
      <c r="F3960" t="inlineStr">
        <is>
          <t>Bergvik skog öst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20854-2024</t>
        </is>
      </c>
      <c r="B3961" s="1" t="n">
        <v>45439.42039351852</v>
      </c>
      <c r="C3961" s="1" t="n">
        <v>46098</v>
      </c>
      <c r="D3961" t="inlineStr">
        <is>
          <t>UPPSALA LÄN</t>
        </is>
      </c>
      <c r="E3961" t="inlineStr">
        <is>
          <t>TIERP</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15732-2025</t>
        </is>
      </c>
      <c r="B3962" s="1" t="n">
        <v>45747</v>
      </c>
      <c r="C3962" s="1" t="n">
        <v>46098</v>
      </c>
      <c r="D3962" t="inlineStr">
        <is>
          <t>UPPSALA LÄN</t>
        </is>
      </c>
      <c r="E3962" t="inlineStr">
        <is>
          <t>HÅBO</t>
        </is>
      </c>
      <c r="F3962" t="inlineStr">
        <is>
          <t>Kyrkan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46103-2023</t>
        </is>
      </c>
      <c r="B3963" s="1" t="n">
        <v>45190</v>
      </c>
      <c r="C3963" s="1" t="n">
        <v>46098</v>
      </c>
      <c r="D3963" t="inlineStr">
        <is>
          <t>UPPSALA LÄN</t>
        </is>
      </c>
      <c r="E3963" t="inlineStr">
        <is>
          <t>ENKÖPING</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9235-2025</t>
        </is>
      </c>
      <c r="B3964" s="1" t="n">
        <v>45714.55368055555</v>
      </c>
      <c r="C3964" s="1" t="n">
        <v>46098</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41737-2022</t>
        </is>
      </c>
      <c r="B3965" s="1" t="n">
        <v>44827.63826388889</v>
      </c>
      <c r="C3965" s="1" t="n">
        <v>46098</v>
      </c>
      <c r="D3965" t="inlineStr">
        <is>
          <t>UPPSALA LÄN</t>
        </is>
      </c>
      <c r="E3965" t="inlineStr">
        <is>
          <t>ENKÖPING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8137-2025</t>
        </is>
      </c>
      <c r="B3966" s="1" t="n">
        <v>45707.8561574074</v>
      </c>
      <c r="C3966" s="1" t="n">
        <v>46098</v>
      </c>
      <c r="D3966" t="inlineStr">
        <is>
          <t>UPPSALA LÄN</t>
        </is>
      </c>
      <c r="E3966" t="inlineStr">
        <is>
          <t>ENKÖPING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9984-2025</t>
        </is>
      </c>
      <c r="B3967" s="1" t="n">
        <v>45719.42197916667</v>
      </c>
      <c r="C3967" s="1" t="n">
        <v>46098</v>
      </c>
      <c r="D3967" t="inlineStr">
        <is>
          <t>UPPSALA LÄN</t>
        </is>
      </c>
      <c r="E3967" t="inlineStr">
        <is>
          <t>UPPSALA</t>
        </is>
      </c>
      <c r="F3967" t="inlineStr">
        <is>
          <t>Kyrkan</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9991-2025</t>
        </is>
      </c>
      <c r="B3968" s="1" t="n">
        <v>45719.43646990741</v>
      </c>
      <c r="C3968" s="1" t="n">
        <v>46098</v>
      </c>
      <c r="D3968" t="inlineStr">
        <is>
          <t>UPPSALA LÄN</t>
        </is>
      </c>
      <c r="E3968" t="inlineStr">
        <is>
          <t>UPPSALA</t>
        </is>
      </c>
      <c r="F3968" t="inlineStr">
        <is>
          <t>Kyrkan</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4083-2022</t>
        </is>
      </c>
      <c r="B3969" s="1" t="n">
        <v>44588</v>
      </c>
      <c r="C3969" s="1" t="n">
        <v>46098</v>
      </c>
      <c r="D3969" t="inlineStr">
        <is>
          <t>UPPSALA LÄN</t>
        </is>
      </c>
      <c r="E3969" t="inlineStr">
        <is>
          <t>TIERP</t>
        </is>
      </c>
      <c r="G3969" t="n">
        <v>26.1</v>
      </c>
      <c r="H3969" t="n">
        <v>0</v>
      </c>
      <c r="I3969" t="n">
        <v>0</v>
      </c>
      <c r="J3969" t="n">
        <v>0</v>
      </c>
      <c r="K3969" t="n">
        <v>0</v>
      </c>
      <c r="L3969" t="n">
        <v>0</v>
      </c>
      <c r="M3969" t="n">
        <v>0</v>
      </c>
      <c r="N3969" t="n">
        <v>0</v>
      </c>
      <c r="O3969" t="n">
        <v>0</v>
      </c>
      <c r="P3969" t="n">
        <v>0</v>
      </c>
      <c r="Q3969" t="n">
        <v>0</v>
      </c>
      <c r="R3969" s="2" t="inlineStr"/>
    </row>
    <row r="3970" ht="15" customHeight="1">
      <c r="A3970" t="inlineStr">
        <is>
          <t>A 11379-2025</t>
        </is>
      </c>
      <c r="B3970" s="1" t="n">
        <v>45726.55914351852</v>
      </c>
      <c r="C3970" s="1" t="n">
        <v>46098</v>
      </c>
      <c r="D3970" t="inlineStr">
        <is>
          <t>UPPSALA LÄN</t>
        </is>
      </c>
      <c r="E3970" t="inlineStr">
        <is>
          <t>HEBY</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13464-2024</t>
        </is>
      </c>
      <c r="B3971" s="1" t="n">
        <v>45387.55987268518</v>
      </c>
      <c r="C3971" s="1" t="n">
        <v>46098</v>
      </c>
      <c r="D3971" t="inlineStr">
        <is>
          <t>UPPSALA LÄN</t>
        </is>
      </c>
      <c r="E3971" t="inlineStr">
        <is>
          <t>TIERP</t>
        </is>
      </c>
      <c r="F3971" t="inlineStr">
        <is>
          <t>Bergvik skog väst AB</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8343-2024</t>
        </is>
      </c>
      <c r="B3972" s="1" t="n">
        <v>45352</v>
      </c>
      <c r="C3972" s="1" t="n">
        <v>46098</v>
      </c>
      <c r="D3972" t="inlineStr">
        <is>
          <t>UPPSALA LÄN</t>
        </is>
      </c>
      <c r="E3972" t="inlineStr">
        <is>
          <t>KNIVSTA</t>
        </is>
      </c>
      <c r="F3972" t="inlineStr">
        <is>
          <t>Holmen skog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13356-2024</t>
        </is>
      </c>
      <c r="B3973" s="1" t="n">
        <v>45387.34152777777</v>
      </c>
      <c r="C3973" s="1" t="n">
        <v>46098</v>
      </c>
      <c r="D3973" t="inlineStr">
        <is>
          <t>UPPSALA LÄN</t>
        </is>
      </c>
      <c r="E3973" t="inlineStr">
        <is>
          <t>TIERP</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61149-2024</t>
        </is>
      </c>
      <c r="B3974" s="1" t="n">
        <v>45645</v>
      </c>
      <c r="C3974" s="1" t="n">
        <v>46098</v>
      </c>
      <c r="D3974" t="inlineStr">
        <is>
          <t>UPPSALA LÄN</t>
        </is>
      </c>
      <c r="E3974" t="inlineStr">
        <is>
          <t>TIERP</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60079-2022</t>
        </is>
      </c>
      <c r="B3975" s="1" t="n">
        <v>44909</v>
      </c>
      <c r="C3975" s="1" t="n">
        <v>46098</v>
      </c>
      <c r="D3975" t="inlineStr">
        <is>
          <t>UPPSALA LÄN</t>
        </is>
      </c>
      <c r="E3975" t="inlineStr">
        <is>
          <t>ÖSTHAMMAR</t>
        </is>
      </c>
      <c r="G3975" t="n">
        <v>9.6</v>
      </c>
      <c r="H3975" t="n">
        <v>0</v>
      </c>
      <c r="I3975" t="n">
        <v>0</v>
      </c>
      <c r="J3975" t="n">
        <v>0</v>
      </c>
      <c r="K3975" t="n">
        <v>0</v>
      </c>
      <c r="L3975" t="n">
        <v>0</v>
      </c>
      <c r="M3975" t="n">
        <v>0</v>
      </c>
      <c r="N3975" t="n">
        <v>0</v>
      </c>
      <c r="O3975" t="n">
        <v>0</v>
      </c>
      <c r="P3975" t="n">
        <v>0</v>
      </c>
      <c r="Q3975" t="n">
        <v>0</v>
      </c>
      <c r="R3975" s="2" t="inlineStr"/>
    </row>
    <row r="3976" ht="15" customHeight="1">
      <c r="A3976" t="inlineStr">
        <is>
          <t>A 35644-2024</t>
        </is>
      </c>
      <c r="B3976" s="1" t="n">
        <v>45532</v>
      </c>
      <c r="C3976" s="1" t="n">
        <v>46098</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23301-2024</t>
        </is>
      </c>
      <c r="B3977" s="1" t="n">
        <v>45453.4396412037</v>
      </c>
      <c r="C3977" s="1" t="n">
        <v>46098</v>
      </c>
      <c r="D3977" t="inlineStr">
        <is>
          <t>UPPSALA LÄN</t>
        </is>
      </c>
      <c r="E3977" t="inlineStr">
        <is>
          <t>ENKÖPING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18734-2025</t>
        </is>
      </c>
      <c r="B3978" s="1" t="n">
        <v>45763.67659722222</v>
      </c>
      <c r="C3978" s="1" t="n">
        <v>46098</v>
      </c>
      <c r="D3978" t="inlineStr">
        <is>
          <t>UPPSALA LÄN</t>
        </is>
      </c>
      <c r="E3978" t="inlineStr">
        <is>
          <t>TIERP</t>
        </is>
      </c>
      <c r="F3978" t="inlineStr">
        <is>
          <t>Kyrkan</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23250-2022</t>
        </is>
      </c>
      <c r="B3979" s="1" t="n">
        <v>44719</v>
      </c>
      <c r="C3979" s="1" t="n">
        <v>46098</v>
      </c>
      <c r="D3979" t="inlineStr">
        <is>
          <t>UPPSALA LÄN</t>
        </is>
      </c>
      <c r="E3979" t="inlineStr">
        <is>
          <t>HÅBO</t>
        </is>
      </c>
      <c r="F3979" t="inlineStr">
        <is>
          <t>Naturvårdsverket</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60984-2022</t>
        </is>
      </c>
      <c r="B3980" s="1" t="n">
        <v>44914.67600694444</v>
      </c>
      <c r="C3980" s="1" t="n">
        <v>46098</v>
      </c>
      <c r="D3980" t="inlineStr">
        <is>
          <t>UPPSALA LÄN</t>
        </is>
      </c>
      <c r="E3980" t="inlineStr">
        <is>
          <t>UPPSALA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52380-2024</t>
        </is>
      </c>
      <c r="B3981" s="1" t="n">
        <v>45609</v>
      </c>
      <c r="C3981" s="1" t="n">
        <v>46098</v>
      </c>
      <c r="D3981" t="inlineStr">
        <is>
          <t>UPPSALA LÄN</t>
        </is>
      </c>
      <c r="E3981" t="inlineStr">
        <is>
          <t>ENKÖPING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39157-2023</t>
        </is>
      </c>
      <c r="B3982" s="1" t="n">
        <v>45166</v>
      </c>
      <c r="C3982" s="1" t="n">
        <v>46098</v>
      </c>
      <c r="D3982" t="inlineStr">
        <is>
          <t>UPPSALA LÄN</t>
        </is>
      </c>
      <c r="E3982" t="inlineStr">
        <is>
          <t>HEBY</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9766-2023</t>
        </is>
      </c>
      <c r="B3983" s="1" t="n">
        <v>44984.57643518518</v>
      </c>
      <c r="C3983" s="1" t="n">
        <v>46098</v>
      </c>
      <c r="D3983" t="inlineStr">
        <is>
          <t>UPPSALA LÄN</t>
        </is>
      </c>
      <c r="E3983" t="inlineStr">
        <is>
          <t>HEBY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9820-2023</t>
        </is>
      </c>
      <c r="B3984" s="1" t="n">
        <v>44984.69216435185</v>
      </c>
      <c r="C3984" s="1" t="n">
        <v>46098</v>
      </c>
      <c r="D3984" t="inlineStr">
        <is>
          <t>UPPSALA LÄN</t>
        </is>
      </c>
      <c r="E3984" t="inlineStr">
        <is>
          <t>UPPSALA</t>
        </is>
      </c>
      <c r="F3984" t="inlineStr">
        <is>
          <t>Kyrkan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34265-2021</t>
        </is>
      </c>
      <c r="B3985" s="1" t="n">
        <v>44379.5745949074</v>
      </c>
      <c r="C3985" s="1" t="n">
        <v>46098</v>
      </c>
      <c r="D3985" t="inlineStr">
        <is>
          <t>UPPSALA LÄN</t>
        </is>
      </c>
      <c r="E3985" t="inlineStr">
        <is>
          <t>UPPSALA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2541-2023</t>
        </is>
      </c>
      <c r="B3986" s="1" t="n">
        <v>44943.64856481482</v>
      </c>
      <c r="C3986" s="1" t="n">
        <v>46098</v>
      </c>
      <c r="D3986" t="inlineStr">
        <is>
          <t>UPPSALA LÄN</t>
        </is>
      </c>
      <c r="E3986" t="inlineStr">
        <is>
          <t>HEBY</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2553-2023</t>
        </is>
      </c>
      <c r="B3987" s="1" t="n">
        <v>44943.67108796296</v>
      </c>
      <c r="C3987" s="1" t="n">
        <v>46098</v>
      </c>
      <c r="D3987" t="inlineStr">
        <is>
          <t>UPPSALA LÄN</t>
        </is>
      </c>
      <c r="E3987" t="inlineStr">
        <is>
          <t>HEBY</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2617-2023</t>
        </is>
      </c>
      <c r="B3988" s="1" t="n">
        <v>44944</v>
      </c>
      <c r="C3988" s="1" t="n">
        <v>46098</v>
      </c>
      <c r="D3988" t="inlineStr">
        <is>
          <t>UPPSALA LÄN</t>
        </is>
      </c>
      <c r="E3988" t="inlineStr">
        <is>
          <t>HEBY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59207-2023</t>
        </is>
      </c>
      <c r="B3989" s="1" t="n">
        <v>45252</v>
      </c>
      <c r="C3989" s="1" t="n">
        <v>46098</v>
      </c>
      <c r="D3989" t="inlineStr">
        <is>
          <t>UPPSALA LÄN</t>
        </is>
      </c>
      <c r="E3989" t="inlineStr">
        <is>
          <t>HEBY</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40637-2022</t>
        </is>
      </c>
      <c r="B3990" s="1" t="n">
        <v>44824</v>
      </c>
      <c r="C3990" s="1" t="n">
        <v>46098</v>
      </c>
      <c r="D3990" t="inlineStr">
        <is>
          <t>UPPSALA LÄN</t>
        </is>
      </c>
      <c r="E3990" t="inlineStr">
        <is>
          <t>ÖSTHAMMAR</t>
        </is>
      </c>
      <c r="F3990" t="inlineStr">
        <is>
          <t>Övriga Aktiebolag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30098-2024</t>
        </is>
      </c>
      <c r="B3991" s="1" t="n">
        <v>45489.41609953704</v>
      </c>
      <c r="C3991" s="1" t="n">
        <v>46098</v>
      </c>
      <c r="D3991" t="inlineStr">
        <is>
          <t>UPPSALA LÄN</t>
        </is>
      </c>
      <c r="E3991" t="inlineStr">
        <is>
          <t>ENKÖPING</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34460-2022</t>
        </is>
      </c>
      <c r="B3992" s="1" t="n">
        <v>44792</v>
      </c>
      <c r="C3992" s="1" t="n">
        <v>46098</v>
      </c>
      <c r="D3992" t="inlineStr">
        <is>
          <t>UPPSALA LÄN</t>
        </is>
      </c>
      <c r="E3992" t="inlineStr">
        <is>
          <t>TIERP</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34735-2023</t>
        </is>
      </c>
      <c r="B3993" s="1" t="n">
        <v>45139</v>
      </c>
      <c r="C3993" s="1" t="n">
        <v>46098</v>
      </c>
      <c r="D3993" t="inlineStr">
        <is>
          <t>UPPSALA LÄN</t>
        </is>
      </c>
      <c r="E3993" t="inlineStr">
        <is>
          <t>ENKÖPING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18412-2025</t>
        </is>
      </c>
      <c r="B3994" s="1" t="n">
        <v>45762.61427083334</v>
      </c>
      <c r="C3994" s="1" t="n">
        <v>46098</v>
      </c>
      <c r="D3994" t="inlineStr">
        <is>
          <t>UPPSALA LÄN</t>
        </is>
      </c>
      <c r="E3994" t="inlineStr">
        <is>
          <t>TIERP</t>
        </is>
      </c>
      <c r="F3994" t="inlineStr">
        <is>
          <t>Bergvik skog öst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28912-2023</t>
        </is>
      </c>
      <c r="B3995" s="1" t="n">
        <v>45104.53165509259</v>
      </c>
      <c r="C3995" s="1" t="n">
        <v>46098</v>
      </c>
      <c r="D3995" t="inlineStr">
        <is>
          <t>UPPSALA LÄN</t>
        </is>
      </c>
      <c r="E3995" t="inlineStr">
        <is>
          <t>TIERP</t>
        </is>
      </c>
      <c r="F3995" t="inlineStr">
        <is>
          <t>Bergvik skog öst AB</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56260-2022</t>
        </is>
      </c>
      <c r="B3996" s="1" t="n">
        <v>44890</v>
      </c>
      <c r="C3996" s="1" t="n">
        <v>46098</v>
      </c>
      <c r="D3996" t="inlineStr">
        <is>
          <t>UPPSALA LÄN</t>
        </is>
      </c>
      <c r="E3996" t="inlineStr">
        <is>
          <t>ÖSTHAMMAR</t>
        </is>
      </c>
      <c r="F3996" t="inlineStr">
        <is>
          <t>Bergvik skog öst AB</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57328-2024</t>
        </is>
      </c>
      <c r="B3997" s="1" t="n">
        <v>45629.62798611111</v>
      </c>
      <c r="C3997" s="1" t="n">
        <v>46098</v>
      </c>
      <c r="D3997" t="inlineStr">
        <is>
          <t>UPPSALA LÄN</t>
        </is>
      </c>
      <c r="E3997" t="inlineStr">
        <is>
          <t>ENKÖPING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22901-2023</t>
        </is>
      </c>
      <c r="B3998" s="1" t="n">
        <v>45072</v>
      </c>
      <c r="C3998" s="1" t="n">
        <v>46098</v>
      </c>
      <c r="D3998" t="inlineStr">
        <is>
          <t>UPPSALA LÄN</t>
        </is>
      </c>
      <c r="E3998" t="inlineStr">
        <is>
          <t>TIERP</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34147-2024</t>
        </is>
      </c>
      <c r="B3999" s="1" t="n">
        <v>45524</v>
      </c>
      <c r="C3999" s="1" t="n">
        <v>46098</v>
      </c>
      <c r="D3999" t="inlineStr">
        <is>
          <t>UPPSALA LÄN</t>
        </is>
      </c>
      <c r="E3999" t="inlineStr">
        <is>
          <t>UPPSALA</t>
        </is>
      </c>
      <c r="F3999" t="inlineStr">
        <is>
          <t>Allmännings- och besparingsskogar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10456-2022</t>
        </is>
      </c>
      <c r="B4000" s="1" t="n">
        <v>44623.5571875</v>
      </c>
      <c r="C4000" s="1" t="n">
        <v>46098</v>
      </c>
      <c r="D4000" t="inlineStr">
        <is>
          <t>UPPSALA LÄN</t>
        </is>
      </c>
      <c r="E4000" t="inlineStr">
        <is>
          <t>UPPSALA</t>
        </is>
      </c>
      <c r="F4000" t="inlineStr">
        <is>
          <t>Övriga Aktiebolag</t>
        </is>
      </c>
      <c r="G4000" t="n">
        <v>12.6</v>
      </c>
      <c r="H4000" t="n">
        <v>0</v>
      </c>
      <c r="I4000" t="n">
        <v>0</v>
      </c>
      <c r="J4000" t="n">
        <v>0</v>
      </c>
      <c r="K4000" t="n">
        <v>0</v>
      </c>
      <c r="L4000" t="n">
        <v>0</v>
      </c>
      <c r="M4000" t="n">
        <v>0</v>
      </c>
      <c r="N4000" t="n">
        <v>0</v>
      </c>
      <c r="O4000" t="n">
        <v>0</v>
      </c>
      <c r="P4000" t="n">
        <v>0</v>
      </c>
      <c r="Q4000" t="n">
        <v>0</v>
      </c>
      <c r="R4000" s="2" t="inlineStr"/>
    </row>
    <row r="4001" ht="15" customHeight="1">
      <c r="A4001" t="inlineStr">
        <is>
          <t>A 5663-2023</t>
        </is>
      </c>
      <c r="B4001" s="1" t="n">
        <v>44960</v>
      </c>
      <c r="C4001" s="1" t="n">
        <v>46098</v>
      </c>
      <c r="D4001" t="inlineStr">
        <is>
          <t>UPPSALA LÄN</t>
        </is>
      </c>
      <c r="E4001" t="inlineStr">
        <is>
          <t>UPPSALA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5675-2023</t>
        </is>
      </c>
      <c r="B4002" s="1" t="n">
        <v>44960.66233796296</v>
      </c>
      <c r="C4002" s="1" t="n">
        <v>46098</v>
      </c>
      <c r="D4002" t="inlineStr">
        <is>
          <t>UPPSALA LÄN</t>
        </is>
      </c>
      <c r="E4002" t="inlineStr">
        <is>
          <t>UPPSALA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62394-2022</t>
        </is>
      </c>
      <c r="B4003" s="1" t="n">
        <v>44923.82017361111</v>
      </c>
      <c r="C4003" s="1" t="n">
        <v>46098</v>
      </c>
      <c r="D4003" t="inlineStr">
        <is>
          <t>UPPSALA LÄN</t>
        </is>
      </c>
      <c r="E4003" t="inlineStr">
        <is>
          <t>ÖSTHAMMAR</t>
        </is>
      </c>
      <c r="F4003" t="inlineStr">
        <is>
          <t>Bergvik skog öst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49707-2023</t>
        </is>
      </c>
      <c r="B4004" s="1" t="n">
        <v>45208</v>
      </c>
      <c r="C4004" s="1" t="n">
        <v>46098</v>
      </c>
      <c r="D4004" t="inlineStr">
        <is>
          <t>UPPSALA LÄN</t>
        </is>
      </c>
      <c r="E4004" t="inlineStr">
        <is>
          <t>HEBY</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22709-2021</t>
        </is>
      </c>
      <c r="B4005" s="1" t="n">
        <v>44327.61518518518</v>
      </c>
      <c r="C4005" s="1" t="n">
        <v>46098</v>
      </c>
      <c r="D4005" t="inlineStr">
        <is>
          <t>UPPSALA LÄN</t>
        </is>
      </c>
      <c r="E4005" t="inlineStr">
        <is>
          <t>ÖSTHAMMAR</t>
        </is>
      </c>
      <c r="F4005" t="inlineStr">
        <is>
          <t>Bergvik skog öst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8616-2023</t>
        </is>
      </c>
      <c r="B4006" s="1" t="n">
        <v>44977</v>
      </c>
      <c r="C4006" s="1" t="n">
        <v>46098</v>
      </c>
      <c r="D4006" t="inlineStr">
        <is>
          <t>UPPSALA LÄN</t>
        </is>
      </c>
      <c r="E4006" t="inlineStr">
        <is>
          <t>ÖSTHAMMAR</t>
        </is>
      </c>
      <c r="F4006" t="inlineStr">
        <is>
          <t>Bergvik skog öst AB</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60295-2021</t>
        </is>
      </c>
      <c r="B4007" s="1" t="n">
        <v>44495</v>
      </c>
      <c r="C4007" s="1" t="n">
        <v>46098</v>
      </c>
      <c r="D4007" t="inlineStr">
        <is>
          <t>UPPSALA LÄN</t>
        </is>
      </c>
      <c r="E4007" t="inlineStr">
        <is>
          <t>HEBY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69698-2021</t>
        </is>
      </c>
      <c r="B4008" s="1" t="n">
        <v>44532</v>
      </c>
      <c r="C4008" s="1" t="n">
        <v>46098</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62145-2022</t>
        </is>
      </c>
      <c r="B4009" s="1" t="n">
        <v>44914</v>
      </c>
      <c r="C4009" s="1" t="n">
        <v>46098</v>
      </c>
      <c r="D4009" t="inlineStr">
        <is>
          <t>UPPSALA LÄN</t>
        </is>
      </c>
      <c r="E4009" t="inlineStr">
        <is>
          <t>HEBY</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40100-2022</t>
        </is>
      </c>
      <c r="B4010" s="1" t="n">
        <v>44820.47935185185</v>
      </c>
      <c r="C4010" s="1" t="n">
        <v>46098</v>
      </c>
      <c r="D4010" t="inlineStr">
        <is>
          <t>UPPSALA LÄN</t>
        </is>
      </c>
      <c r="E4010" t="inlineStr">
        <is>
          <t>UPPSALA</t>
        </is>
      </c>
      <c r="F4010" t="inlineStr">
        <is>
          <t>Övriga Aktiebolag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29482-2022</t>
        </is>
      </c>
      <c r="B4011" s="1" t="n">
        <v>44753.57703703704</v>
      </c>
      <c r="C4011" s="1" t="n">
        <v>46098</v>
      </c>
      <c r="D4011" t="inlineStr">
        <is>
          <t>UPPSALA LÄN</t>
        </is>
      </c>
      <c r="E4011" t="inlineStr">
        <is>
          <t>ENKÖPING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29483-2022</t>
        </is>
      </c>
      <c r="B4012" s="1" t="n">
        <v>44753.57829861111</v>
      </c>
      <c r="C4012" s="1" t="n">
        <v>46098</v>
      </c>
      <c r="D4012" t="inlineStr">
        <is>
          <t>UPPSALA LÄN</t>
        </is>
      </c>
      <c r="E4012" t="inlineStr">
        <is>
          <t>ENKÖPING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8046-2023</t>
        </is>
      </c>
      <c r="B4013" s="1" t="n">
        <v>44974</v>
      </c>
      <c r="C4013" s="1" t="n">
        <v>46098</v>
      </c>
      <c r="D4013" t="inlineStr">
        <is>
          <t>UPPSALA LÄN</t>
        </is>
      </c>
      <c r="E4013" t="inlineStr">
        <is>
          <t>HEBY</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41538-2021</t>
        </is>
      </c>
      <c r="B4014" s="1" t="n">
        <v>44425.35016203704</v>
      </c>
      <c r="C4014" s="1" t="n">
        <v>46098</v>
      </c>
      <c r="D4014" t="inlineStr">
        <is>
          <t>UPPSALA LÄN</t>
        </is>
      </c>
      <c r="E4014" t="inlineStr">
        <is>
          <t>ÖSTHAMMAR</t>
        </is>
      </c>
      <c r="F4014" t="inlineStr">
        <is>
          <t>Bergvik skog öst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8672-2024</t>
        </is>
      </c>
      <c r="B4015" s="1" t="n">
        <v>45352</v>
      </c>
      <c r="C4015" s="1" t="n">
        <v>46098</v>
      </c>
      <c r="D4015" t="inlineStr">
        <is>
          <t>UPPSALA LÄN</t>
        </is>
      </c>
      <c r="E4015" t="inlineStr">
        <is>
          <t>UPPSALA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44232-2022</t>
        </is>
      </c>
      <c r="B4016" s="1" t="n">
        <v>44839</v>
      </c>
      <c r="C4016" s="1" t="n">
        <v>46098</v>
      </c>
      <c r="D4016" t="inlineStr">
        <is>
          <t>UPPSALA LÄN</t>
        </is>
      </c>
      <c r="E4016" t="inlineStr">
        <is>
          <t>ENKÖPING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34742-2022</t>
        </is>
      </c>
      <c r="B4017" s="1" t="n">
        <v>44795.61990740741</v>
      </c>
      <c r="C4017" s="1" t="n">
        <v>46098</v>
      </c>
      <c r="D4017" t="inlineStr">
        <is>
          <t>UPPSALA LÄN</t>
        </is>
      </c>
      <c r="E4017" t="inlineStr">
        <is>
          <t>ÖSTHAMMAR</t>
        </is>
      </c>
      <c r="F4017" t="inlineStr">
        <is>
          <t>Bergvik skog öst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61106-2022</t>
        </is>
      </c>
      <c r="B4018" s="1" t="n">
        <v>44915.4128587963</v>
      </c>
      <c r="C4018" s="1" t="n">
        <v>46098</v>
      </c>
      <c r="D4018" t="inlineStr">
        <is>
          <t>UPPSALA LÄN</t>
        </is>
      </c>
      <c r="E4018" t="inlineStr">
        <is>
          <t>ENKÖPING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42528-2023</t>
        </is>
      </c>
      <c r="B4019" s="1" t="n">
        <v>45181.33571759259</v>
      </c>
      <c r="C4019" s="1" t="n">
        <v>46098</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40924-2023</t>
        </is>
      </c>
      <c r="B4020" s="1" t="n">
        <v>45173.4337962963</v>
      </c>
      <c r="C4020" s="1" t="n">
        <v>46098</v>
      </c>
      <c r="D4020" t="inlineStr">
        <is>
          <t>UPPSALA LÄN</t>
        </is>
      </c>
      <c r="E4020" t="inlineStr">
        <is>
          <t>HEBY</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40926-2023</t>
        </is>
      </c>
      <c r="B4021" s="1" t="n">
        <v>45173.43603009259</v>
      </c>
      <c r="C4021" s="1" t="n">
        <v>46098</v>
      </c>
      <c r="D4021" t="inlineStr">
        <is>
          <t>UPPSALA LÄN</t>
        </is>
      </c>
      <c r="E4021" t="inlineStr">
        <is>
          <t>HEBY</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9255-2024</t>
        </is>
      </c>
      <c r="B4022" s="1" t="n">
        <v>45358</v>
      </c>
      <c r="C4022" s="1" t="n">
        <v>46098</v>
      </c>
      <c r="D4022" t="inlineStr">
        <is>
          <t>UPPSALA LÄN</t>
        </is>
      </c>
      <c r="E4022" t="inlineStr">
        <is>
          <t>UPPSALA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13066-2024</t>
        </is>
      </c>
      <c r="B4023" s="1" t="n">
        <v>45385.63880787037</v>
      </c>
      <c r="C4023" s="1" t="n">
        <v>46098</v>
      </c>
      <c r="D4023" t="inlineStr">
        <is>
          <t>UPPSALA LÄN</t>
        </is>
      </c>
      <c r="E4023" t="inlineStr">
        <is>
          <t>TIERP</t>
        </is>
      </c>
      <c r="F4023" t="inlineStr">
        <is>
          <t>Bergvik skog öst AB</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5993-2023</t>
        </is>
      </c>
      <c r="B4024" s="1" t="n">
        <v>44964</v>
      </c>
      <c r="C4024" s="1" t="n">
        <v>46098</v>
      </c>
      <c r="D4024" t="inlineStr">
        <is>
          <t>UPPSALA LÄN</t>
        </is>
      </c>
      <c r="E4024" t="inlineStr">
        <is>
          <t>TIERP</t>
        </is>
      </c>
      <c r="F4024" t="inlineStr">
        <is>
          <t>Bergvik skog öst AB</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60885-2021</t>
        </is>
      </c>
      <c r="B4025" s="1" t="n">
        <v>44497</v>
      </c>
      <c r="C4025" s="1" t="n">
        <v>46098</v>
      </c>
      <c r="D4025" t="inlineStr">
        <is>
          <t>UPPSALA LÄN</t>
        </is>
      </c>
      <c r="E4025" t="inlineStr">
        <is>
          <t>KNIVSTA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4096-2025</t>
        </is>
      </c>
      <c r="B4026" s="1" t="n">
        <v>45684</v>
      </c>
      <c r="C4026" s="1" t="n">
        <v>46098</v>
      </c>
      <c r="D4026" t="inlineStr">
        <is>
          <t>UPPSALA LÄN</t>
        </is>
      </c>
      <c r="E4026" t="inlineStr">
        <is>
          <t>ÖSTHAMMAR</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56889-2022</t>
        </is>
      </c>
      <c r="B4027" s="1" t="n">
        <v>44894.57065972222</v>
      </c>
      <c r="C4027" s="1" t="n">
        <v>46098</v>
      </c>
      <c r="D4027" t="inlineStr">
        <is>
          <t>UPPSALA LÄN</t>
        </is>
      </c>
      <c r="E4027" t="inlineStr">
        <is>
          <t>UPPSALA</t>
        </is>
      </c>
      <c r="F4027" t="inlineStr">
        <is>
          <t>Övriga Aktiebolag</t>
        </is>
      </c>
      <c r="G4027" t="n">
        <v>21.6</v>
      </c>
      <c r="H4027" t="n">
        <v>0</v>
      </c>
      <c r="I4027" t="n">
        <v>0</v>
      </c>
      <c r="J4027" t="n">
        <v>0</v>
      </c>
      <c r="K4027" t="n">
        <v>0</v>
      </c>
      <c r="L4027" t="n">
        <v>0</v>
      </c>
      <c r="M4027" t="n">
        <v>0</v>
      </c>
      <c r="N4027" t="n">
        <v>0</v>
      </c>
      <c r="O4027" t="n">
        <v>0</v>
      </c>
      <c r="P4027" t="n">
        <v>0</v>
      </c>
      <c r="Q4027" t="n">
        <v>0</v>
      </c>
      <c r="R4027" s="2" t="inlineStr"/>
    </row>
    <row r="4028" ht="15" customHeight="1">
      <c r="A4028" t="inlineStr">
        <is>
          <t>A 60304-2024</t>
        </is>
      </c>
      <c r="B4028" s="1" t="n">
        <v>45643</v>
      </c>
      <c r="C4028" s="1" t="n">
        <v>46098</v>
      </c>
      <c r="D4028" t="inlineStr">
        <is>
          <t>UPPSALA LÄN</t>
        </is>
      </c>
      <c r="E4028" t="inlineStr">
        <is>
          <t>TIERP</t>
        </is>
      </c>
      <c r="F4028" t="inlineStr">
        <is>
          <t>Bergvik skog öst AB</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33797-2021</t>
        </is>
      </c>
      <c r="B4029" s="1" t="n">
        <v>44378.56137731481</v>
      </c>
      <c r="C4029" s="1" t="n">
        <v>46098</v>
      </c>
      <c r="D4029" t="inlineStr">
        <is>
          <t>UPPSALA LÄN</t>
        </is>
      </c>
      <c r="E4029" t="inlineStr">
        <is>
          <t>UPPSALA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39624-2023</t>
        </is>
      </c>
      <c r="B4030" s="1" t="n">
        <v>45164</v>
      </c>
      <c r="C4030" s="1" t="n">
        <v>46098</v>
      </c>
      <c r="D4030" t="inlineStr">
        <is>
          <t>UPPSALA LÄN</t>
        </is>
      </c>
      <c r="E4030" t="inlineStr">
        <is>
          <t>ENKÖPING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4487-2023</t>
        </is>
      </c>
      <c r="B4031" s="1" t="n">
        <v>44956</v>
      </c>
      <c r="C4031" s="1" t="n">
        <v>46098</v>
      </c>
      <c r="D4031" t="inlineStr">
        <is>
          <t>UPPSALA LÄN</t>
        </is>
      </c>
      <c r="E4031" t="inlineStr">
        <is>
          <t>HEBY</t>
        </is>
      </c>
      <c r="F4031" t="inlineStr">
        <is>
          <t>Kyrkan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55090-2024</t>
        </is>
      </c>
      <c r="B4032" s="1" t="n">
        <v>45621.4350462963</v>
      </c>
      <c r="C4032" s="1" t="n">
        <v>46098</v>
      </c>
      <c r="D4032" t="inlineStr">
        <is>
          <t>UPPSALA LÄN</t>
        </is>
      </c>
      <c r="E4032" t="inlineStr">
        <is>
          <t>ÖSTHAMMAR</t>
        </is>
      </c>
      <c r="F4032" t="inlineStr">
        <is>
          <t>Sveaskog</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55093-2024</t>
        </is>
      </c>
      <c r="B4033" s="1" t="n">
        <v>45621.43712962963</v>
      </c>
      <c r="C4033" s="1" t="n">
        <v>46098</v>
      </c>
      <c r="D4033" t="inlineStr">
        <is>
          <t>UPPSALA LÄN</t>
        </is>
      </c>
      <c r="E4033" t="inlineStr">
        <is>
          <t>ÖSTHAMMAR</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55097-2024</t>
        </is>
      </c>
      <c r="B4034" s="1" t="n">
        <v>45621.43855324074</v>
      </c>
      <c r="C4034" s="1" t="n">
        <v>46098</v>
      </c>
      <c r="D4034" t="inlineStr">
        <is>
          <t>UPPSALA LÄN</t>
        </is>
      </c>
      <c r="E4034" t="inlineStr">
        <is>
          <t>ÖSTHAMMAR</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5374-2023</t>
        </is>
      </c>
      <c r="B4035" s="1" t="n">
        <v>44944</v>
      </c>
      <c r="C4035" s="1" t="n">
        <v>46098</v>
      </c>
      <c r="D4035" t="inlineStr">
        <is>
          <t>UPPSALA LÄN</t>
        </is>
      </c>
      <c r="E4035" t="inlineStr">
        <is>
          <t>UPPSALA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20184-2023</t>
        </is>
      </c>
      <c r="B4036" s="1" t="n">
        <v>45055.5670949074</v>
      </c>
      <c r="C4036" s="1" t="n">
        <v>46098</v>
      </c>
      <c r="D4036" t="inlineStr">
        <is>
          <t>UPPSALA LÄN</t>
        </is>
      </c>
      <c r="E4036" t="inlineStr">
        <is>
          <t>ENKÖPING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8152-2022</t>
        </is>
      </c>
      <c r="B4037" s="1" t="n">
        <v>44609</v>
      </c>
      <c r="C4037" s="1" t="n">
        <v>46098</v>
      </c>
      <c r="D4037" t="inlineStr">
        <is>
          <t>UPPSALA LÄN</t>
        </is>
      </c>
      <c r="E4037" t="inlineStr">
        <is>
          <t>ENKÖPING</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30293-2021</t>
        </is>
      </c>
      <c r="B4038" s="1" t="n">
        <v>44364.3353587963</v>
      </c>
      <c r="C4038" s="1" t="n">
        <v>46098</v>
      </c>
      <c r="D4038" t="inlineStr">
        <is>
          <t>UPPSALA LÄN</t>
        </is>
      </c>
      <c r="E4038" t="inlineStr">
        <is>
          <t>HEBY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63011-2021</t>
        </is>
      </c>
      <c r="B4039" s="1" t="n">
        <v>44504</v>
      </c>
      <c r="C4039" s="1" t="n">
        <v>46098</v>
      </c>
      <c r="D4039" t="inlineStr">
        <is>
          <t>UPPSALA LÄN</t>
        </is>
      </c>
      <c r="E4039" t="inlineStr">
        <is>
          <t>UPPSALA</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62006-2024</t>
        </is>
      </c>
      <c r="B4040" s="1" t="n">
        <v>45655</v>
      </c>
      <c r="C4040" s="1" t="n">
        <v>46098</v>
      </c>
      <c r="D4040" t="inlineStr">
        <is>
          <t>UPPSALA LÄN</t>
        </is>
      </c>
      <c r="E4040" t="inlineStr">
        <is>
          <t>TIERP</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52503-2023</t>
        </is>
      </c>
      <c r="B4041" s="1" t="n">
        <v>45225.46480324074</v>
      </c>
      <c r="C4041" s="1" t="n">
        <v>46098</v>
      </c>
      <c r="D4041" t="inlineStr">
        <is>
          <t>UPPSALA LÄN</t>
        </is>
      </c>
      <c r="E4041" t="inlineStr">
        <is>
          <t>UPPSALA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40223-2024</t>
        </is>
      </c>
      <c r="B4042" s="1" t="n">
        <v>45554</v>
      </c>
      <c r="C4042" s="1" t="n">
        <v>46098</v>
      </c>
      <c r="D4042" t="inlineStr">
        <is>
          <t>UPPSALA LÄN</t>
        </is>
      </c>
      <c r="E4042" t="inlineStr">
        <is>
          <t>ENKÖPING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15427-2025</t>
        </is>
      </c>
      <c r="B4043" s="1" t="n">
        <v>45747.46694444444</v>
      </c>
      <c r="C4043" s="1" t="n">
        <v>46098</v>
      </c>
      <c r="D4043" t="inlineStr">
        <is>
          <t>UPPSALA LÄN</t>
        </is>
      </c>
      <c r="E4043" t="inlineStr">
        <is>
          <t>HEBY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7173-2024</t>
        </is>
      </c>
      <c r="B4044" s="1" t="n">
        <v>45344.48746527778</v>
      </c>
      <c r="C4044" s="1" t="n">
        <v>46098</v>
      </c>
      <c r="D4044" t="inlineStr">
        <is>
          <t>UPPSALA LÄN</t>
        </is>
      </c>
      <c r="E4044" t="inlineStr">
        <is>
          <t>HEBY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37035-2023</t>
        </is>
      </c>
      <c r="B4045" s="1" t="n">
        <v>45155</v>
      </c>
      <c r="C4045" s="1" t="n">
        <v>46098</v>
      </c>
      <c r="D4045" t="inlineStr">
        <is>
          <t>UPPSALA LÄN</t>
        </is>
      </c>
      <c r="E4045" t="inlineStr">
        <is>
          <t>ENKÖPING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59585-2023</t>
        </is>
      </c>
      <c r="B4046" s="1" t="n">
        <v>45254</v>
      </c>
      <c r="C4046" s="1" t="n">
        <v>46098</v>
      </c>
      <c r="D4046" t="inlineStr">
        <is>
          <t>UPPSALA LÄN</t>
        </is>
      </c>
      <c r="E4046" t="inlineStr">
        <is>
          <t>UPPSALA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6989-2022</t>
        </is>
      </c>
      <c r="B4047" s="1" t="n">
        <v>44603</v>
      </c>
      <c r="C4047" s="1" t="n">
        <v>46098</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32553-2024</t>
        </is>
      </c>
      <c r="B4048" s="1" t="n">
        <v>45513.51815972223</v>
      </c>
      <c r="C4048" s="1" t="n">
        <v>46098</v>
      </c>
      <c r="D4048" t="inlineStr">
        <is>
          <t>UPPSALA LÄN</t>
        </is>
      </c>
      <c r="E4048" t="inlineStr">
        <is>
          <t>UPPSALA</t>
        </is>
      </c>
      <c r="F4048" t="inlineStr">
        <is>
          <t>Bergvik skog öst AB</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52889-2022</t>
        </is>
      </c>
      <c r="B4049" s="1" t="n">
        <v>44875</v>
      </c>
      <c r="C4049" s="1" t="n">
        <v>46098</v>
      </c>
      <c r="D4049" t="inlineStr">
        <is>
          <t>UPPSALA LÄN</t>
        </is>
      </c>
      <c r="E4049" t="inlineStr">
        <is>
          <t>ENKÖPING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51030-2024</t>
        </is>
      </c>
      <c r="B4050" s="1" t="n">
        <v>45603</v>
      </c>
      <c r="C4050" s="1" t="n">
        <v>46098</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46807-2022</t>
        </is>
      </c>
      <c r="B4051" s="1" t="n">
        <v>44848</v>
      </c>
      <c r="C4051" s="1" t="n">
        <v>46098</v>
      </c>
      <c r="D4051" t="inlineStr">
        <is>
          <t>UPPSALA LÄN</t>
        </is>
      </c>
      <c r="E4051" t="inlineStr">
        <is>
          <t>UPPSALA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29340-2022</t>
        </is>
      </c>
      <c r="B4052" s="1" t="n">
        <v>44752.8631712963</v>
      </c>
      <c r="C4052" s="1" t="n">
        <v>46098</v>
      </c>
      <c r="D4052" t="inlineStr">
        <is>
          <t>UPPSALA LÄN</t>
        </is>
      </c>
      <c r="E4052" t="inlineStr">
        <is>
          <t>HEBY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44781-2021</t>
        </is>
      </c>
      <c r="B4053" s="1" t="n">
        <v>44438</v>
      </c>
      <c r="C4053" s="1" t="n">
        <v>46098</v>
      </c>
      <c r="D4053" t="inlineStr">
        <is>
          <t>UPPSALA LÄN</t>
        </is>
      </c>
      <c r="E4053" t="inlineStr">
        <is>
          <t>UPPSALA</t>
        </is>
      </c>
      <c r="F4053" t="inlineStr">
        <is>
          <t>Sveaskog</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5605-2025</t>
        </is>
      </c>
      <c r="B4054" s="1" t="n">
        <v>45693</v>
      </c>
      <c r="C4054" s="1" t="n">
        <v>46098</v>
      </c>
      <c r="D4054" t="inlineStr">
        <is>
          <t>UPPSALA LÄN</t>
        </is>
      </c>
      <c r="E4054" t="inlineStr">
        <is>
          <t>UPPSALA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5633-2025</t>
        </is>
      </c>
      <c r="B4055" s="1" t="n">
        <v>45693.66539351852</v>
      </c>
      <c r="C4055" s="1" t="n">
        <v>46098</v>
      </c>
      <c r="D4055" t="inlineStr">
        <is>
          <t>UPPSALA LÄN</t>
        </is>
      </c>
      <c r="E4055" t="inlineStr">
        <is>
          <t>HEBY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12424-2024</t>
        </is>
      </c>
      <c r="B4056" s="1" t="n">
        <v>45379.4344212963</v>
      </c>
      <c r="C4056" s="1" t="n">
        <v>46098</v>
      </c>
      <c r="D4056" t="inlineStr">
        <is>
          <t>UPPSALA LÄN</t>
        </is>
      </c>
      <c r="E4056" t="inlineStr">
        <is>
          <t>TIERP</t>
        </is>
      </c>
      <c r="G4056" t="n">
        <v>11.6</v>
      </c>
      <c r="H4056" t="n">
        <v>0</v>
      </c>
      <c r="I4056" t="n">
        <v>0</v>
      </c>
      <c r="J4056" t="n">
        <v>0</v>
      </c>
      <c r="K4056" t="n">
        <v>0</v>
      </c>
      <c r="L4056" t="n">
        <v>0</v>
      </c>
      <c r="M4056" t="n">
        <v>0</v>
      </c>
      <c r="N4056" t="n">
        <v>0</v>
      </c>
      <c r="O4056" t="n">
        <v>0</v>
      </c>
      <c r="P4056" t="n">
        <v>0</v>
      </c>
      <c r="Q4056" t="n">
        <v>0</v>
      </c>
      <c r="R4056" s="2" t="inlineStr"/>
    </row>
    <row r="4057" ht="15" customHeight="1">
      <c r="A4057" t="inlineStr">
        <is>
          <t>A 26292-2022</t>
        </is>
      </c>
      <c r="B4057" s="1" t="n">
        <v>44735</v>
      </c>
      <c r="C4057" s="1" t="n">
        <v>46098</v>
      </c>
      <c r="D4057" t="inlineStr">
        <is>
          <t>UPPSALA LÄN</t>
        </is>
      </c>
      <c r="E4057" t="inlineStr">
        <is>
          <t>ENKÖPING</t>
        </is>
      </c>
      <c r="F4057" t="inlineStr">
        <is>
          <t>Kyrkan</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8031-2025</t>
        </is>
      </c>
      <c r="B4058" s="1" t="n">
        <v>45707.59112268518</v>
      </c>
      <c r="C4058" s="1" t="n">
        <v>46098</v>
      </c>
      <c r="D4058" t="inlineStr">
        <is>
          <t>UPPSALA LÄN</t>
        </is>
      </c>
      <c r="E4058" t="inlineStr">
        <is>
          <t>ÄLVKARLEBY</t>
        </is>
      </c>
      <c r="F4058" t="inlineStr">
        <is>
          <t>Bergvik skog väst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12507-2024</t>
        </is>
      </c>
      <c r="B4059" s="1" t="n">
        <v>45379</v>
      </c>
      <c r="C4059" s="1" t="n">
        <v>46098</v>
      </c>
      <c r="D4059" t="inlineStr">
        <is>
          <t>UPPSALA LÄN</t>
        </is>
      </c>
      <c r="E4059" t="inlineStr">
        <is>
          <t>UPPSALA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4044-2024</t>
        </is>
      </c>
      <c r="B4060" s="1" t="n">
        <v>45323.45954861111</v>
      </c>
      <c r="C4060" s="1" t="n">
        <v>46098</v>
      </c>
      <c r="D4060" t="inlineStr">
        <is>
          <t>UPPSALA LÄN</t>
        </is>
      </c>
      <c r="E4060" t="inlineStr">
        <is>
          <t>ENKÖPING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4065-2024</t>
        </is>
      </c>
      <c r="B4061" s="1" t="n">
        <v>45323.55914351852</v>
      </c>
      <c r="C4061" s="1" t="n">
        <v>46098</v>
      </c>
      <c r="D4061" t="inlineStr">
        <is>
          <t>UPPSALA LÄN</t>
        </is>
      </c>
      <c r="E4061" t="inlineStr">
        <is>
          <t>UPPSALA</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13978-2023</t>
        </is>
      </c>
      <c r="B4062" s="1" t="n">
        <v>45008</v>
      </c>
      <c r="C4062" s="1" t="n">
        <v>46098</v>
      </c>
      <c r="D4062" t="inlineStr">
        <is>
          <t>UPPSALA LÄN</t>
        </is>
      </c>
      <c r="E4062" t="inlineStr">
        <is>
          <t>HEBY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3327-2023</t>
        </is>
      </c>
      <c r="B4063" s="1" t="n">
        <v>44949.4377662037</v>
      </c>
      <c r="C4063" s="1" t="n">
        <v>46098</v>
      </c>
      <c r="D4063" t="inlineStr">
        <is>
          <t>UPPSALA LÄN</t>
        </is>
      </c>
      <c r="E4063" t="inlineStr">
        <is>
          <t>ÖSTHAMMAR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11009-2025</t>
        </is>
      </c>
      <c r="B4064" s="1" t="n">
        <v>45723.45451388889</v>
      </c>
      <c r="C4064" s="1" t="n">
        <v>46098</v>
      </c>
      <c r="D4064" t="inlineStr">
        <is>
          <t>UPPSALA LÄN</t>
        </is>
      </c>
      <c r="E4064" t="inlineStr">
        <is>
          <t>HEBY</t>
        </is>
      </c>
      <c r="F4064" t="inlineStr">
        <is>
          <t>Kyrkan</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33349-2024</t>
        </is>
      </c>
      <c r="B4065" s="1" t="n">
        <v>45519</v>
      </c>
      <c r="C4065" s="1" t="n">
        <v>46098</v>
      </c>
      <c r="D4065" t="inlineStr">
        <is>
          <t>UPPSALA LÄN</t>
        </is>
      </c>
      <c r="E4065" t="inlineStr">
        <is>
          <t>ENKÖPING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14527-2025</t>
        </is>
      </c>
      <c r="B4066" s="1" t="n">
        <v>45741.65077546296</v>
      </c>
      <c r="C4066" s="1" t="n">
        <v>46098</v>
      </c>
      <c r="D4066" t="inlineStr">
        <is>
          <t>UPPSALA LÄN</t>
        </is>
      </c>
      <c r="E4066" t="inlineStr">
        <is>
          <t>TIERP</t>
        </is>
      </c>
      <c r="F4066" t="inlineStr">
        <is>
          <t>Bergvik skog väst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19676-2025</t>
        </is>
      </c>
      <c r="B4067" s="1" t="n">
        <v>45770</v>
      </c>
      <c r="C4067" s="1" t="n">
        <v>46098</v>
      </c>
      <c r="D4067" t="inlineStr">
        <is>
          <t>UPPSALA LÄN</t>
        </is>
      </c>
      <c r="E4067" t="inlineStr">
        <is>
          <t>KNIVSTA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22912-2024</t>
        </is>
      </c>
      <c r="B4068" s="1" t="n">
        <v>45448.73118055556</v>
      </c>
      <c r="C4068" s="1" t="n">
        <v>46098</v>
      </c>
      <c r="D4068" t="inlineStr">
        <is>
          <t>UPPSALA LÄN</t>
        </is>
      </c>
      <c r="E4068" t="inlineStr">
        <is>
          <t>ENKÖPING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11057-2024</t>
        </is>
      </c>
      <c r="B4069" s="1" t="n">
        <v>45370.73208333334</v>
      </c>
      <c r="C4069" s="1" t="n">
        <v>46098</v>
      </c>
      <c r="D4069" t="inlineStr">
        <is>
          <t>UPPSALA LÄN</t>
        </is>
      </c>
      <c r="E4069" t="inlineStr">
        <is>
          <t>HEBY</t>
        </is>
      </c>
      <c r="F4069" t="inlineStr">
        <is>
          <t>Övriga Aktiebolag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6866-2022</t>
        </is>
      </c>
      <c r="B4070" s="1" t="n">
        <v>44602.72481481481</v>
      </c>
      <c r="C4070" s="1" t="n">
        <v>46098</v>
      </c>
      <c r="D4070" t="inlineStr">
        <is>
          <t>UPPSALA LÄN</t>
        </is>
      </c>
      <c r="E4070" t="inlineStr">
        <is>
          <t>HEBY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21612-2023</t>
        </is>
      </c>
      <c r="B4071" s="1" t="n">
        <v>45063</v>
      </c>
      <c r="C4071" s="1" t="n">
        <v>46098</v>
      </c>
      <c r="D4071" t="inlineStr">
        <is>
          <t>UPPSALA LÄN</t>
        </is>
      </c>
      <c r="E4071" t="inlineStr">
        <is>
          <t>ENKÖPING</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41821-2023</t>
        </is>
      </c>
      <c r="B4072" s="1" t="n">
        <v>45176</v>
      </c>
      <c r="C4072" s="1" t="n">
        <v>46098</v>
      </c>
      <c r="D4072" t="inlineStr">
        <is>
          <t>UPPSALA LÄN</t>
        </is>
      </c>
      <c r="E4072" t="inlineStr">
        <is>
          <t>ÖSTHAMMAR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19718-2023</t>
        </is>
      </c>
      <c r="B4073" s="1" t="n">
        <v>45050</v>
      </c>
      <c r="C4073" s="1" t="n">
        <v>46098</v>
      </c>
      <c r="D4073" t="inlineStr">
        <is>
          <t>UPPSALA LÄN</t>
        </is>
      </c>
      <c r="E4073" t="inlineStr">
        <is>
          <t>HEBY</t>
        </is>
      </c>
      <c r="F4073" t="inlineStr">
        <is>
          <t>Bergvik skog väst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19380-2025</t>
        </is>
      </c>
      <c r="B4074" s="1" t="n">
        <v>45769.65503472222</v>
      </c>
      <c r="C4074" s="1" t="n">
        <v>46098</v>
      </c>
      <c r="D4074" t="inlineStr">
        <is>
          <t>UPPSALA LÄN</t>
        </is>
      </c>
      <c r="E4074" t="inlineStr">
        <is>
          <t>TIERP</t>
        </is>
      </c>
      <c r="F4074" t="inlineStr">
        <is>
          <t>Bergvik skog öst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4059-2022</t>
        </is>
      </c>
      <c r="B4075" s="1" t="n">
        <v>44588</v>
      </c>
      <c r="C4075" s="1" t="n">
        <v>46098</v>
      </c>
      <c r="D4075" t="inlineStr">
        <is>
          <t>UPPSALA LÄN</t>
        </is>
      </c>
      <c r="E4075" t="inlineStr">
        <is>
          <t>UPPSALA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35309-2023</t>
        </is>
      </c>
      <c r="B4076" s="1" t="n">
        <v>45146</v>
      </c>
      <c r="C4076" s="1" t="n">
        <v>46098</v>
      </c>
      <c r="D4076" t="inlineStr">
        <is>
          <t>UPPSALA LÄN</t>
        </is>
      </c>
      <c r="E4076" t="inlineStr">
        <is>
          <t>ÖSTHAMMAR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14243-2025</t>
        </is>
      </c>
      <c r="B4077" s="1" t="n">
        <v>45740.61288194444</v>
      </c>
      <c r="C4077" s="1" t="n">
        <v>46098</v>
      </c>
      <c r="D4077" t="inlineStr">
        <is>
          <t>UPPSALA LÄN</t>
        </is>
      </c>
      <c r="E4077" t="inlineStr">
        <is>
          <t>ENKÖPING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14267-2025</t>
        </is>
      </c>
      <c r="B4078" s="1" t="n">
        <v>45740.63686342593</v>
      </c>
      <c r="C4078" s="1" t="n">
        <v>46098</v>
      </c>
      <c r="D4078" t="inlineStr">
        <is>
          <t>UPPSALA LÄN</t>
        </is>
      </c>
      <c r="E4078" t="inlineStr">
        <is>
          <t>KNIVSTA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14272-2025</t>
        </is>
      </c>
      <c r="B4079" s="1" t="n">
        <v>45740.64327546296</v>
      </c>
      <c r="C4079" s="1" t="n">
        <v>46098</v>
      </c>
      <c r="D4079" t="inlineStr">
        <is>
          <t>UPPSALA LÄN</t>
        </is>
      </c>
      <c r="E4079" t="inlineStr">
        <is>
          <t>ÖSTHAMMAR</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54715-2022</t>
        </is>
      </c>
      <c r="B4080" s="1" t="n">
        <v>44883</v>
      </c>
      <c r="C4080" s="1" t="n">
        <v>46098</v>
      </c>
      <c r="D4080" t="inlineStr">
        <is>
          <t>UPPSALA LÄN</t>
        </is>
      </c>
      <c r="E4080" t="inlineStr">
        <is>
          <t>UPPSALA</t>
        </is>
      </c>
      <c r="F4080" t="inlineStr">
        <is>
          <t>Övriga Aktiebolag</t>
        </is>
      </c>
      <c r="G4080" t="n">
        <v>9.5</v>
      </c>
      <c r="H4080" t="n">
        <v>0</v>
      </c>
      <c r="I4080" t="n">
        <v>0</v>
      </c>
      <c r="J4080" t="n">
        <v>0</v>
      </c>
      <c r="K4080" t="n">
        <v>0</v>
      </c>
      <c r="L4080" t="n">
        <v>0</v>
      </c>
      <c r="M4080" t="n">
        <v>0</v>
      </c>
      <c r="N4080" t="n">
        <v>0</v>
      </c>
      <c r="O4080" t="n">
        <v>0</v>
      </c>
      <c r="P4080" t="n">
        <v>0</v>
      </c>
      <c r="Q4080" t="n">
        <v>0</v>
      </c>
      <c r="R4080" s="2" t="inlineStr"/>
    </row>
    <row r="4081" ht="15" customHeight="1">
      <c r="A4081" t="inlineStr">
        <is>
          <t>A 33343-2024</t>
        </is>
      </c>
      <c r="B4081" s="1" t="n">
        <v>45519</v>
      </c>
      <c r="C4081" s="1" t="n">
        <v>46098</v>
      </c>
      <c r="D4081" t="inlineStr">
        <is>
          <t>UPPSALA LÄN</t>
        </is>
      </c>
      <c r="E4081" t="inlineStr">
        <is>
          <t>ENKÖPING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60456-2022</t>
        </is>
      </c>
      <c r="B4082" s="1" t="n">
        <v>44911.3789699074</v>
      </c>
      <c r="C4082" s="1" t="n">
        <v>46098</v>
      </c>
      <c r="D4082" t="inlineStr">
        <is>
          <t>UPPSALA LÄN</t>
        </is>
      </c>
      <c r="E4082" t="inlineStr">
        <is>
          <t>HEBY</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6973-2025</t>
        </is>
      </c>
      <c r="B4083" s="1" t="n">
        <v>45693</v>
      </c>
      <c r="C4083" s="1" t="n">
        <v>46098</v>
      </c>
      <c r="D4083" t="inlineStr">
        <is>
          <t>UPPSALA LÄN</t>
        </is>
      </c>
      <c r="E4083" t="inlineStr">
        <is>
          <t>UPPSALA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74019-2021</t>
        </is>
      </c>
      <c r="B4084" s="1" t="n">
        <v>44553</v>
      </c>
      <c r="C4084" s="1" t="n">
        <v>46098</v>
      </c>
      <c r="D4084" t="inlineStr">
        <is>
          <t>UPPSALA LÄN</t>
        </is>
      </c>
      <c r="E4084" t="inlineStr">
        <is>
          <t>UPPSALA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17940-2025</t>
        </is>
      </c>
      <c r="B4085" s="1" t="n">
        <v>45760.55842592593</v>
      </c>
      <c r="C4085" s="1" t="n">
        <v>46098</v>
      </c>
      <c r="D4085" t="inlineStr">
        <is>
          <t>UPPSALA LÄN</t>
        </is>
      </c>
      <c r="E4085" t="inlineStr">
        <is>
          <t>ÖSTHAMMAR</t>
        </is>
      </c>
      <c r="F4085" t="inlineStr">
        <is>
          <t>Bergvik skog öst AB</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12215-2023</t>
        </is>
      </c>
      <c r="B4086" s="1" t="n">
        <v>44998</v>
      </c>
      <c r="C4086" s="1" t="n">
        <v>46098</v>
      </c>
      <c r="D4086" t="inlineStr">
        <is>
          <t>UPPSALA LÄN</t>
        </is>
      </c>
      <c r="E4086" t="inlineStr">
        <is>
          <t>ÖSTHAMMAR</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19613-2025</t>
        </is>
      </c>
      <c r="B4087" s="1" t="n">
        <v>45770.61341435185</v>
      </c>
      <c r="C4087" s="1" t="n">
        <v>46098</v>
      </c>
      <c r="D4087" t="inlineStr">
        <is>
          <t>UPPSALA LÄN</t>
        </is>
      </c>
      <c r="E4087" t="inlineStr">
        <is>
          <t>UPPSALA</t>
        </is>
      </c>
      <c r="F4087" t="inlineStr">
        <is>
          <t>Övriga Aktiebolag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7375-2025</t>
        </is>
      </c>
      <c r="B4088" s="1" t="n">
        <v>45705.29239583333</v>
      </c>
      <c r="C4088" s="1" t="n">
        <v>46098</v>
      </c>
      <c r="D4088" t="inlineStr">
        <is>
          <t>UPPSALA LÄN</t>
        </is>
      </c>
      <c r="E4088" t="inlineStr">
        <is>
          <t>TIERP</t>
        </is>
      </c>
      <c r="F4088" t="inlineStr">
        <is>
          <t>Bergvik skog väst AB</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41223-2023</t>
        </is>
      </c>
      <c r="B4089" s="1" t="n">
        <v>45174</v>
      </c>
      <c r="C4089" s="1" t="n">
        <v>46098</v>
      </c>
      <c r="D4089" t="inlineStr">
        <is>
          <t>UPPSALA LÄN</t>
        </is>
      </c>
      <c r="E4089" t="inlineStr">
        <is>
          <t>TIERP</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41272-2023</t>
        </is>
      </c>
      <c r="B4090" s="1" t="n">
        <v>45174</v>
      </c>
      <c r="C4090" s="1" t="n">
        <v>46098</v>
      </c>
      <c r="D4090" t="inlineStr">
        <is>
          <t>UPPSALA LÄN</t>
        </is>
      </c>
      <c r="E4090" t="inlineStr">
        <is>
          <t>ÄLVKARLEBY</t>
        </is>
      </c>
      <c r="F4090" t="inlineStr">
        <is>
          <t>Bergvik skog väst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8805-2023</t>
        </is>
      </c>
      <c r="B4091" s="1" t="n">
        <v>44978.61866898148</v>
      </c>
      <c r="C4091" s="1" t="n">
        <v>46098</v>
      </c>
      <c r="D4091" t="inlineStr">
        <is>
          <t>UPPSALA LÄN</t>
        </is>
      </c>
      <c r="E4091" t="inlineStr">
        <is>
          <t>HEBY</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27119-2023</t>
        </is>
      </c>
      <c r="B4092" s="1" t="n">
        <v>45096</v>
      </c>
      <c r="C4092" s="1" t="n">
        <v>46098</v>
      </c>
      <c r="D4092" t="inlineStr">
        <is>
          <t>UPPSALA LÄN</t>
        </is>
      </c>
      <c r="E4092" t="inlineStr">
        <is>
          <t>UPPSALA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14916-2025</t>
        </is>
      </c>
      <c r="B4093" s="1" t="n">
        <v>45743</v>
      </c>
      <c r="C4093" s="1" t="n">
        <v>46098</v>
      </c>
      <c r="D4093" t="inlineStr">
        <is>
          <t>UPPSALA LÄN</t>
        </is>
      </c>
      <c r="E4093" t="inlineStr">
        <is>
          <t>HEBY</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35906-2023</t>
        </is>
      </c>
      <c r="B4094" s="1" t="n">
        <v>45148</v>
      </c>
      <c r="C4094" s="1" t="n">
        <v>46098</v>
      </c>
      <c r="D4094" t="inlineStr">
        <is>
          <t>UPPSALA LÄN</t>
        </is>
      </c>
      <c r="E4094" t="inlineStr">
        <is>
          <t>UPPSALA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478-2025</t>
        </is>
      </c>
      <c r="B4095" s="1" t="n">
        <v>45664.44835648148</v>
      </c>
      <c r="C4095" s="1" t="n">
        <v>46098</v>
      </c>
      <c r="D4095" t="inlineStr">
        <is>
          <t>UPPSALA LÄN</t>
        </is>
      </c>
      <c r="E4095" t="inlineStr">
        <is>
          <t>HEBY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66779-2021</t>
        </is>
      </c>
      <c r="B4096" s="1" t="n">
        <v>44522.31700231481</v>
      </c>
      <c r="C4096" s="1" t="n">
        <v>46098</v>
      </c>
      <c r="D4096" t="inlineStr">
        <is>
          <t>UPPSALA LÄN</t>
        </is>
      </c>
      <c r="E4096" t="inlineStr">
        <is>
          <t>ÖSTHAMMAR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9238-2023</t>
        </is>
      </c>
      <c r="B4097" s="1" t="n">
        <v>44980</v>
      </c>
      <c r="C4097" s="1" t="n">
        <v>46098</v>
      </c>
      <c r="D4097" t="inlineStr">
        <is>
          <t>UPPSALA LÄN</t>
        </is>
      </c>
      <c r="E4097" t="inlineStr">
        <is>
          <t>TIERP</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9295-2023</t>
        </is>
      </c>
      <c r="B4098" s="1" t="n">
        <v>44980</v>
      </c>
      <c r="C4098" s="1" t="n">
        <v>46098</v>
      </c>
      <c r="D4098" t="inlineStr">
        <is>
          <t>UPPSALA LÄN</t>
        </is>
      </c>
      <c r="E4098" t="inlineStr">
        <is>
          <t>UPPSALA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29019-2023</t>
        </is>
      </c>
      <c r="B4099" s="1" t="n">
        <v>45104.6828125</v>
      </c>
      <c r="C4099" s="1" t="n">
        <v>46098</v>
      </c>
      <c r="D4099" t="inlineStr">
        <is>
          <t>UPPSALA LÄN</t>
        </is>
      </c>
      <c r="E4099" t="inlineStr">
        <is>
          <t>UPPSALA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18302-2025</t>
        </is>
      </c>
      <c r="B4100" s="1" t="n">
        <v>45762</v>
      </c>
      <c r="C4100" s="1" t="n">
        <v>46098</v>
      </c>
      <c r="D4100" t="inlineStr">
        <is>
          <t>UPPSALA LÄN</t>
        </is>
      </c>
      <c r="E4100" t="inlineStr">
        <is>
          <t>ENKÖPING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18278-2024</t>
        </is>
      </c>
      <c r="B4101" s="1" t="n">
        <v>45422.31803240741</v>
      </c>
      <c r="C4101" s="1" t="n">
        <v>46098</v>
      </c>
      <c r="D4101" t="inlineStr">
        <is>
          <t>UPPSALA LÄN</t>
        </is>
      </c>
      <c r="E4101" t="inlineStr">
        <is>
          <t>HEBY</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28226-2023</t>
        </is>
      </c>
      <c r="B4102" s="1" t="n">
        <v>45099.57417824074</v>
      </c>
      <c r="C4102" s="1" t="n">
        <v>46098</v>
      </c>
      <c r="D4102" t="inlineStr">
        <is>
          <t>UPPSALA LÄN</t>
        </is>
      </c>
      <c r="E4102" t="inlineStr">
        <is>
          <t>HEBY</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28243-2023</t>
        </is>
      </c>
      <c r="B4103" s="1" t="n">
        <v>45099.58885416666</v>
      </c>
      <c r="C4103" s="1" t="n">
        <v>46098</v>
      </c>
      <c r="D4103" t="inlineStr">
        <is>
          <t>UPPSALA LÄN</t>
        </is>
      </c>
      <c r="E4103" t="inlineStr">
        <is>
          <t>ENKÖPING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7860-2025</t>
        </is>
      </c>
      <c r="B4104" s="1" t="n">
        <v>45706</v>
      </c>
      <c r="C4104" s="1" t="n">
        <v>46098</v>
      </c>
      <c r="D4104" t="inlineStr">
        <is>
          <t>UPPSALA LÄN</t>
        </is>
      </c>
      <c r="E4104" t="inlineStr">
        <is>
          <t>HEBY</t>
        </is>
      </c>
      <c r="F4104" t="inlineStr">
        <is>
          <t>Kyrkan</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33062-2021</t>
        </is>
      </c>
      <c r="B4105" s="1" t="n">
        <v>44376</v>
      </c>
      <c r="C4105" s="1" t="n">
        <v>46098</v>
      </c>
      <c r="D4105" t="inlineStr">
        <is>
          <t>UPPSALA LÄN</t>
        </is>
      </c>
      <c r="E4105" t="inlineStr">
        <is>
          <t>ÖSTHAMMAR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28782-2024</t>
        </is>
      </c>
      <c r="B4106" s="1" t="n">
        <v>45478.60802083334</v>
      </c>
      <c r="C4106" s="1" t="n">
        <v>46098</v>
      </c>
      <c r="D4106" t="inlineStr">
        <is>
          <t>UPPSALA LÄN</t>
        </is>
      </c>
      <c r="E4106" t="inlineStr">
        <is>
          <t>UPPSALA</t>
        </is>
      </c>
      <c r="F4106" t="inlineStr">
        <is>
          <t>Holmen skog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24033-2023</t>
        </is>
      </c>
      <c r="B4107" s="1" t="n">
        <v>45078</v>
      </c>
      <c r="C4107" s="1" t="n">
        <v>46098</v>
      </c>
      <c r="D4107" t="inlineStr">
        <is>
          <t>UPPSALA LÄN</t>
        </is>
      </c>
      <c r="E4107" t="inlineStr">
        <is>
          <t>ÖSTHAMMAR</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17349-2025</t>
        </is>
      </c>
      <c r="B4108" s="1" t="n">
        <v>45756</v>
      </c>
      <c r="C4108" s="1" t="n">
        <v>46098</v>
      </c>
      <c r="D4108" t="inlineStr">
        <is>
          <t>UPPSALA LÄN</t>
        </is>
      </c>
      <c r="E4108" t="inlineStr">
        <is>
          <t>HEBY</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27125-2023</t>
        </is>
      </c>
      <c r="B4109" s="1" t="n">
        <v>45096</v>
      </c>
      <c r="C4109" s="1" t="n">
        <v>46098</v>
      </c>
      <c r="D4109" t="inlineStr">
        <is>
          <t>UPPSALA LÄN</t>
        </is>
      </c>
      <c r="E4109" t="inlineStr">
        <is>
          <t>UPPSALA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9426-2023</t>
        </is>
      </c>
      <c r="B4110" s="1" t="n">
        <v>44977</v>
      </c>
      <c r="C4110" s="1" t="n">
        <v>46098</v>
      </c>
      <c r="D4110" t="inlineStr">
        <is>
          <t>UPPSALA LÄN</t>
        </is>
      </c>
      <c r="E4110" t="inlineStr">
        <is>
          <t>UPPSALA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9432-2023</t>
        </is>
      </c>
      <c r="B4111" s="1" t="n">
        <v>44981.51266203704</v>
      </c>
      <c r="C4111" s="1" t="n">
        <v>46098</v>
      </c>
      <c r="D4111" t="inlineStr">
        <is>
          <t>UPPSALA LÄN</t>
        </is>
      </c>
      <c r="E4111" t="inlineStr">
        <is>
          <t>TIERP</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53900-2023</t>
        </is>
      </c>
      <c r="B4112" s="1" t="n">
        <v>45231.54601851852</v>
      </c>
      <c r="C4112" s="1" t="n">
        <v>46098</v>
      </c>
      <c r="D4112" t="inlineStr">
        <is>
          <t>UPPSALA LÄN</t>
        </is>
      </c>
      <c r="E4112" t="inlineStr">
        <is>
          <t>UPPSALA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53911-2023</t>
        </is>
      </c>
      <c r="B4113" s="1" t="n">
        <v>45231.56061342593</v>
      </c>
      <c r="C4113" s="1" t="n">
        <v>46098</v>
      </c>
      <c r="D4113" t="inlineStr">
        <is>
          <t>UPPSALA LÄN</t>
        </is>
      </c>
      <c r="E4113" t="inlineStr">
        <is>
          <t>HEBY</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34648-2021</t>
        </is>
      </c>
      <c r="B4114" s="1" t="n">
        <v>44382</v>
      </c>
      <c r="C4114" s="1" t="n">
        <v>46098</v>
      </c>
      <c r="D4114" t="inlineStr">
        <is>
          <t>UPPSALA LÄN</t>
        </is>
      </c>
      <c r="E4114" t="inlineStr">
        <is>
          <t>TIERP</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8132-2022</t>
        </is>
      </c>
      <c r="B4115" s="1" t="n">
        <v>44609.60171296296</v>
      </c>
      <c r="C4115" s="1" t="n">
        <v>46098</v>
      </c>
      <c r="D4115" t="inlineStr">
        <is>
          <t>UPPSALA LÄN</t>
        </is>
      </c>
      <c r="E4115" t="inlineStr">
        <is>
          <t>UPPSALA</t>
        </is>
      </c>
      <c r="F4115" t="inlineStr">
        <is>
          <t>Kommuner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17939-2025</t>
        </is>
      </c>
      <c r="B4116" s="1" t="n">
        <v>45760.55671296296</v>
      </c>
      <c r="C4116" s="1" t="n">
        <v>46098</v>
      </c>
      <c r="D4116" t="inlineStr">
        <is>
          <t>UPPSALA LÄN</t>
        </is>
      </c>
      <c r="E4116" t="inlineStr">
        <is>
          <t>ÖSTHAMMAR</t>
        </is>
      </c>
      <c r="F4116" t="inlineStr">
        <is>
          <t>Bergvik skog öst AB</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3638-2022</t>
        </is>
      </c>
      <c r="B4117" s="1" t="n">
        <v>44578</v>
      </c>
      <c r="C4117" s="1" t="n">
        <v>46098</v>
      </c>
      <c r="D4117" t="inlineStr">
        <is>
          <t>UPPSALA LÄN</t>
        </is>
      </c>
      <c r="E4117" t="inlineStr">
        <is>
          <t>ÖSTHAMMAR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18054-2025</t>
        </is>
      </c>
      <c r="B4118" s="1" t="n">
        <v>45761.47540509259</v>
      </c>
      <c r="C4118" s="1" t="n">
        <v>46098</v>
      </c>
      <c r="D4118" t="inlineStr">
        <is>
          <t>UPPSALA LÄN</t>
        </is>
      </c>
      <c r="E4118" t="inlineStr">
        <is>
          <t>UPPSALA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32181-2024</t>
        </is>
      </c>
      <c r="B4119" s="1" t="n">
        <v>45511</v>
      </c>
      <c r="C4119" s="1" t="n">
        <v>46098</v>
      </c>
      <c r="D4119" t="inlineStr">
        <is>
          <t>UPPSALA LÄN</t>
        </is>
      </c>
      <c r="E4119" t="inlineStr">
        <is>
          <t>HEBY</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18058-2025</t>
        </is>
      </c>
      <c r="B4120" s="1" t="n">
        <v>45761.47748842592</v>
      </c>
      <c r="C4120" s="1" t="n">
        <v>46098</v>
      </c>
      <c r="D4120" t="inlineStr">
        <is>
          <t>UPPSALA LÄN</t>
        </is>
      </c>
      <c r="E4120" t="inlineStr">
        <is>
          <t>UPPSALA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3235-2025</t>
        </is>
      </c>
      <c r="B4121" s="1" t="n">
        <v>45679</v>
      </c>
      <c r="C4121" s="1" t="n">
        <v>46098</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41828-2024</t>
        </is>
      </c>
      <c r="B4122" s="1" t="n">
        <v>45561</v>
      </c>
      <c r="C4122" s="1" t="n">
        <v>46098</v>
      </c>
      <c r="D4122" t="inlineStr">
        <is>
          <t>UPPSALA LÄN</t>
        </is>
      </c>
      <c r="E4122" t="inlineStr">
        <is>
          <t>ENKÖPING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21293-2023</t>
        </is>
      </c>
      <c r="B4123" s="1" t="n">
        <v>45058</v>
      </c>
      <c r="C4123" s="1" t="n">
        <v>46098</v>
      </c>
      <c r="D4123" t="inlineStr">
        <is>
          <t>UPPSALA LÄN</t>
        </is>
      </c>
      <c r="E4123" t="inlineStr">
        <is>
          <t>HEBY</t>
        </is>
      </c>
      <c r="F4123" t="inlineStr">
        <is>
          <t>Bergvik skog väst AB</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40872-2023</t>
        </is>
      </c>
      <c r="B4124" s="1" t="n">
        <v>45173</v>
      </c>
      <c r="C4124" s="1" t="n">
        <v>46098</v>
      </c>
      <c r="D4124" t="inlineStr">
        <is>
          <t>UPPSALA LÄN</t>
        </is>
      </c>
      <c r="E4124" t="inlineStr">
        <is>
          <t>UPPSALA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1536-2024</t>
        </is>
      </c>
      <c r="B4125" s="1" t="n">
        <v>45306</v>
      </c>
      <c r="C4125" s="1" t="n">
        <v>46098</v>
      </c>
      <c r="D4125" t="inlineStr">
        <is>
          <t>UPPSALA LÄN</t>
        </is>
      </c>
      <c r="E4125" t="inlineStr">
        <is>
          <t>ENKÖPING</t>
        </is>
      </c>
      <c r="F4125" t="inlineStr">
        <is>
          <t>Kyrkan</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6550-2025</t>
        </is>
      </c>
      <c r="B4126" s="1" t="n">
        <v>45699.71063657408</v>
      </c>
      <c r="C4126" s="1" t="n">
        <v>46098</v>
      </c>
      <c r="D4126" t="inlineStr">
        <is>
          <t>UPPSALA LÄN</t>
        </is>
      </c>
      <c r="E4126" t="inlineStr">
        <is>
          <t>UPPSALA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55862-2022</t>
        </is>
      </c>
      <c r="B4127" s="1" t="n">
        <v>44888</v>
      </c>
      <c r="C4127" s="1" t="n">
        <v>46098</v>
      </c>
      <c r="D4127" t="inlineStr">
        <is>
          <t>UPPSALA LÄN</t>
        </is>
      </c>
      <c r="E4127" t="inlineStr">
        <is>
          <t>UPPSALA</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42564-2024</t>
        </is>
      </c>
      <c r="B4128" s="1" t="n">
        <v>45565.63358796296</v>
      </c>
      <c r="C4128" s="1" t="n">
        <v>46098</v>
      </c>
      <c r="D4128" t="inlineStr">
        <is>
          <t>UPPSALA LÄN</t>
        </is>
      </c>
      <c r="E4128" t="inlineStr">
        <is>
          <t>ENKÖPING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49897-2023</t>
        </is>
      </c>
      <c r="B4129" s="1" t="n">
        <v>45213.84846064815</v>
      </c>
      <c r="C4129" s="1" t="n">
        <v>46098</v>
      </c>
      <c r="D4129" t="inlineStr">
        <is>
          <t>UPPSALA LÄN</t>
        </is>
      </c>
      <c r="E4129" t="inlineStr">
        <is>
          <t>ÖSTHAMMAR</t>
        </is>
      </c>
      <c r="G4129" t="n">
        <v>9.199999999999999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32428-2023</t>
        </is>
      </c>
      <c r="B4130" s="1" t="n">
        <v>45110</v>
      </c>
      <c r="C4130" s="1" t="n">
        <v>46098</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43492-2023</t>
        </is>
      </c>
      <c r="B4131" s="1" t="n">
        <v>45181</v>
      </c>
      <c r="C4131" s="1" t="n">
        <v>46098</v>
      </c>
      <c r="D4131" t="inlineStr">
        <is>
          <t>UPPSALA LÄN</t>
        </is>
      </c>
      <c r="E4131" t="inlineStr">
        <is>
          <t>ENKÖPING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37812-2022</t>
        </is>
      </c>
      <c r="B4132" s="1" t="n">
        <v>44810</v>
      </c>
      <c r="C4132" s="1" t="n">
        <v>46098</v>
      </c>
      <c r="D4132" t="inlineStr">
        <is>
          <t>UPPSALA LÄN</t>
        </is>
      </c>
      <c r="E4132" t="inlineStr">
        <is>
          <t>ÖSTHAMMAR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20846-2024</t>
        </is>
      </c>
      <c r="B4133" s="1" t="n">
        <v>45439</v>
      </c>
      <c r="C4133" s="1" t="n">
        <v>46098</v>
      </c>
      <c r="D4133" t="inlineStr">
        <is>
          <t>UPPSALA LÄN</t>
        </is>
      </c>
      <c r="E4133" t="inlineStr">
        <is>
          <t>TIERP</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49050-2024</t>
        </is>
      </c>
      <c r="B4134" s="1" t="n">
        <v>45594</v>
      </c>
      <c r="C4134" s="1" t="n">
        <v>46098</v>
      </c>
      <c r="D4134" t="inlineStr">
        <is>
          <t>UPPSALA LÄN</t>
        </is>
      </c>
      <c r="E4134" t="inlineStr">
        <is>
          <t>UPPSALA</t>
        </is>
      </c>
      <c r="F4134" t="inlineStr">
        <is>
          <t>Övriga statliga verk och myndigheter</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50227-2024</t>
        </is>
      </c>
      <c r="B4135" s="1" t="n">
        <v>45600.54467592593</v>
      </c>
      <c r="C4135" s="1" t="n">
        <v>46098</v>
      </c>
      <c r="D4135" t="inlineStr">
        <is>
          <t>UPPSALA LÄN</t>
        </is>
      </c>
      <c r="E4135" t="inlineStr">
        <is>
          <t>TIERP</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11503-2023</t>
        </is>
      </c>
      <c r="B4136" s="1" t="n">
        <v>44993</v>
      </c>
      <c r="C4136" s="1" t="n">
        <v>46098</v>
      </c>
      <c r="D4136" t="inlineStr">
        <is>
          <t>UPPSALA LÄN</t>
        </is>
      </c>
      <c r="E4136" t="inlineStr">
        <is>
          <t>HEBY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18516-2025</t>
        </is>
      </c>
      <c r="B4137" s="1" t="n">
        <v>45763.38787037037</v>
      </c>
      <c r="C4137" s="1" t="n">
        <v>46098</v>
      </c>
      <c r="D4137" t="inlineStr">
        <is>
          <t>UPPSALA LÄN</t>
        </is>
      </c>
      <c r="E4137" t="inlineStr">
        <is>
          <t>TIERP</t>
        </is>
      </c>
      <c r="F4137" t="inlineStr">
        <is>
          <t>Bergvik skog öst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2491-2025</t>
        </is>
      </c>
      <c r="B4138" s="1" t="n">
        <v>45674</v>
      </c>
      <c r="C4138" s="1" t="n">
        <v>46098</v>
      </c>
      <c r="D4138" t="inlineStr">
        <is>
          <t>UPPSALA LÄN</t>
        </is>
      </c>
      <c r="E4138" t="inlineStr">
        <is>
          <t>HEBY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6626-2023</t>
        </is>
      </c>
      <c r="B4139" s="1" t="n">
        <v>44966.55946759259</v>
      </c>
      <c r="C4139" s="1" t="n">
        <v>46098</v>
      </c>
      <c r="D4139" t="inlineStr">
        <is>
          <t>UPPSALA LÄN</t>
        </is>
      </c>
      <c r="E4139" t="inlineStr">
        <is>
          <t>ENKÖPING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10383-2022</t>
        </is>
      </c>
      <c r="B4140" s="1" t="n">
        <v>44623.41775462963</v>
      </c>
      <c r="C4140" s="1" t="n">
        <v>46098</v>
      </c>
      <c r="D4140" t="inlineStr">
        <is>
          <t>UPPSALA LÄN</t>
        </is>
      </c>
      <c r="E4140" t="inlineStr">
        <is>
          <t>UPPSALA</t>
        </is>
      </c>
      <c r="F4140" t="inlineStr">
        <is>
          <t>Övriga Aktiebolag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60555-2023</t>
        </is>
      </c>
      <c r="B4141" s="1" t="n">
        <v>45259</v>
      </c>
      <c r="C4141" s="1" t="n">
        <v>46098</v>
      </c>
      <c r="D4141" t="inlineStr">
        <is>
          <t>UPPSALA LÄN</t>
        </is>
      </c>
      <c r="E4141" t="inlineStr">
        <is>
          <t>ÖSTHAMMAR</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25363-2022</t>
        </is>
      </c>
      <c r="B4142" s="1" t="n">
        <v>44732.35172453704</v>
      </c>
      <c r="C4142" s="1" t="n">
        <v>46098</v>
      </c>
      <c r="D4142" t="inlineStr">
        <is>
          <t>UPPSALA LÄN</t>
        </is>
      </c>
      <c r="E4142" t="inlineStr">
        <is>
          <t>TIERP</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60691-2024</t>
        </is>
      </c>
      <c r="B4143" s="1" t="n">
        <v>45644.47723379629</v>
      </c>
      <c r="C4143" s="1" t="n">
        <v>46098</v>
      </c>
      <c r="D4143" t="inlineStr">
        <is>
          <t>UPPSALA LÄN</t>
        </is>
      </c>
      <c r="E4143" t="inlineStr">
        <is>
          <t>UPPSALA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44093-2024</t>
        </is>
      </c>
      <c r="B4144" s="1" t="n">
        <v>45572.6234837963</v>
      </c>
      <c r="C4144" s="1" t="n">
        <v>46098</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23157-2023</t>
        </is>
      </c>
      <c r="B4145" s="1" t="n">
        <v>45075.51982638889</v>
      </c>
      <c r="C4145" s="1" t="n">
        <v>46098</v>
      </c>
      <c r="D4145" t="inlineStr">
        <is>
          <t>UPPSALA LÄN</t>
        </is>
      </c>
      <c r="E4145" t="inlineStr">
        <is>
          <t>UPPSALA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19559-2025</t>
        </is>
      </c>
      <c r="B4146" s="1" t="n">
        <v>45770.51476851852</v>
      </c>
      <c r="C4146" s="1" t="n">
        <v>46098</v>
      </c>
      <c r="D4146" t="inlineStr">
        <is>
          <t>UPPSALA LÄN</t>
        </is>
      </c>
      <c r="E4146" t="inlineStr">
        <is>
          <t>HEBY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53589-2024</t>
        </is>
      </c>
      <c r="B4147" s="1" t="n">
        <v>45614.67020833334</v>
      </c>
      <c r="C4147" s="1" t="n">
        <v>46098</v>
      </c>
      <c r="D4147" t="inlineStr">
        <is>
          <t>UPPSALA LÄN</t>
        </is>
      </c>
      <c r="E4147" t="inlineStr">
        <is>
          <t>UPPSALA</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40533-2022</t>
        </is>
      </c>
      <c r="B4148" s="1" t="n">
        <v>44823</v>
      </c>
      <c r="C4148" s="1" t="n">
        <v>46098</v>
      </c>
      <c r="D4148" t="inlineStr">
        <is>
          <t>UPPSALA LÄN</t>
        </is>
      </c>
      <c r="E4148" t="inlineStr">
        <is>
          <t>HEBY</t>
        </is>
      </c>
      <c r="F4148" t="inlineStr">
        <is>
          <t>Övriga Aktiebolag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35914-2023</t>
        </is>
      </c>
      <c r="B4149" s="1" t="n">
        <v>45148</v>
      </c>
      <c r="C4149" s="1" t="n">
        <v>46098</v>
      </c>
      <c r="D4149" t="inlineStr">
        <is>
          <t>UPPSALA LÄN</t>
        </is>
      </c>
      <c r="E4149" t="inlineStr">
        <is>
          <t>UPPSALA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35916-2023</t>
        </is>
      </c>
      <c r="B4150" s="1" t="n">
        <v>45148</v>
      </c>
      <c r="C4150" s="1" t="n">
        <v>46098</v>
      </c>
      <c r="D4150" t="inlineStr">
        <is>
          <t>UPPSALA LÄN</t>
        </is>
      </c>
      <c r="E4150" t="inlineStr">
        <is>
          <t>UPPSALA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43029-2023</t>
        </is>
      </c>
      <c r="B4151" s="1" t="n">
        <v>45182</v>
      </c>
      <c r="C4151" s="1" t="n">
        <v>46098</v>
      </c>
      <c r="D4151" t="inlineStr">
        <is>
          <t>UPPSALA LÄN</t>
        </is>
      </c>
      <c r="E4151" t="inlineStr">
        <is>
          <t>UPPSALA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47968-2023</t>
        </is>
      </c>
      <c r="B4152" s="1" t="n">
        <v>45204</v>
      </c>
      <c r="C4152" s="1" t="n">
        <v>46098</v>
      </c>
      <c r="D4152" t="inlineStr">
        <is>
          <t>UPPSALA LÄN</t>
        </is>
      </c>
      <c r="E4152" t="inlineStr">
        <is>
          <t>TIERP</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29387-2022</t>
        </is>
      </c>
      <c r="B4153" s="1" t="n">
        <v>44753</v>
      </c>
      <c r="C4153" s="1" t="n">
        <v>46098</v>
      </c>
      <c r="D4153" t="inlineStr">
        <is>
          <t>UPPSALA LÄN</t>
        </is>
      </c>
      <c r="E4153" t="inlineStr">
        <is>
          <t>HEBY</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61947-2023</t>
        </is>
      </c>
      <c r="B4154" s="1" t="n">
        <v>45266</v>
      </c>
      <c r="C4154" s="1" t="n">
        <v>46098</v>
      </c>
      <c r="D4154" t="inlineStr">
        <is>
          <t>UPPSALA LÄN</t>
        </is>
      </c>
      <c r="E4154" t="inlineStr">
        <is>
          <t>UPPSALA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61574-2024</t>
        </is>
      </c>
      <c r="B4155" s="1" t="n">
        <v>45646.61892361111</v>
      </c>
      <c r="C4155" s="1" t="n">
        <v>46098</v>
      </c>
      <c r="D4155" t="inlineStr">
        <is>
          <t>UPPSALA LÄN</t>
        </is>
      </c>
      <c r="E4155" t="inlineStr">
        <is>
          <t>UPPSALA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17580-2021</t>
        </is>
      </c>
      <c r="B4156" s="1" t="n">
        <v>44299</v>
      </c>
      <c r="C4156" s="1" t="n">
        <v>46098</v>
      </c>
      <c r="D4156" t="inlineStr">
        <is>
          <t>UPPSALA LÄN</t>
        </is>
      </c>
      <c r="E4156" t="inlineStr">
        <is>
          <t>HEBY</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17165-2025</t>
        </is>
      </c>
      <c r="B4157" s="1" t="n">
        <v>45756</v>
      </c>
      <c r="C4157" s="1" t="n">
        <v>46098</v>
      </c>
      <c r="D4157" t="inlineStr">
        <is>
          <t>UPPSALA LÄN</t>
        </is>
      </c>
      <c r="E4157" t="inlineStr">
        <is>
          <t>ENKÖPING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16851-2025</t>
        </is>
      </c>
      <c r="B4158" s="1" t="n">
        <v>45754.71314814815</v>
      </c>
      <c r="C4158" s="1" t="n">
        <v>46098</v>
      </c>
      <c r="D4158" t="inlineStr">
        <is>
          <t>UPPSALA LÄN</t>
        </is>
      </c>
      <c r="E4158" t="inlineStr">
        <is>
          <t>TIERP</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5013-2025</t>
        </is>
      </c>
      <c r="B4159" s="1" t="n">
        <v>45691</v>
      </c>
      <c r="C4159" s="1" t="n">
        <v>46098</v>
      </c>
      <c r="D4159" t="inlineStr">
        <is>
          <t>UPPSALA LÄN</t>
        </is>
      </c>
      <c r="E4159" t="inlineStr">
        <is>
          <t>ENKÖPING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48735-2023</t>
        </is>
      </c>
      <c r="B4160" s="1" t="n">
        <v>45203</v>
      </c>
      <c r="C4160" s="1" t="n">
        <v>46098</v>
      </c>
      <c r="D4160" t="inlineStr">
        <is>
          <t>UPPSALA LÄN</t>
        </is>
      </c>
      <c r="E4160" t="inlineStr">
        <is>
          <t>TIERP</t>
        </is>
      </c>
      <c r="F4160" t="inlineStr">
        <is>
          <t>Bergvik skog väst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56081-2024</t>
        </is>
      </c>
      <c r="B4161" s="1" t="n">
        <v>45624</v>
      </c>
      <c r="C4161" s="1" t="n">
        <v>46098</v>
      </c>
      <c r="D4161" t="inlineStr">
        <is>
          <t>UPPSALA LÄN</t>
        </is>
      </c>
      <c r="E4161" t="inlineStr">
        <is>
          <t>HEBY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25462-2023</t>
        </is>
      </c>
      <c r="B4162" s="1" t="n">
        <v>45089</v>
      </c>
      <c r="C4162" s="1" t="n">
        <v>46098</v>
      </c>
      <c r="D4162" t="inlineStr">
        <is>
          <t>UPPSALA LÄN</t>
        </is>
      </c>
      <c r="E4162" t="inlineStr">
        <is>
          <t>UPPSALA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44815-2022</t>
        </is>
      </c>
      <c r="B4163" s="1" t="n">
        <v>44841.40452546296</v>
      </c>
      <c r="C4163" s="1" t="n">
        <v>46098</v>
      </c>
      <c r="D4163" t="inlineStr">
        <is>
          <t>UPPSALA LÄN</t>
        </is>
      </c>
      <c r="E4163" t="inlineStr">
        <is>
          <t>ÖSTHAMMAR</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14337-2022</t>
        </is>
      </c>
      <c r="B4164" s="1" t="n">
        <v>44652</v>
      </c>
      <c r="C4164" s="1" t="n">
        <v>46098</v>
      </c>
      <c r="D4164" t="inlineStr">
        <is>
          <t>UPPSALA LÄN</t>
        </is>
      </c>
      <c r="E4164" t="inlineStr">
        <is>
          <t>UPPSALA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46745-2024</t>
        </is>
      </c>
      <c r="B4165" s="1" t="n">
        <v>45583</v>
      </c>
      <c r="C4165" s="1" t="n">
        <v>46098</v>
      </c>
      <c r="D4165" t="inlineStr">
        <is>
          <t>UPPSALA LÄN</t>
        </is>
      </c>
      <c r="E4165" t="inlineStr">
        <is>
          <t>UPPSALA</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46748-2024</t>
        </is>
      </c>
      <c r="B4166" s="1" t="n">
        <v>45583</v>
      </c>
      <c r="C4166" s="1" t="n">
        <v>46098</v>
      </c>
      <c r="D4166" t="inlineStr">
        <is>
          <t>UPPSALA LÄN</t>
        </is>
      </c>
      <c r="E4166" t="inlineStr">
        <is>
          <t>UPPSALA</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31903-2023</t>
        </is>
      </c>
      <c r="B4167" s="1" t="n">
        <v>45118</v>
      </c>
      <c r="C4167" s="1" t="n">
        <v>46098</v>
      </c>
      <c r="D4167" t="inlineStr">
        <is>
          <t>UPPSALA LÄN</t>
        </is>
      </c>
      <c r="E4167" t="inlineStr">
        <is>
          <t>HEBY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73483-2021</t>
        </is>
      </c>
      <c r="B4168" s="1" t="n">
        <v>44550</v>
      </c>
      <c r="C4168" s="1" t="n">
        <v>46098</v>
      </c>
      <c r="D4168" t="inlineStr">
        <is>
          <t>UPPSALA LÄN</t>
        </is>
      </c>
      <c r="E4168" t="inlineStr">
        <is>
          <t>ÖSTHAMMAR</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23154-2023</t>
        </is>
      </c>
      <c r="B4169" s="1" t="n">
        <v>45075</v>
      </c>
      <c r="C4169" s="1" t="n">
        <v>46098</v>
      </c>
      <c r="D4169" t="inlineStr">
        <is>
          <t>UPPSALA LÄN</t>
        </is>
      </c>
      <c r="E4169" t="inlineStr">
        <is>
          <t>TIERP</t>
        </is>
      </c>
      <c r="F4169" t="inlineStr">
        <is>
          <t>Kyrkan</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37170-2021</t>
        </is>
      </c>
      <c r="B4170" s="1" t="n">
        <v>44395</v>
      </c>
      <c r="C4170" s="1" t="n">
        <v>46098</v>
      </c>
      <c r="D4170" t="inlineStr">
        <is>
          <t>UPPSALA LÄN</t>
        </is>
      </c>
      <c r="E4170" t="inlineStr">
        <is>
          <t>ENKÖPING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46408-2024</t>
        </is>
      </c>
      <c r="B4171" s="1" t="n">
        <v>45582.44432870371</v>
      </c>
      <c r="C4171" s="1" t="n">
        <v>46098</v>
      </c>
      <c r="D4171" t="inlineStr">
        <is>
          <t>UPPSALA LÄN</t>
        </is>
      </c>
      <c r="E4171" t="inlineStr">
        <is>
          <t>HEBY</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13697-2024</t>
        </is>
      </c>
      <c r="B4172" s="1" t="n">
        <v>45390</v>
      </c>
      <c r="C4172" s="1" t="n">
        <v>46098</v>
      </c>
      <c r="D4172" t="inlineStr">
        <is>
          <t>UPPSALA LÄN</t>
        </is>
      </c>
      <c r="E4172" t="inlineStr">
        <is>
          <t>KNIVSTA</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6121-2024</t>
        </is>
      </c>
      <c r="B4173" s="1" t="n">
        <v>45337.4219212963</v>
      </c>
      <c r="C4173" s="1" t="n">
        <v>46098</v>
      </c>
      <c r="D4173" t="inlineStr">
        <is>
          <t>UPPSALA LÄN</t>
        </is>
      </c>
      <c r="E4173" t="inlineStr">
        <is>
          <t>ÖSTHAMMAR</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6541-2025</t>
        </is>
      </c>
      <c r="B4174" s="1" t="n">
        <v>45699</v>
      </c>
      <c r="C4174" s="1" t="n">
        <v>46098</v>
      </c>
      <c r="D4174" t="inlineStr">
        <is>
          <t>UPPSALA LÄN</t>
        </is>
      </c>
      <c r="E4174" t="inlineStr">
        <is>
          <t>UPPSALA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58147-2024</t>
        </is>
      </c>
      <c r="B4175" s="1" t="n">
        <v>45632.4334375</v>
      </c>
      <c r="C4175" s="1" t="n">
        <v>46098</v>
      </c>
      <c r="D4175" t="inlineStr">
        <is>
          <t>UPPSALA LÄN</t>
        </is>
      </c>
      <c r="E4175" t="inlineStr">
        <is>
          <t>ENKÖPING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4213-2023</t>
        </is>
      </c>
      <c r="B4176" s="1" t="n">
        <v>44951</v>
      </c>
      <c r="C4176" s="1" t="n">
        <v>46098</v>
      </c>
      <c r="D4176" t="inlineStr">
        <is>
          <t>UPPSALA LÄN</t>
        </is>
      </c>
      <c r="E4176" t="inlineStr">
        <is>
          <t>HEBY</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62391-2022</t>
        </is>
      </c>
      <c r="B4177" s="1" t="n">
        <v>44923.7849537037</v>
      </c>
      <c r="C4177" s="1" t="n">
        <v>46098</v>
      </c>
      <c r="D4177" t="inlineStr">
        <is>
          <t>UPPSALA LÄN</t>
        </is>
      </c>
      <c r="E4177" t="inlineStr">
        <is>
          <t>ÖSTHAMMAR</t>
        </is>
      </c>
      <c r="F4177" t="inlineStr">
        <is>
          <t>Bergvik skog öst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33562-2023</t>
        </is>
      </c>
      <c r="B4178" s="1" t="n">
        <v>45131</v>
      </c>
      <c r="C4178" s="1" t="n">
        <v>46098</v>
      </c>
      <c r="D4178" t="inlineStr">
        <is>
          <t>UPPSALA LÄN</t>
        </is>
      </c>
      <c r="E4178" t="inlineStr">
        <is>
          <t>UPPSALA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5725-2025</t>
        </is>
      </c>
      <c r="B4179" s="1" t="n">
        <v>45694</v>
      </c>
      <c r="C4179" s="1" t="n">
        <v>46098</v>
      </c>
      <c r="D4179" t="inlineStr">
        <is>
          <t>UPPSALA LÄN</t>
        </is>
      </c>
      <c r="E4179" t="inlineStr">
        <is>
          <t>UPPSALA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10565-2022</t>
        </is>
      </c>
      <c r="B4180" s="1" t="n">
        <v>44624.35083333333</v>
      </c>
      <c r="C4180" s="1" t="n">
        <v>46098</v>
      </c>
      <c r="D4180" t="inlineStr">
        <is>
          <t>UPPSALA LÄN</t>
        </is>
      </c>
      <c r="E4180" t="inlineStr">
        <is>
          <t>UPPSALA</t>
        </is>
      </c>
      <c r="F4180" t="inlineStr">
        <is>
          <t>Bergvik skog öst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7468-2025</t>
        </is>
      </c>
      <c r="B4181" s="1" t="n">
        <v>45705.45865740741</v>
      </c>
      <c r="C4181" s="1" t="n">
        <v>46098</v>
      </c>
      <c r="D4181" t="inlineStr">
        <is>
          <t>UPPSALA LÄN</t>
        </is>
      </c>
      <c r="E4181" t="inlineStr">
        <is>
          <t>HEBY</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4240-2025</t>
        </is>
      </c>
      <c r="B4182" s="1" t="n">
        <v>45685.5778125</v>
      </c>
      <c r="C4182" s="1" t="n">
        <v>46098</v>
      </c>
      <c r="D4182" t="inlineStr">
        <is>
          <t>UPPSALA LÄN</t>
        </is>
      </c>
      <c r="E4182" t="inlineStr">
        <is>
          <t>UPPSALA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54314-2023</t>
        </is>
      </c>
      <c r="B4183" s="1" t="n">
        <v>45225</v>
      </c>
      <c r="C4183" s="1" t="n">
        <v>46098</v>
      </c>
      <c r="D4183" t="inlineStr">
        <is>
          <t>UPPSALA LÄN</t>
        </is>
      </c>
      <c r="E4183" t="inlineStr">
        <is>
          <t>ÖSTHAMMAR</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23363-2023</t>
        </is>
      </c>
      <c r="B4184" s="1" t="n">
        <v>45076</v>
      </c>
      <c r="C4184" s="1" t="n">
        <v>46098</v>
      </c>
      <c r="D4184" t="inlineStr">
        <is>
          <t>UPPSALA LÄN</t>
        </is>
      </c>
      <c r="E4184" t="inlineStr">
        <is>
          <t>ÖSTHAMMAR</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3550-2023</t>
        </is>
      </c>
      <c r="B4185" s="1" t="n">
        <v>44950</v>
      </c>
      <c r="C4185" s="1" t="n">
        <v>46098</v>
      </c>
      <c r="D4185" t="inlineStr">
        <is>
          <t>UPPSALA LÄN</t>
        </is>
      </c>
      <c r="E4185" t="inlineStr">
        <is>
          <t>ENKÖPING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4233-2023</t>
        </is>
      </c>
      <c r="B4186" s="1" t="n">
        <v>44953.48619212963</v>
      </c>
      <c r="C4186" s="1" t="n">
        <v>46098</v>
      </c>
      <c r="D4186" t="inlineStr">
        <is>
          <t>UPPSALA LÄN</t>
        </is>
      </c>
      <c r="E4186" t="inlineStr">
        <is>
          <t>ÖSTHAMMAR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19014-2025</t>
        </is>
      </c>
      <c r="B4187" s="1" t="n">
        <v>45764.59631944444</v>
      </c>
      <c r="C4187" s="1" t="n">
        <v>46098</v>
      </c>
      <c r="D4187" t="inlineStr">
        <is>
          <t>UPPSALA LÄN</t>
        </is>
      </c>
      <c r="E4187" t="inlineStr">
        <is>
          <t>ENKÖPING</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58270-2023</t>
        </is>
      </c>
      <c r="B4188" s="1" t="n">
        <v>45250.49961805555</v>
      </c>
      <c r="C4188" s="1" t="n">
        <v>46098</v>
      </c>
      <c r="D4188" t="inlineStr">
        <is>
          <t>UPPSALA LÄN</t>
        </is>
      </c>
      <c r="E4188" t="inlineStr">
        <is>
          <t>ÖSTHAMMAR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45917-2023</t>
        </is>
      </c>
      <c r="B4189" s="1" t="n">
        <v>45195</v>
      </c>
      <c r="C4189" s="1" t="n">
        <v>46098</v>
      </c>
      <c r="D4189" t="inlineStr">
        <is>
          <t>UPPSALA LÄN</t>
        </is>
      </c>
      <c r="E4189" t="inlineStr">
        <is>
          <t>HEBY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73592-2021</t>
        </is>
      </c>
      <c r="B4190" s="1" t="n">
        <v>44552.36974537037</v>
      </c>
      <c r="C4190" s="1" t="n">
        <v>46098</v>
      </c>
      <c r="D4190" t="inlineStr">
        <is>
          <t>UPPSALA LÄN</t>
        </is>
      </c>
      <c r="E4190" t="inlineStr">
        <is>
          <t>ÖSTHAMMAR</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27599-2023</t>
        </is>
      </c>
      <c r="B4191" s="1" t="n">
        <v>45097</v>
      </c>
      <c r="C4191" s="1" t="n">
        <v>46098</v>
      </c>
      <c r="D4191" t="inlineStr">
        <is>
          <t>UPPSALA LÄN</t>
        </is>
      </c>
      <c r="E4191" t="inlineStr">
        <is>
          <t>UPPSALA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25938-2024</t>
        </is>
      </c>
      <c r="B4192" s="1" t="n">
        <v>45467.63127314814</v>
      </c>
      <c r="C4192" s="1" t="n">
        <v>46098</v>
      </c>
      <c r="D4192" t="inlineStr">
        <is>
          <t>UPPSALA LÄN</t>
        </is>
      </c>
      <c r="E4192" t="inlineStr">
        <is>
          <t>ÖSTHAMMAR</t>
        </is>
      </c>
      <c r="F4192" t="inlineStr">
        <is>
          <t>Bergvik skog öst AB</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12958-2024</t>
        </is>
      </c>
      <c r="B4193" s="1" t="n">
        <v>45385</v>
      </c>
      <c r="C4193" s="1" t="n">
        <v>46098</v>
      </c>
      <c r="D4193" t="inlineStr">
        <is>
          <t>UPPSALA LÄN</t>
        </is>
      </c>
      <c r="E4193" t="inlineStr">
        <is>
          <t>ENKÖPING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36069-2021</t>
        </is>
      </c>
      <c r="B4194" s="1" t="n">
        <v>44389</v>
      </c>
      <c r="C4194" s="1" t="n">
        <v>46098</v>
      </c>
      <c r="D4194" t="inlineStr">
        <is>
          <t>UPPSALA LÄN</t>
        </is>
      </c>
      <c r="E4194" t="inlineStr">
        <is>
          <t>TIERP</t>
        </is>
      </c>
      <c r="F4194" t="inlineStr">
        <is>
          <t>Övriga Aktiebolag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35539-2023</t>
        </is>
      </c>
      <c r="B4195" s="1" t="n">
        <v>45147.37006944444</v>
      </c>
      <c r="C4195" s="1" t="n">
        <v>46098</v>
      </c>
      <c r="D4195" t="inlineStr">
        <is>
          <t>UPPSALA LÄN</t>
        </is>
      </c>
      <c r="E4195" t="inlineStr">
        <is>
          <t>ÖSTHAMMAR</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32744-2022</t>
        </is>
      </c>
      <c r="B4196" s="1" t="n">
        <v>44783.70378472222</v>
      </c>
      <c r="C4196" s="1" t="n">
        <v>46098</v>
      </c>
      <c r="D4196" t="inlineStr">
        <is>
          <t>UPPSALA LÄN</t>
        </is>
      </c>
      <c r="E4196" t="inlineStr">
        <is>
          <t>ÖSTHAMMAR</t>
        </is>
      </c>
      <c r="F4196" t="inlineStr">
        <is>
          <t>Bergvik skog öst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66305-2021</t>
        </is>
      </c>
      <c r="B4197" s="1" t="n">
        <v>44518</v>
      </c>
      <c r="C4197" s="1" t="n">
        <v>46098</v>
      </c>
      <c r="D4197" t="inlineStr">
        <is>
          <t>UPPSALA LÄN</t>
        </is>
      </c>
      <c r="E4197" t="inlineStr">
        <is>
          <t>KNIVSTA</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63940-2023</t>
        </is>
      </c>
      <c r="B4198" s="1" t="n">
        <v>45278</v>
      </c>
      <c r="C4198" s="1" t="n">
        <v>46098</v>
      </c>
      <c r="D4198" t="inlineStr">
        <is>
          <t>UPPSALA LÄN</t>
        </is>
      </c>
      <c r="E4198" t="inlineStr">
        <is>
          <t>HEBY</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61453-2022</t>
        </is>
      </c>
      <c r="B4199" s="1" t="n">
        <v>44916.41059027778</v>
      </c>
      <c r="C4199" s="1" t="n">
        <v>46098</v>
      </c>
      <c r="D4199" t="inlineStr">
        <is>
          <t>UPPSALA LÄN</t>
        </is>
      </c>
      <c r="E4199" t="inlineStr">
        <is>
          <t>HEBY</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29396-2022</t>
        </is>
      </c>
      <c r="B4200" s="1" t="n">
        <v>44753.43458333334</v>
      </c>
      <c r="C4200" s="1" t="n">
        <v>46098</v>
      </c>
      <c r="D4200" t="inlineStr">
        <is>
          <t>UPPSALA LÄN</t>
        </is>
      </c>
      <c r="E4200" t="inlineStr">
        <is>
          <t>HEBY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18230-2025</t>
        </is>
      </c>
      <c r="B4201" s="1" t="n">
        <v>45761.87114583333</v>
      </c>
      <c r="C4201" s="1" t="n">
        <v>46098</v>
      </c>
      <c r="D4201" t="inlineStr">
        <is>
          <t>UPPSALA LÄN</t>
        </is>
      </c>
      <c r="E4201" t="inlineStr">
        <is>
          <t>ÖSTHAMMAR</t>
        </is>
      </c>
      <c r="F4201" t="inlineStr">
        <is>
          <t>Bergvik skog öst AB</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20301-2024</t>
        </is>
      </c>
      <c r="B4202" s="1" t="n">
        <v>45435.34778935185</v>
      </c>
      <c r="C4202" s="1" t="n">
        <v>46098</v>
      </c>
      <c r="D4202" t="inlineStr">
        <is>
          <t>UPPSALA LÄN</t>
        </is>
      </c>
      <c r="E4202" t="inlineStr">
        <is>
          <t>UPPSALA</t>
        </is>
      </c>
      <c r="F4202" t="inlineStr">
        <is>
          <t>Kyrkan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8660-2022</t>
        </is>
      </c>
      <c r="B4203" s="1" t="n">
        <v>44613.66513888889</v>
      </c>
      <c r="C4203" s="1" t="n">
        <v>46098</v>
      </c>
      <c r="D4203" t="inlineStr">
        <is>
          <t>UPPSALA LÄN</t>
        </is>
      </c>
      <c r="E4203" t="inlineStr">
        <is>
          <t>HEBY</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1651-2024</t>
        </is>
      </c>
      <c r="B4204" s="1" t="n">
        <v>45306.73770833333</v>
      </c>
      <c r="C4204" s="1" t="n">
        <v>46098</v>
      </c>
      <c r="D4204" t="inlineStr">
        <is>
          <t>UPPSALA LÄN</t>
        </is>
      </c>
      <c r="E4204" t="inlineStr">
        <is>
          <t>ENKÖPING</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57714-2022</t>
        </is>
      </c>
      <c r="B4205" s="1" t="n">
        <v>44897</v>
      </c>
      <c r="C4205" s="1" t="n">
        <v>46098</v>
      </c>
      <c r="D4205" t="inlineStr">
        <is>
          <t>UPPSALA LÄN</t>
        </is>
      </c>
      <c r="E4205" t="inlineStr">
        <is>
          <t>UPPSALA</t>
        </is>
      </c>
      <c r="G4205" t="n">
        <v>8.9</v>
      </c>
      <c r="H4205" t="n">
        <v>0</v>
      </c>
      <c r="I4205" t="n">
        <v>0</v>
      </c>
      <c r="J4205" t="n">
        <v>0</v>
      </c>
      <c r="K4205" t="n">
        <v>0</v>
      </c>
      <c r="L4205" t="n">
        <v>0</v>
      </c>
      <c r="M4205" t="n">
        <v>0</v>
      </c>
      <c r="N4205" t="n">
        <v>0</v>
      </c>
      <c r="O4205" t="n">
        <v>0</v>
      </c>
      <c r="P4205" t="n">
        <v>0</v>
      </c>
      <c r="Q4205" t="n">
        <v>0</v>
      </c>
      <c r="R4205" s="2" t="inlineStr"/>
    </row>
    <row r="4206" ht="15" customHeight="1">
      <c r="A4206" t="inlineStr">
        <is>
          <t>A 3260-2024</t>
        </is>
      </c>
      <c r="B4206" s="1" t="n">
        <v>45317</v>
      </c>
      <c r="C4206" s="1" t="n">
        <v>46098</v>
      </c>
      <c r="D4206" t="inlineStr">
        <is>
          <t>UPPSALA LÄN</t>
        </is>
      </c>
      <c r="E4206" t="inlineStr">
        <is>
          <t>UPPSALA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54764-2022</t>
        </is>
      </c>
      <c r="B4207" s="1" t="n">
        <v>44883</v>
      </c>
      <c r="C4207" s="1" t="n">
        <v>46098</v>
      </c>
      <c r="D4207" t="inlineStr">
        <is>
          <t>UPPSALA LÄN</t>
        </is>
      </c>
      <c r="E4207" t="inlineStr">
        <is>
          <t>TIERP</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23065-2023</t>
        </is>
      </c>
      <c r="B4208" s="1" t="n">
        <v>45075</v>
      </c>
      <c r="C4208" s="1" t="n">
        <v>46098</v>
      </c>
      <c r="D4208" t="inlineStr">
        <is>
          <t>UPPSALA LÄN</t>
        </is>
      </c>
      <c r="E4208" t="inlineStr">
        <is>
          <t>HEBY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8006-2023</t>
        </is>
      </c>
      <c r="B4209" s="1" t="n">
        <v>44973</v>
      </c>
      <c r="C4209" s="1" t="n">
        <v>46098</v>
      </c>
      <c r="D4209" t="inlineStr">
        <is>
          <t>UPPSALA LÄN</t>
        </is>
      </c>
      <c r="E4209" t="inlineStr">
        <is>
          <t>ÖSTHAMMAR</t>
        </is>
      </c>
      <c r="F4209" t="inlineStr">
        <is>
          <t>Bergvik skog öst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52292-2022</t>
        </is>
      </c>
      <c r="B4210" s="1" t="n">
        <v>44873.67304398148</v>
      </c>
      <c r="C4210" s="1" t="n">
        <v>46098</v>
      </c>
      <c r="D4210" t="inlineStr">
        <is>
          <t>UPPSALA LÄN</t>
        </is>
      </c>
      <c r="E4210" t="inlineStr">
        <is>
          <t>HEBY</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51012-2024</t>
        </is>
      </c>
      <c r="B4211" s="1" t="n">
        <v>45603.39686342593</v>
      </c>
      <c r="C4211" s="1" t="n">
        <v>46098</v>
      </c>
      <c r="D4211" t="inlineStr">
        <is>
          <t>UPPSALA LÄN</t>
        </is>
      </c>
      <c r="E4211" t="inlineStr">
        <is>
          <t>ENKÖPING</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42273-2023</t>
        </is>
      </c>
      <c r="B4212" s="1" t="n">
        <v>45180.40255787037</v>
      </c>
      <c r="C4212" s="1" t="n">
        <v>46098</v>
      </c>
      <c r="D4212" t="inlineStr">
        <is>
          <t>UPPSALA LÄN</t>
        </is>
      </c>
      <c r="E4212" t="inlineStr">
        <is>
          <t>UPPSALA</t>
        </is>
      </c>
      <c r="F4212" t="inlineStr">
        <is>
          <t>Bergvik skog öst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41546-2023</t>
        </is>
      </c>
      <c r="B4213" s="1" t="n">
        <v>45175.573125</v>
      </c>
      <c r="C4213" s="1" t="n">
        <v>46098</v>
      </c>
      <c r="D4213" t="inlineStr">
        <is>
          <t>UPPSALA LÄN</t>
        </is>
      </c>
      <c r="E4213" t="inlineStr">
        <is>
          <t>HEBY</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8881-2025</t>
        </is>
      </c>
      <c r="B4214" s="1" t="n">
        <v>45713</v>
      </c>
      <c r="C4214" s="1" t="n">
        <v>46098</v>
      </c>
      <c r="D4214" t="inlineStr">
        <is>
          <t>UPPSALA LÄN</t>
        </is>
      </c>
      <c r="E4214" t="inlineStr">
        <is>
          <t>HEBY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53615-2024</t>
        </is>
      </c>
      <c r="B4215" s="1" t="n">
        <v>45611</v>
      </c>
      <c r="C4215" s="1" t="n">
        <v>46098</v>
      </c>
      <c r="D4215" t="inlineStr">
        <is>
          <t>UPPSALA LÄN</t>
        </is>
      </c>
      <c r="E4215" t="inlineStr">
        <is>
          <t>UPPSALA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57940-2022</t>
        </is>
      </c>
      <c r="B4216" s="1" t="n">
        <v>44900</v>
      </c>
      <c r="C4216" s="1" t="n">
        <v>46098</v>
      </c>
      <c r="D4216" t="inlineStr">
        <is>
          <t>UPPSALA LÄN</t>
        </is>
      </c>
      <c r="E4216" t="inlineStr">
        <is>
          <t>ENKÖPING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19380-2023</t>
        </is>
      </c>
      <c r="B4217" s="1" t="n">
        <v>45049.66025462963</v>
      </c>
      <c r="C4217" s="1" t="n">
        <v>46098</v>
      </c>
      <c r="D4217" t="inlineStr">
        <is>
          <t>UPPSALA LÄN</t>
        </is>
      </c>
      <c r="E4217" t="inlineStr">
        <is>
          <t>UPPSALA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37618-2023</t>
        </is>
      </c>
      <c r="B4218" s="1" t="n">
        <v>45159.44694444445</v>
      </c>
      <c r="C4218" s="1" t="n">
        <v>46098</v>
      </c>
      <c r="D4218" t="inlineStr">
        <is>
          <t>UPPSALA LÄN</t>
        </is>
      </c>
      <c r="E4218" t="inlineStr">
        <is>
          <t>UPPSALA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13755-2023</t>
        </is>
      </c>
      <c r="B4219" s="1" t="n">
        <v>45007</v>
      </c>
      <c r="C4219" s="1" t="n">
        <v>46098</v>
      </c>
      <c r="D4219" t="inlineStr">
        <is>
          <t>UPPSALA LÄN</t>
        </is>
      </c>
      <c r="E4219" t="inlineStr">
        <is>
          <t>ÖSTHAMMAR</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13771-2023</t>
        </is>
      </c>
      <c r="B4220" s="1" t="n">
        <v>45007</v>
      </c>
      <c r="C4220" s="1" t="n">
        <v>46098</v>
      </c>
      <c r="D4220" t="inlineStr">
        <is>
          <t>UPPSALA LÄN</t>
        </is>
      </c>
      <c r="E4220" t="inlineStr">
        <is>
          <t>ÖSTHAMMAR</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39928-2023</t>
        </is>
      </c>
      <c r="B4221" s="1" t="n">
        <v>45167</v>
      </c>
      <c r="C4221" s="1" t="n">
        <v>46098</v>
      </c>
      <c r="D4221" t="inlineStr">
        <is>
          <t>UPPSALA LÄN</t>
        </is>
      </c>
      <c r="E4221" t="inlineStr">
        <is>
          <t>TIERP</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59521-2023</t>
        </is>
      </c>
      <c r="B4222" s="1" t="n">
        <v>45254.49552083333</v>
      </c>
      <c r="C4222" s="1" t="n">
        <v>46098</v>
      </c>
      <c r="D4222" t="inlineStr">
        <is>
          <t>UPPSALA LÄN</t>
        </is>
      </c>
      <c r="E4222" t="inlineStr">
        <is>
          <t>UPPSALA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61717-2022</t>
        </is>
      </c>
      <c r="B4223" s="1" t="n">
        <v>44917</v>
      </c>
      <c r="C4223" s="1" t="n">
        <v>46098</v>
      </c>
      <c r="D4223" t="inlineStr">
        <is>
          <t>UPPSALA LÄN</t>
        </is>
      </c>
      <c r="E4223" t="inlineStr">
        <is>
          <t>TIERP</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7226-2024</t>
        </is>
      </c>
      <c r="B4224" s="1" t="n">
        <v>45344.64759259259</v>
      </c>
      <c r="C4224" s="1" t="n">
        <v>46098</v>
      </c>
      <c r="D4224" t="inlineStr">
        <is>
          <t>UPPSALA LÄN</t>
        </is>
      </c>
      <c r="E4224" t="inlineStr">
        <is>
          <t>UPPSALA</t>
        </is>
      </c>
      <c r="F4224" t="inlineStr">
        <is>
          <t>Kyrkan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36561-2022</t>
        </is>
      </c>
      <c r="B4225" s="1" t="n">
        <v>44804</v>
      </c>
      <c r="C4225" s="1" t="n">
        <v>46098</v>
      </c>
      <c r="D4225" t="inlineStr">
        <is>
          <t>UPPSALA LÄN</t>
        </is>
      </c>
      <c r="E4225" t="inlineStr">
        <is>
          <t>TIERP</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19172-2023</t>
        </is>
      </c>
      <c r="B4226" s="1" t="n">
        <v>45046</v>
      </c>
      <c r="C4226" s="1" t="n">
        <v>46098</v>
      </c>
      <c r="D4226" t="inlineStr">
        <is>
          <t>UPPSALA LÄN</t>
        </is>
      </c>
      <c r="E4226" t="inlineStr">
        <is>
          <t>TIERP</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63310-2021</t>
        </is>
      </c>
      <c r="B4227" s="1" t="n">
        <v>44508</v>
      </c>
      <c r="C4227" s="1" t="n">
        <v>46098</v>
      </c>
      <c r="D4227" t="inlineStr">
        <is>
          <t>UPPSALA LÄN</t>
        </is>
      </c>
      <c r="E4227" t="inlineStr">
        <is>
          <t>ENKÖPING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14116-2024</t>
        </is>
      </c>
      <c r="B4228" s="1" t="n">
        <v>45392.64703703704</v>
      </c>
      <c r="C4228" s="1" t="n">
        <v>46098</v>
      </c>
      <c r="D4228" t="inlineStr">
        <is>
          <t>UPPSALA LÄN</t>
        </is>
      </c>
      <c r="E4228" t="inlineStr">
        <is>
          <t>TIERP</t>
        </is>
      </c>
      <c r="F4228" t="inlineStr">
        <is>
          <t>Bergvik skog öst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9497-2023</t>
        </is>
      </c>
      <c r="B4229" s="1" t="n">
        <v>44981</v>
      </c>
      <c r="C4229" s="1" t="n">
        <v>46098</v>
      </c>
      <c r="D4229" t="inlineStr">
        <is>
          <t>UPPSALA LÄN</t>
        </is>
      </c>
      <c r="E4229" t="inlineStr">
        <is>
          <t>HEBY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31564-2023</t>
        </is>
      </c>
      <c r="B4230" s="1" t="n">
        <v>45117</v>
      </c>
      <c r="C4230" s="1" t="n">
        <v>46098</v>
      </c>
      <c r="D4230" t="inlineStr">
        <is>
          <t>UPPSALA LÄN</t>
        </is>
      </c>
      <c r="E4230" t="inlineStr">
        <is>
          <t>HEBY</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31566-2023</t>
        </is>
      </c>
      <c r="B4231" s="1" t="n">
        <v>45117</v>
      </c>
      <c r="C4231" s="1" t="n">
        <v>46098</v>
      </c>
      <c r="D4231" t="inlineStr">
        <is>
          <t>UPPSALA LÄN</t>
        </is>
      </c>
      <c r="E4231" t="inlineStr">
        <is>
          <t>HEBY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31567-2023</t>
        </is>
      </c>
      <c r="B4232" s="1" t="n">
        <v>45117</v>
      </c>
      <c r="C4232" s="1" t="n">
        <v>46098</v>
      </c>
      <c r="D4232" t="inlineStr">
        <is>
          <t>UPPSALA LÄN</t>
        </is>
      </c>
      <c r="E4232" t="inlineStr">
        <is>
          <t>HEBY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45964-2021</t>
        </is>
      </c>
      <c r="B4233" s="1" t="n">
        <v>44441.68001157408</v>
      </c>
      <c r="C4233" s="1" t="n">
        <v>46098</v>
      </c>
      <c r="D4233" t="inlineStr">
        <is>
          <t>UPPSALA LÄN</t>
        </is>
      </c>
      <c r="E4233" t="inlineStr">
        <is>
          <t>HEBY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20440-2025</t>
        </is>
      </c>
      <c r="B4234" s="1" t="n">
        <v>45775</v>
      </c>
      <c r="C4234" s="1" t="n">
        <v>46098</v>
      </c>
      <c r="D4234" t="inlineStr">
        <is>
          <t>UPPSALA LÄN</t>
        </is>
      </c>
      <c r="E4234" t="inlineStr">
        <is>
          <t>ENKÖPING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1629-2024</t>
        </is>
      </c>
      <c r="B4235" s="1" t="n">
        <v>45306</v>
      </c>
      <c r="C4235" s="1" t="n">
        <v>46098</v>
      </c>
      <c r="D4235" t="inlineStr">
        <is>
          <t>UPPSALA LÄN</t>
        </is>
      </c>
      <c r="E4235" t="inlineStr">
        <is>
          <t>KNIVSTA</t>
        </is>
      </c>
      <c r="F4235" t="inlineStr">
        <is>
          <t>Holmen skog AB</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41276-2023</t>
        </is>
      </c>
      <c r="B4236" s="1" t="n">
        <v>45174</v>
      </c>
      <c r="C4236" s="1" t="n">
        <v>46098</v>
      </c>
      <c r="D4236" t="inlineStr">
        <is>
          <t>UPPSALA LÄN</t>
        </is>
      </c>
      <c r="E4236" t="inlineStr">
        <is>
          <t>ÄLVKARLEBY</t>
        </is>
      </c>
      <c r="F4236" t="inlineStr">
        <is>
          <t>Bergvik skog väst AB</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7543-2023</t>
        </is>
      </c>
      <c r="B4237" s="1" t="n">
        <v>44972</v>
      </c>
      <c r="C4237" s="1" t="n">
        <v>46098</v>
      </c>
      <c r="D4237" t="inlineStr">
        <is>
          <t>UPPSALA LÄN</t>
        </is>
      </c>
      <c r="E4237" t="inlineStr">
        <is>
          <t>ÖSTHAMMAR</t>
        </is>
      </c>
      <c r="F4237" t="inlineStr">
        <is>
          <t>Bergvik skog öst AB</t>
        </is>
      </c>
      <c r="G4237" t="n">
        <v>13.3</v>
      </c>
      <c r="H4237" t="n">
        <v>0</v>
      </c>
      <c r="I4237" t="n">
        <v>0</v>
      </c>
      <c r="J4237" t="n">
        <v>0</v>
      </c>
      <c r="K4237" t="n">
        <v>0</v>
      </c>
      <c r="L4237" t="n">
        <v>0</v>
      </c>
      <c r="M4237" t="n">
        <v>0</v>
      </c>
      <c r="N4237" t="n">
        <v>0</v>
      </c>
      <c r="O4237" t="n">
        <v>0</v>
      </c>
      <c r="P4237" t="n">
        <v>0</v>
      </c>
      <c r="Q4237" t="n">
        <v>0</v>
      </c>
      <c r="R4237" s="2" t="inlineStr"/>
    </row>
    <row r="4238" ht="15" customHeight="1">
      <c r="A4238" t="inlineStr">
        <is>
          <t>A 22759-2024</t>
        </is>
      </c>
      <c r="B4238" s="1" t="n">
        <v>45448</v>
      </c>
      <c r="C4238" s="1" t="n">
        <v>46098</v>
      </c>
      <c r="D4238" t="inlineStr">
        <is>
          <t>UPPSALA LÄN</t>
        </is>
      </c>
      <c r="E4238" t="inlineStr">
        <is>
          <t>TIERP</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49899-2023</t>
        </is>
      </c>
      <c r="B4239" s="1" t="n">
        <v>45213</v>
      </c>
      <c r="C4239" s="1" t="n">
        <v>46098</v>
      </c>
      <c r="D4239" t="inlineStr">
        <is>
          <t>UPPSALA LÄN</t>
        </is>
      </c>
      <c r="E4239" t="inlineStr">
        <is>
          <t>ÖSTHAMMAR</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58914-2023</t>
        </is>
      </c>
      <c r="B4240" s="1" t="n">
        <v>45250</v>
      </c>
      <c r="C4240" s="1" t="n">
        <v>46098</v>
      </c>
      <c r="D4240" t="inlineStr">
        <is>
          <t>UPPSALA LÄN</t>
        </is>
      </c>
      <c r="E4240" t="inlineStr">
        <is>
          <t>HEBY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4676-2025</t>
        </is>
      </c>
      <c r="B4241" s="1" t="n">
        <v>45687.8313425926</v>
      </c>
      <c r="C4241" s="1" t="n">
        <v>46098</v>
      </c>
      <c r="D4241" t="inlineStr">
        <is>
          <t>UPPSALA LÄN</t>
        </is>
      </c>
      <c r="E4241" t="inlineStr">
        <is>
          <t>ÖSTHAMMAR</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19488-2022</t>
        </is>
      </c>
      <c r="B4242" s="1" t="n">
        <v>44693</v>
      </c>
      <c r="C4242" s="1" t="n">
        <v>46098</v>
      </c>
      <c r="D4242" t="inlineStr">
        <is>
          <t>UPPSALA LÄN</t>
        </is>
      </c>
      <c r="E4242" t="inlineStr">
        <is>
          <t>ENKÖPING</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19345-2025</t>
        </is>
      </c>
      <c r="B4243" s="1" t="n">
        <v>45769.6009375</v>
      </c>
      <c r="C4243" s="1" t="n">
        <v>46098</v>
      </c>
      <c r="D4243" t="inlineStr">
        <is>
          <t>UPPSALA LÄN</t>
        </is>
      </c>
      <c r="E4243" t="inlineStr">
        <is>
          <t>UPPSALA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5188-2022</t>
        </is>
      </c>
      <c r="B4244" s="1" t="n">
        <v>44594.4471412037</v>
      </c>
      <c r="C4244" s="1" t="n">
        <v>46098</v>
      </c>
      <c r="D4244" t="inlineStr">
        <is>
          <t>UPPSALA LÄN</t>
        </is>
      </c>
      <c r="E4244" t="inlineStr">
        <is>
          <t>ENKÖPING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18368-2025</t>
        </is>
      </c>
      <c r="B4245" s="1" t="n">
        <v>45762.56429398148</v>
      </c>
      <c r="C4245" s="1" t="n">
        <v>46098</v>
      </c>
      <c r="D4245" t="inlineStr">
        <is>
          <t>UPPSALA LÄN</t>
        </is>
      </c>
      <c r="E4245" t="inlineStr">
        <is>
          <t>TIERP</t>
        </is>
      </c>
      <c r="F4245" t="inlineStr">
        <is>
          <t>Bergvik skog öst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18410-2025</t>
        </is>
      </c>
      <c r="B4246" s="1" t="n">
        <v>45762.61341435185</v>
      </c>
      <c r="C4246" s="1" t="n">
        <v>46098</v>
      </c>
      <c r="D4246" t="inlineStr">
        <is>
          <t>UPPSALA LÄN</t>
        </is>
      </c>
      <c r="E4246" t="inlineStr">
        <is>
          <t>UPPSALA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18423-2025</t>
        </is>
      </c>
      <c r="B4247" s="1" t="n">
        <v>45762.62068287037</v>
      </c>
      <c r="C4247" s="1" t="n">
        <v>46098</v>
      </c>
      <c r="D4247" t="inlineStr">
        <is>
          <t>UPPSALA LÄN</t>
        </is>
      </c>
      <c r="E4247" t="inlineStr">
        <is>
          <t>TIERP</t>
        </is>
      </c>
      <c r="F4247" t="inlineStr">
        <is>
          <t>Bergvik skog öst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62650-2022</t>
        </is>
      </c>
      <c r="B4248" s="1" t="n">
        <v>44925.48966435185</v>
      </c>
      <c r="C4248" s="1" t="n">
        <v>46098</v>
      </c>
      <c r="D4248" t="inlineStr">
        <is>
          <t>UPPSALA LÄN</t>
        </is>
      </c>
      <c r="E4248" t="inlineStr">
        <is>
          <t>HEBY</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11568-2025</t>
        </is>
      </c>
      <c r="B4249" s="1" t="n">
        <v>45727.37728009259</v>
      </c>
      <c r="C4249" s="1" t="n">
        <v>46098</v>
      </c>
      <c r="D4249" t="inlineStr">
        <is>
          <t>UPPSALA LÄN</t>
        </is>
      </c>
      <c r="E4249" t="inlineStr">
        <is>
          <t>TIERP</t>
        </is>
      </c>
      <c r="F4249" t="inlineStr">
        <is>
          <t>Bergvik skog öst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11573-2025</t>
        </is>
      </c>
      <c r="B4250" s="1" t="n">
        <v>45727.38081018518</v>
      </c>
      <c r="C4250" s="1" t="n">
        <v>46098</v>
      </c>
      <c r="D4250" t="inlineStr">
        <is>
          <t>UPPSALA LÄN</t>
        </is>
      </c>
      <c r="E4250" t="inlineStr">
        <is>
          <t>HEBY</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13535-2025</t>
        </is>
      </c>
      <c r="B4251" s="1" t="n">
        <v>45736.51150462963</v>
      </c>
      <c r="C4251" s="1" t="n">
        <v>46098</v>
      </c>
      <c r="D4251" t="inlineStr">
        <is>
          <t>UPPSALA LÄN</t>
        </is>
      </c>
      <c r="E4251" t="inlineStr">
        <is>
          <t>HEBY</t>
        </is>
      </c>
      <c r="G4251" t="n">
        <v>15.5</v>
      </c>
      <c r="H4251" t="n">
        <v>0</v>
      </c>
      <c r="I4251" t="n">
        <v>0</v>
      </c>
      <c r="J4251" t="n">
        <v>0</v>
      </c>
      <c r="K4251" t="n">
        <v>0</v>
      </c>
      <c r="L4251" t="n">
        <v>0</v>
      </c>
      <c r="M4251" t="n">
        <v>0</v>
      </c>
      <c r="N4251" t="n">
        <v>0</v>
      </c>
      <c r="O4251" t="n">
        <v>0</v>
      </c>
      <c r="P4251" t="n">
        <v>0</v>
      </c>
      <c r="Q4251" t="n">
        <v>0</v>
      </c>
      <c r="R4251" s="2" t="inlineStr"/>
    </row>
    <row r="4252" ht="15" customHeight="1">
      <c r="A4252" t="inlineStr">
        <is>
          <t>A 17009-2021</t>
        </is>
      </c>
      <c r="B4252" s="1" t="n">
        <v>44295.63969907408</v>
      </c>
      <c r="C4252" s="1" t="n">
        <v>46098</v>
      </c>
      <c r="D4252" t="inlineStr">
        <is>
          <t>UPPSALA LÄN</t>
        </is>
      </c>
      <c r="E4252" t="inlineStr">
        <is>
          <t>ÖSTHAMMAR</t>
        </is>
      </c>
      <c r="F4252" t="inlineStr">
        <is>
          <t>Bergvik skog öst AB</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31622-2022</t>
        </is>
      </c>
      <c r="B4253" s="1" t="n">
        <v>44775</v>
      </c>
      <c r="C4253" s="1" t="n">
        <v>46098</v>
      </c>
      <c r="D4253" t="inlineStr">
        <is>
          <t>UPPSALA LÄN</t>
        </is>
      </c>
      <c r="E4253" t="inlineStr">
        <is>
          <t>ENKÖPING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4388-2025</t>
        </is>
      </c>
      <c r="B4254" s="1" t="n">
        <v>45686.40940972222</v>
      </c>
      <c r="C4254" s="1" t="n">
        <v>46098</v>
      </c>
      <c r="D4254" t="inlineStr">
        <is>
          <t>UPPSALA LÄN</t>
        </is>
      </c>
      <c r="E4254" t="inlineStr">
        <is>
          <t>HEBY</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33758-2024</t>
        </is>
      </c>
      <c r="B4255" s="1" t="n">
        <v>45520.56896990741</v>
      </c>
      <c r="C4255" s="1" t="n">
        <v>46098</v>
      </c>
      <c r="D4255" t="inlineStr">
        <is>
          <t>UPPSALA LÄN</t>
        </is>
      </c>
      <c r="E4255" t="inlineStr">
        <is>
          <t>ÖSTHAMMAR</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31139-2023</t>
        </is>
      </c>
      <c r="B4256" s="1" t="n">
        <v>45103</v>
      </c>
      <c r="C4256" s="1" t="n">
        <v>46098</v>
      </c>
      <c r="D4256" t="inlineStr">
        <is>
          <t>UPPSALA LÄN</t>
        </is>
      </c>
      <c r="E4256" t="inlineStr">
        <is>
          <t>HEBY</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26380-2023</t>
        </is>
      </c>
      <c r="B4257" s="1" t="n">
        <v>45092</v>
      </c>
      <c r="C4257" s="1" t="n">
        <v>46098</v>
      </c>
      <c r="D4257" t="inlineStr">
        <is>
          <t>UPPSALA LÄN</t>
        </is>
      </c>
      <c r="E4257" t="inlineStr">
        <is>
          <t>TIERP</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38049-2021</t>
        </is>
      </c>
      <c r="B4258" s="1" t="n">
        <v>44404</v>
      </c>
      <c r="C4258" s="1" t="n">
        <v>46098</v>
      </c>
      <c r="D4258" t="inlineStr">
        <is>
          <t>UPPSALA LÄN</t>
        </is>
      </c>
      <c r="E4258" t="inlineStr">
        <is>
          <t>HEBY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18885-2025</t>
        </is>
      </c>
      <c r="B4259" s="1" t="n">
        <v>45764.44233796297</v>
      </c>
      <c r="C4259" s="1" t="n">
        <v>46098</v>
      </c>
      <c r="D4259" t="inlineStr">
        <is>
          <t>UPPSALA LÄN</t>
        </is>
      </c>
      <c r="E4259" t="inlineStr">
        <is>
          <t>TIERP</t>
        </is>
      </c>
      <c r="F4259" t="inlineStr">
        <is>
          <t>Bergvik skog öst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8404-2022</t>
        </is>
      </c>
      <c r="B4260" s="1" t="n">
        <v>44610</v>
      </c>
      <c r="C4260" s="1" t="n">
        <v>46098</v>
      </c>
      <c r="D4260" t="inlineStr">
        <is>
          <t>UPPSALA LÄN</t>
        </is>
      </c>
      <c r="E4260" t="inlineStr">
        <is>
          <t>UPPSALA</t>
        </is>
      </c>
      <c r="F4260" t="inlineStr">
        <is>
          <t>Allmännings- och besparingsskogar</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9815-2022</t>
        </is>
      </c>
      <c r="B4261" s="1" t="n">
        <v>44620.42810185185</v>
      </c>
      <c r="C4261" s="1" t="n">
        <v>46098</v>
      </c>
      <c r="D4261" t="inlineStr">
        <is>
          <t>UPPSALA LÄN</t>
        </is>
      </c>
      <c r="E4261" t="inlineStr">
        <is>
          <t>HEBY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24259-2022</t>
        </is>
      </c>
      <c r="B4262" s="1" t="n">
        <v>44725</v>
      </c>
      <c r="C4262" s="1" t="n">
        <v>46098</v>
      </c>
      <c r="D4262" t="inlineStr">
        <is>
          <t>UPPSALA LÄN</t>
        </is>
      </c>
      <c r="E4262" t="inlineStr">
        <is>
          <t>ÖSTHAMMAR</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16852-2025</t>
        </is>
      </c>
      <c r="B4263" s="1" t="n">
        <v>45754.72487268518</v>
      </c>
      <c r="C4263" s="1" t="n">
        <v>46098</v>
      </c>
      <c r="D4263" t="inlineStr">
        <is>
          <t>UPPSALA LÄN</t>
        </is>
      </c>
      <c r="E4263" t="inlineStr">
        <is>
          <t>TIERP</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18113-2023</t>
        </is>
      </c>
      <c r="B4264" s="1" t="n">
        <v>45040</v>
      </c>
      <c r="C4264" s="1" t="n">
        <v>46098</v>
      </c>
      <c r="D4264" t="inlineStr">
        <is>
          <t>UPPSALA LÄN</t>
        </is>
      </c>
      <c r="E4264" t="inlineStr">
        <is>
          <t>ÖSTHAMMAR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30764-2023</t>
        </is>
      </c>
      <c r="B4265" s="1" t="n">
        <v>45112</v>
      </c>
      <c r="C4265" s="1" t="n">
        <v>46098</v>
      </c>
      <c r="D4265" t="inlineStr">
        <is>
          <t>UPPSALA LÄN</t>
        </is>
      </c>
      <c r="E4265" t="inlineStr">
        <is>
          <t>KNIVSTA</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61216-2022</t>
        </is>
      </c>
      <c r="B4266" s="1" t="n">
        <v>44915.55423611111</v>
      </c>
      <c r="C4266" s="1" t="n">
        <v>46098</v>
      </c>
      <c r="D4266" t="inlineStr">
        <is>
          <t>UPPSALA LÄN</t>
        </is>
      </c>
      <c r="E4266" t="inlineStr">
        <is>
          <t>ÖSTHAMMAR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12102-2024</t>
        </is>
      </c>
      <c r="B4267" s="1" t="n">
        <v>45377</v>
      </c>
      <c r="C4267" s="1" t="n">
        <v>46098</v>
      </c>
      <c r="D4267" t="inlineStr">
        <is>
          <t>UPPSALA LÄN</t>
        </is>
      </c>
      <c r="E4267" t="inlineStr">
        <is>
          <t>ENKÖPING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13687-2024</t>
        </is>
      </c>
      <c r="B4268" s="1" t="n">
        <v>45390.5662962963</v>
      </c>
      <c r="C4268" s="1" t="n">
        <v>46098</v>
      </c>
      <c r="D4268" t="inlineStr">
        <is>
          <t>UPPSALA LÄN</t>
        </is>
      </c>
      <c r="E4268" t="inlineStr">
        <is>
          <t>TIERP</t>
        </is>
      </c>
      <c r="F4268" t="inlineStr">
        <is>
          <t>Bergvik skog väst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27660-2023</t>
        </is>
      </c>
      <c r="B4269" s="1" t="n">
        <v>45097</v>
      </c>
      <c r="C4269" s="1" t="n">
        <v>46098</v>
      </c>
      <c r="D4269" t="inlineStr">
        <is>
          <t>UPPSALA LÄN</t>
        </is>
      </c>
      <c r="E4269" t="inlineStr">
        <is>
          <t>ÖSTHAMMAR</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69411-2021</t>
        </is>
      </c>
      <c r="B4270" s="1" t="n">
        <v>44531.61038194445</v>
      </c>
      <c r="C4270" s="1" t="n">
        <v>46098</v>
      </c>
      <c r="D4270" t="inlineStr">
        <is>
          <t>UPPSALA LÄN</t>
        </is>
      </c>
      <c r="E4270" t="inlineStr">
        <is>
          <t>ÖSTHAMMAR</t>
        </is>
      </c>
      <c r="F4270" t="inlineStr">
        <is>
          <t>Bergvik skog öst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16791-2023</t>
        </is>
      </c>
      <c r="B4271" s="1" t="n">
        <v>45033</v>
      </c>
      <c r="C4271" s="1" t="n">
        <v>46098</v>
      </c>
      <c r="D4271" t="inlineStr">
        <is>
          <t>UPPSALA LÄN</t>
        </is>
      </c>
      <c r="E4271" t="inlineStr">
        <is>
          <t>TIERP</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59597-2024</t>
        </is>
      </c>
      <c r="B4272" s="1" t="n">
        <v>45638</v>
      </c>
      <c r="C4272" s="1" t="n">
        <v>46098</v>
      </c>
      <c r="D4272" t="inlineStr">
        <is>
          <t>UPPSALA LÄN</t>
        </is>
      </c>
      <c r="E4272" t="inlineStr">
        <is>
          <t>TIERP</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59602-2024</t>
        </is>
      </c>
      <c r="B4273" s="1" t="n">
        <v>45638</v>
      </c>
      <c r="C4273" s="1" t="n">
        <v>46098</v>
      </c>
      <c r="D4273" t="inlineStr">
        <is>
          <t>UPPSALA LÄN</t>
        </is>
      </c>
      <c r="E4273" t="inlineStr">
        <is>
          <t>ENKÖPING</t>
        </is>
      </c>
      <c r="G4273" t="n">
        <v>1.1</v>
      </c>
      <c r="H4273" t="n">
        <v>0</v>
      </c>
      <c r="I4273" t="n">
        <v>0</v>
      </c>
      <c r="J4273" t="n">
        <v>0</v>
      </c>
      <c r="K4273" t="n">
        <v>0</v>
      </c>
      <c r="L4273" t="n">
        <v>0</v>
      </c>
      <c r="M4273" t="n">
        <v>0</v>
      </c>
      <c r="N4273" t="n">
        <v>0</v>
      </c>
      <c r="O4273" t="n">
        <v>0</v>
      </c>
      <c r="P4273" t="n">
        <v>0</v>
      </c>
      <c r="Q4273" t="n">
        <v>0</v>
      </c>
      <c r="R4273" s="2" t="inlineStr"/>
    </row>
    <row r="4274">
      <c r="A4274" t="inlineStr">
        <is>
          <t>A 26303-2024</t>
        </is>
      </c>
      <c r="B4274" s="1" t="n">
        <v>45468</v>
      </c>
      <c r="C4274" s="1" t="n">
        <v>46098</v>
      </c>
      <c r="D4274" t="inlineStr">
        <is>
          <t>UPPSALA LÄN</t>
        </is>
      </c>
      <c r="E4274" t="inlineStr">
        <is>
          <t>ÖSTHAMMAR</t>
        </is>
      </c>
      <c r="G4274" t="n">
        <v>1.2</v>
      </c>
      <c r="H4274" t="n">
        <v>0</v>
      </c>
      <c r="I4274" t="n">
        <v>0</v>
      </c>
      <c r="J4274" t="n">
        <v>0</v>
      </c>
      <c r="K4274" t="n">
        <v>0</v>
      </c>
      <c r="L4274" t="n">
        <v>0</v>
      </c>
      <c r="M4274" t="n">
        <v>0</v>
      </c>
      <c r="N4274" t="n">
        <v>0</v>
      </c>
      <c r="O4274" t="n">
        <v>0</v>
      </c>
      <c r="P4274" t="n">
        <v>0</v>
      </c>
      <c r="Q4274" t="n">
        <v>0</v>
      </c>
      <c r="R4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2026-03-17T11:22:23Z</dcterms:created>
  <dcterms:modified xmlns:dcterms="http://purl.org/dc/terms/" xmlns:xsi="http://www.w3.org/2001/XMLSchema-instance" xsi:type="dcterms:W3CDTF">2026-03-17T11:22:27Z</dcterms:modified>
</cp:coreProperties>
</file>